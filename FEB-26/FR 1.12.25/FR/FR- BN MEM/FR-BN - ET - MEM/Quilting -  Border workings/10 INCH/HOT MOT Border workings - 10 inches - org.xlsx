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<sst xmlns="http://schemas.openxmlformats.org/spreadsheetml/2006/main" count="40542" uniqueCount="34293">
  <si>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</si>
  <si>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</si>
  <si>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</si>
  <si>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</si>
  <si>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</si>
  <si>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</si>
  <si>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</si>
  <si>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</si>
  <si>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</si>
  <si>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</si>
  <si>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</si>
  <si>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</si>
  <si>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</si>
  <si>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</si>
  <si>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</si>
  <si>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</si>
  <si>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</si>
  <si>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</si>
  <si>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</si>
  <si>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</si>
  <si>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</si>
  <si>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</si>
  <si>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</si>
  <si>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</si>
  <si>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</si>
  <si>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</si>
  <si>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</si>
  <si>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</si>
  <si>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</si>
  <si>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</si>
  <si>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</si>
  <si>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</si>
  <si>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</si>
  <si>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</si>
  <si>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</si>
  <si>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</si>
  <si>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</si>
  <si>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</si>
  <si>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</si>
  <si>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</si>
  <si>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</si>
  <si>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</si>
  <si>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</si>
  <si>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</si>
  <si>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</si>
  <si>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</si>
  <si>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</si>
  <si>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</si>
  <si>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</si>
  <si>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</si>
  <si>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</si>
  <si>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</si>
  <si>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</si>
  <si>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</si>
  <si>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</si>
  <si>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</si>
  <si>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</si>
  <si>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</si>
  <si>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</si>
  <si>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</si>
  <si>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</si>
  <si>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</si>
  <si>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</si>
  <si>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</si>
  <si>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</si>
  <si>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</si>
  <si>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</si>
  <si>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</si>
  <si>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</si>
  <si>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</si>
  <si>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</si>
  <si>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</si>
  <si>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</si>
  <si>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</si>
  <si>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</si>
  <si>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</si>
  <si>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</si>
  <si>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</si>
  <si>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</si>
  <si>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</si>
  <si>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</si>
  <si>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</si>
  <si>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</si>
  <si>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</si>
  <si>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</si>
  <si>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</si>
  <si>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</si>
  <si>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</si>
  <si>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</si>
  <si>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</si>
  <si>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</si>
  <si>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</si>
  <si>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</si>
  <si>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</si>
  <si>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</si>
  <si>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</si>
  <si>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</si>
  <si>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</si>
  <si>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</si>
  <si>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</si>
  <si>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</si>
  <si>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</si>
  <si>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</si>
  <si>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</si>
  <si>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</si>
  <si>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</si>
  <si>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</si>
  <si>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</si>
  <si>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</si>
  <si>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</si>
  <si>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</si>
  <si>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</si>
  <si>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</si>
  <si>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</si>
  <si>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</si>
  <si>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</si>
  <si>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</si>
  <si>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</si>
  <si>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</si>
  <si>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</si>
  <si>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</si>
  <si>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</si>
  <si>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</si>
  <si>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</si>
  <si>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</si>
  <si>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</si>
  <si>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</si>
  <si>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</si>
  <si>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</si>
  <si>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</si>
  <si>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</si>
  <si>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</si>
  <si>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</si>
  <si>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</si>
  <si>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</si>
  <si>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</si>
  <si>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</si>
  <si>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</si>
  <si>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</si>
  <si>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</si>
  <si>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</si>
  <si>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</si>
  <si>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</si>
  <si>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</si>
  <si>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</si>
  <si>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</si>
  <si>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</si>
  <si>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</si>
  <si>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</si>
  <si>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</si>
  <si>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</si>
  <si>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</si>
  <si>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</si>
  <si>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</si>
  <si>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</si>
  <si>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</si>
  <si>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</si>
  <si>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</si>
  <si>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</si>
  <si>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</si>
  <si>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</si>
  <si>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</si>
  <si>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</si>
  <si>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</si>
  <si>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</si>
  <si>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</si>
  <si>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</si>
  <si>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</si>
  <si>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</si>
  <si>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</si>
  <si>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</si>
  <si>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</si>
  <si>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</si>
  <si>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</si>
  <si>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</si>
  <si>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</si>
  <si>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</si>
  <si>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</si>
  <si>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</si>
  <si>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</si>
  <si>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</si>
  <si>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</si>
  <si>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</si>
  <si>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</si>
  <si>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</si>
  <si>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</si>
  <si>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</si>
  <si>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</si>
  <si>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</si>
  <si>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</si>
  <si>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</si>
  <si>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</si>
  <si>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</si>
  <si>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</si>
  <si>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</si>
  <si>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</si>
  <si>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</si>
  <si>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</si>
  <si>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</si>
  <si>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</si>
  <si>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</si>
  <si>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</si>
  <si>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</si>
  <si>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</si>
  <si>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</si>
  <si>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</si>
  <si>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</si>
  <si>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</si>
  <si>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</si>
  <si>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</si>
  <si>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</si>
  <si>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</si>
  <si>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</si>
  <si>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</si>
  <si>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</si>
  <si>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</si>
  <si>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</si>
  <si>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</si>
  <si>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</si>
  <si>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</si>
  <si>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</si>
  <si>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</si>
  <si>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</si>
  <si>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</si>
  <si>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</si>
  <si>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</si>
  <si>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</si>
  <si>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</si>
  <si>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</si>
  <si>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</si>
  <si>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</si>
  <si>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</si>
  <si>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</si>
  <si>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</si>
  <si>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</si>
  <si>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</si>
  <si>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</si>
  <si>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</si>
  <si>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</si>
  <si>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</si>
  <si>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</si>
  <si>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</si>
  <si>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</si>
  <si>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</si>
  <si>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</si>
  <si>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</si>
  <si>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</si>
  <si>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</si>
  <si>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</si>
  <si>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</si>
  <si>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</si>
  <si>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</si>
  <si>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</si>
  <si>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</si>
  <si>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</si>
  <si>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</si>
  <si>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</si>
  <si>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</si>
  <si>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</si>
  <si>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</si>
  <si>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</si>
  <si>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</si>
  <si>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</si>
  <si>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</si>
  <si>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</si>
  <si>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</si>
  <si>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</si>
  <si>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</si>
  <si>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</si>
  <si>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</si>
  <si>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</si>
  <si>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</si>
  <si>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</si>
  <si>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</si>
  <si>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</si>
  <si>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</si>
  <si>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</si>
  <si>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</si>
  <si>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</si>
  <si>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</si>
  <si>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</si>
  <si>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</si>
  <si>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</si>
  <si>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</si>
  <si>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</si>
  <si>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</si>
  <si>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</si>
  <si>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</si>
  <si>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</si>
  <si>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</si>
  <si>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</si>
  <si>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</si>
  <si>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</si>
  <si>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</si>
  <si>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</si>
  <si>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</si>
  <si>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</si>
  <si>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</si>
  <si>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</si>
  <si>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</si>
  <si>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</si>
  <si>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</si>
  <si>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</si>
  <si>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</si>
  <si>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</si>
  <si>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</si>
  <si>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</si>
  <si>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</si>
  <si>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</si>
  <si>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</si>
  <si>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</si>
  <si>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</si>
  <si>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</si>
  <si>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</si>
  <si>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</si>
  <si>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</si>
  <si>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</si>
  <si>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</si>
  <si>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</si>
  <si>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</si>
  <si>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</si>
  <si>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</si>
  <si>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</si>
  <si>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</si>
  <si>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</si>
  <si>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</si>
  <si>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</si>
  <si>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</si>
  <si>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</si>
  <si>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</si>
  <si>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</si>
  <si>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</si>
  <si>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</si>
  <si>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</si>
  <si>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</si>
  <si>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</si>
  <si>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</si>
  <si>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</si>
  <si>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</si>
  <si>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</si>
  <si>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</si>
  <si>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</si>
  <si>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</si>
  <si>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</si>
  <si>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</si>
  <si>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</si>
  <si>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</si>
  <si>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</si>
  <si>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</si>
  <si>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</si>
  <si>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</si>
  <si>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</si>
  <si>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</si>
  <si>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</si>
  <si>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</si>
  <si>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</si>
  <si>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</si>
  <si>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</si>
  <si>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</si>
  <si>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</si>
  <si>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</si>
  <si>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</si>
  <si>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</si>
  <si>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</si>
  <si>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</si>
  <si>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</si>
  <si>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</si>
  <si>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</si>
  <si>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</si>
  <si>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</si>
  <si>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</si>
  <si>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</si>
  <si>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</si>
  <si>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</si>
  <si>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</si>
  <si>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</si>
  <si>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</si>
  <si>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</si>
  <si>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</si>
  <si>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</si>
  <si>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</si>
  <si>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</si>
  <si>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</si>
  <si>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</si>
  <si>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</si>
  <si>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</si>
  <si>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</si>
  <si>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</si>
  <si>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</si>
  <si>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</si>
  <si>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</si>
  <si>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</si>
  <si>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</si>
  <si>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</si>
  <si>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</si>
  <si>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</si>
  <si>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</si>
  <si>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</si>
  <si>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</si>
  <si>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</si>
  <si>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</si>
  <si>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</si>
  <si>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</si>
  <si>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</si>
  <si>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</si>
  <si>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</si>
  <si>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</si>
  <si>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</si>
  <si>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</si>
  <si>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</si>
  <si>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</si>
  <si>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</si>
  <si>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</si>
  <si>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</si>
  <si>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</si>
  <si>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</si>
  <si>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</si>
  <si>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</si>
  <si>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</si>
  <si>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</si>
  <si>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</si>
  <si>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</si>
  <si>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</si>
  <si>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</si>
  <si>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</si>
  <si>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</si>
  <si>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</si>
  <si>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</si>
  <si>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</si>
  <si>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</si>
  <si>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</si>
  <si>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</si>
  <si>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</si>
  <si>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</si>
  <si>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</si>
  <si>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</si>
  <si>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</si>
  <si>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</si>
  <si>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</si>
  <si>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</si>
  <si>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</si>
  <si>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</si>
  <si>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</si>
  <si>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</si>
  <si>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</si>
  <si>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</si>
  <si>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</si>
  <si>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</si>
  <si>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</si>
  <si>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</si>
  <si>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</si>
  <si>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</si>
  <si>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</si>
  <si>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</si>
  <si>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</si>
  <si>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</si>
  <si>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</si>
  <si>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</si>
  <si>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</si>
  <si>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</si>
  <si>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</si>
  <si>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</si>
  <si>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</si>
  <si>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</si>
  <si>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</si>
  <si>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</si>
  <si>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</si>
  <si>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</si>
  <si>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</si>
  <si>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</si>
  <si>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</si>
  <si>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</si>
  <si>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</si>
  <si>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</si>
  <si>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</si>
  <si>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</si>
  <si>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</si>
  <si>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</si>
  <si>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</si>
  <si>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</si>
  <si>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</si>
  <si>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</si>
  <si>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</si>
  <si>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</si>
  <si>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</si>
  <si>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</si>
  <si>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</si>
  <si>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</si>
  <si>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</si>
  <si>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</si>
  <si>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</si>
  <si>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</si>
  <si>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</si>
  <si>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</si>
  <si>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</si>
  <si>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</si>
  <si>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</si>
  <si>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</si>
  <si>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</si>
  <si>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</si>
  <si>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</si>
  <si>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</si>
  <si>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</si>
  <si>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</si>
  <si>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</si>
  <si>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</si>
  <si>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</si>
  <si>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</si>
  <si>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</si>
  <si>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</si>
  <si>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</si>
  <si>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</si>
  <si>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</si>
  <si>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</si>
  <si>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</si>
  <si>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</si>
  <si>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</si>
  <si>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</si>
  <si>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</si>
  <si>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</si>
  <si>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</si>
  <si>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</si>
  <si>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</si>
  <si>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</si>
  <si>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</si>
  <si>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</si>
  <si>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</si>
  <si>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</si>
  <si>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</si>
  <si>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</si>
  <si>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</si>
  <si>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</si>
  <si>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</si>
  <si>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</si>
  <si>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</si>
  <si>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</si>
  <si>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</si>
  <si>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</si>
  <si>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</si>
  <si>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</si>
  <si>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</si>
  <si>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</si>
  <si>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</si>
  <si>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</si>
  <si>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</si>
  <si>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</si>
  <si>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</si>
  <si>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</si>
  <si>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</si>
  <si>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</si>
  <si>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</si>
  <si>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</si>
  <si>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</si>
  <si>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</si>
  <si>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</si>
  <si>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</si>
  <si>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</si>
  <si>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</si>
  <si>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</si>
  <si>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</si>
  <si>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</si>
  <si>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</si>
  <si>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</si>
  <si>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</si>
  <si>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</si>
  <si>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</si>
  <si>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</si>
  <si>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</si>
  <si>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</si>
  <si>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</si>
  <si>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</si>
  <si>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</si>
  <si>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</si>
  <si>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</si>
  <si>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</si>
  <si>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</si>
  <si>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</si>
  <si>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</si>
  <si>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</si>
  <si>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</si>
  <si>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</si>
  <si>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</si>
  <si>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</si>
  <si>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</si>
  <si>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</si>
  <si>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</si>
  <si>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</si>
  <si>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</si>
  <si>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</si>
  <si>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</si>
  <si>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</si>
  <si>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</si>
  <si>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</si>
  <si>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</si>
  <si>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</si>
  <si>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</si>
  <si>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</si>
  <si>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</si>
  <si>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</si>
  <si>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</si>
  <si>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</si>
  <si>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</si>
  <si>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</si>
  <si>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</si>
  <si>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</si>
  <si>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</si>
  <si>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</si>
  <si>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</si>
  <si>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</si>
  <si>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</si>
  <si>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</si>
  <si>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</si>
  <si>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</si>
  <si>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</si>
  <si>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</si>
  <si>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</si>
  <si>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</si>
  <si>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</si>
  <si>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</si>
  <si>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</si>
  <si>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</si>
  <si>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</si>
  <si>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</si>
  <si>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</si>
  <si>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</si>
  <si>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</si>
  <si>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</si>
  <si>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</si>
  <si>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</si>
  <si>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</si>
  <si>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</si>
  <si>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</si>
  <si>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</si>
  <si>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</si>
  <si>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</si>
  <si>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</si>
  <si>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</si>
  <si>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</si>
  <si>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</si>
  <si>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</si>
  <si>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</si>
  <si>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</si>
  <si>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</si>
  <si>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</si>
  <si>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</si>
  <si>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</si>
  <si>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</si>
  <si>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</si>
  <si>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</si>
  <si>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</si>
  <si>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</si>
  <si>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</si>
  <si>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</si>
  <si>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</si>
  <si>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</si>
  <si>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</si>
  <si>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</si>
  <si>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</si>
  <si>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</si>
  <si>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</si>
  <si>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</si>
  <si>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</si>
  <si>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</si>
  <si>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</si>
  <si>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</si>
  <si>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</si>
  <si>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</si>
  <si>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</si>
  <si>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</si>
  <si>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</si>
  <si>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</si>
  <si>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</si>
  <si>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</si>
  <si>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</si>
  <si>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</si>
  <si>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</si>
  <si>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</si>
  <si>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</si>
  <si>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</si>
  <si>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</si>
  <si>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</si>
  <si>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</si>
  <si>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</si>
  <si>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</si>
  <si>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</si>
  <si>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</si>
  <si>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</si>
  <si>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</si>
  <si>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</si>
  <si>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</si>
  <si>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</si>
  <si>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</si>
  <si>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</si>
  <si>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</si>
  <si>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</si>
  <si>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</si>
  <si>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</si>
  <si>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</si>
  <si>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</si>
  <si>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</si>
  <si>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</si>
  <si>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</si>
  <si>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</si>
  <si>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</si>
  <si>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</si>
  <si>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</si>
  <si>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</si>
  <si>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</si>
  <si>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</si>
  <si>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</si>
  <si>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</si>
  <si>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</si>
  <si>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</si>
  <si>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</si>
  <si>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</si>
  <si>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</si>
  <si>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</si>
  <si>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</si>
  <si>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</si>
  <si>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</si>
  <si>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</si>
  <si>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</si>
  <si>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</si>
  <si>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</si>
  <si>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</si>
  <si>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</si>
  <si>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</si>
  <si>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</si>
  <si>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</si>
  <si>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</si>
  <si>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</si>
  <si>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</si>
  <si>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</si>
  <si>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</si>
  <si>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</si>
  <si>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</si>
  <si>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</si>
  <si>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</si>
  <si>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</si>
  <si>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</si>
  <si>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</si>
  <si>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</si>
  <si>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</si>
  <si>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</si>
  <si>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</si>
  <si>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</si>
  <si>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</si>
  <si>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</si>
  <si>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</si>
  <si>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</si>
  <si>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</si>
  <si>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</si>
  <si>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</si>
  <si>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</si>
  <si>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</si>
  <si>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</si>
  <si>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</si>
  <si>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</si>
  <si>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</si>
  <si>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</si>
  <si>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</si>
  <si>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</si>
  <si>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</si>
  <si>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</si>
  <si>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</si>
  <si>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</si>
  <si>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</si>
  <si>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</si>
  <si>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</si>
  <si>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</si>
  <si>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</si>
  <si>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</si>
  <si>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</si>
  <si>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</si>
  <si>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</si>
  <si>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</si>
  <si>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</si>
  <si>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</si>
  <si>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</si>
  <si>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</si>
  <si>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</si>
  <si>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</si>
  <si>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</si>
  <si>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</si>
  <si>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</si>
  <si>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</si>
  <si>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</si>
  <si>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</si>
  <si>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</si>
  <si>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</si>
  <si>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</si>
  <si>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</si>
  <si>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</si>
  <si>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</si>
  <si>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</si>
  <si>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</si>
  <si>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</si>
  <si>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</si>
  <si>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</si>
  <si>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</si>
  <si>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</si>
  <si>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</si>
  <si>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</si>
  <si>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</si>
  <si>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</si>
  <si>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</si>
  <si>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</si>
  <si>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</si>
  <si>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</si>
  <si>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</si>
  <si>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</si>
  <si>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</si>
  <si>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</si>
  <si>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</si>
  <si>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</si>
  <si>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</si>
  <si>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</si>
  <si>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</si>
  <si>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</si>
  <si>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</si>
  <si>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</si>
  <si>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</si>
  <si>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</si>
  <si>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</si>
  <si>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</si>
  <si>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</si>
  <si>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</si>
  <si>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</si>
  <si>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</si>
  <si>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</si>
  <si>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</si>
  <si>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</si>
  <si>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</si>
  <si>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</si>
  <si>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</si>
  <si>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</si>
  <si>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</si>
  <si>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</si>
  <si>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</si>
  <si>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</si>
  <si>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</si>
  <si>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</si>
  <si>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</si>
  <si>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</si>
  <si>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</si>
  <si>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</si>
  <si>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</si>
  <si>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</si>
  <si>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</si>
  <si>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</si>
  <si>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</si>
  <si>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</si>
  <si>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</si>
  <si>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</si>
  <si>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</si>
  <si>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</si>
  <si>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</si>
  <si>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</si>
  <si>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</si>
  <si>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</si>
  <si>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</si>
  <si>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</si>
  <si>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</si>
  <si>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</si>
  <si>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</si>
  <si>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</si>
  <si>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</si>
  <si>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</si>
  <si>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</si>
  <si>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</si>
  <si>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</si>
  <si>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</si>
  <si>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</si>
  <si>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</si>
  <si>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</si>
  <si>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</si>
  <si>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</si>
  <si>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</si>
  <si>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</si>
  <si>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</si>
  <si>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</si>
  <si>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</si>
  <si>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</si>
  <si>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</si>
  <si>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</si>
  <si>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</si>
  <si>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</si>
  <si>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</si>
  <si>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</si>
  <si>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</si>
  <si>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</si>
  <si>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</si>
  <si>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</si>
  <si>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</si>
  <si>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</si>
  <si>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</si>
  <si>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</si>
  <si>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</si>
  <si>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</si>
  <si>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</si>
  <si>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</si>
  <si>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</si>
  <si>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</si>
  <si>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</si>
  <si>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</si>
  <si>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</si>
  <si>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</si>
  <si>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</si>
  <si>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</si>
  <si>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</si>
  <si>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</si>
  <si>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</si>
  <si>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</si>
  <si>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</si>
  <si>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</si>
  <si>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</si>
  <si>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</si>
  <si>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</si>
  <si>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</si>
  <si>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</si>
  <si>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</si>
  <si>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</si>
  <si>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</si>
  <si>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</si>
  <si>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</si>
  <si>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</si>
  <si>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</si>
  <si>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</si>
  <si>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</si>
  <si>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</si>
  <si>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</si>
  <si>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</si>
  <si>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</si>
  <si>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</si>
  <si>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</si>
  <si>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</si>
  <si>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</si>
  <si>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</si>
  <si>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</si>
  <si>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</si>
  <si>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</si>
  <si>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</si>
  <si>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</si>
  <si>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</si>
  <si>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</si>
  <si>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</si>
  <si>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</si>
  <si>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</si>
  <si>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</si>
  <si>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</si>
  <si>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</si>
  <si>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</si>
  <si>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</si>
  <si>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</si>
  <si>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</si>
  <si>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</si>
  <si>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</si>
  <si>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</si>
  <si>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</si>
  <si>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</si>
  <si>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</si>
  <si>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</si>
  <si>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</si>
  <si>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</si>
  <si>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</si>
  <si>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</si>
  <si>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</si>
  <si>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</si>
  <si>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</si>
  <si>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</si>
  <si>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</si>
  <si>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</si>
  <si>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</si>
  <si>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</si>
  <si>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</si>
  <si>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</si>
  <si>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</si>
  <si>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</si>
  <si>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</si>
  <si>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</si>
  <si>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</si>
  <si>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</si>
  <si>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</si>
  <si>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</si>
  <si>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</si>
  <si>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</si>
  <si>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</si>
  <si>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</si>
  <si>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</si>
  <si>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</si>
  <si>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</si>
  <si>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</si>
  <si>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</si>
  <si>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</si>
  <si>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</si>
  <si>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</si>
  <si>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</si>
  <si>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</si>
  <si>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</si>
  <si>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</si>
  <si>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</si>
  <si>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</si>
  <si>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</si>
  <si>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</si>
  <si>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</si>
  <si>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</si>
  <si>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</si>
  <si>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</si>
  <si>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</si>
  <si>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</si>
  <si>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</si>
  <si>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</si>
  <si>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</si>
  <si>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</si>
  <si>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</si>
  <si>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</si>
  <si>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</si>
  <si>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</si>
  <si>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</si>
  <si>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</si>
  <si>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</si>
  <si>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</si>
  <si>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</si>
  <si>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</si>
  <si>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</si>
  <si>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</si>
  <si>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</si>
  <si>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</si>
  <si>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</si>
  <si>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</si>
  <si>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</si>
  <si>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</si>
  <si>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</si>
  <si>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</si>
  <si>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</si>
  <si>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</si>
  <si>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</si>
  <si>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</si>
  <si>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</si>
  <si>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</si>
  <si>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</si>
  <si>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</si>
  <si>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</si>
  <si>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</si>
  <si>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</si>
  <si>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</si>
  <si>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</si>
  <si>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</si>
  <si>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</si>
  <si>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</si>
  <si>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</si>
  <si>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</si>
  <si>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</si>
  <si>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</si>
  <si>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</si>
  <si>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</si>
  <si>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</si>
  <si>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</si>
  <si>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</si>
  <si>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</si>
  <si>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</si>
  <si>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</si>
  <si>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</si>
  <si>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</si>
  <si>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</si>
  <si>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</si>
  <si>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</si>
  <si>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</si>
  <si>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</si>
  <si>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</si>
  <si>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</si>
  <si>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</si>
  <si>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</si>
  <si>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</si>
  <si>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</si>
  <si>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</si>
  <si>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</si>
  <si>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</si>
  <si>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</si>
  <si>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</si>
  <si>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</si>
  <si>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</si>
  <si>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</si>
  <si>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</si>
  <si>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</si>
  <si>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</si>
  <si>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</si>
  <si>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</si>
  <si>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</si>
  <si>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</si>
  <si>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</si>
  <si>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</si>
  <si>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</si>
  <si>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</si>
  <si>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</si>
  <si>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</si>
  <si>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</si>
  <si>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</si>
  <si>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</si>
  <si>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</si>
  <si>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</si>
  <si>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</si>
  <si>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</si>
  <si>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</si>
  <si>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</si>
  <si>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</si>
  <si>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</si>
  <si>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</si>
  <si>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</si>
  <si>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</si>
  <si>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</si>
  <si>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</si>
  <si>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</si>
  <si>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</si>
  <si>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</si>
  <si>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</si>
  <si>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</si>
  <si>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</si>
  <si>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</si>
  <si>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</si>
  <si>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</si>
  <si>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</si>
  <si>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</si>
  <si>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</si>
  <si>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</si>
  <si>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</si>
  <si>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</si>
  <si>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</si>
  <si>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</si>
  <si>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</si>
  <si>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</si>
  <si>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</si>
  <si>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</si>
  <si>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</si>
  <si>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</si>
  <si>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</si>
  <si>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</si>
  <si>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</si>
  <si>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</si>
  <si>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</si>
  <si>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</si>
  <si>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</si>
  <si>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</si>
  <si>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</si>
  <si>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</si>
  <si>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</si>
  <si>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</si>
  <si>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</si>
  <si>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</si>
  <si>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</si>
  <si>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</si>
  <si>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</si>
  <si>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</si>
  <si>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</si>
  <si>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</si>
  <si>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</si>
  <si>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</si>
  <si>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</si>
  <si>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</si>
  <si>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</si>
  <si>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</si>
  <si>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</si>
  <si>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</si>
  <si>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</si>
  <si>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</si>
  <si>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</si>
  <si>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</si>
  <si>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</si>
  <si>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</si>
  <si>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</si>
  <si>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</si>
  <si>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</si>
  <si>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</si>
  <si>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</si>
  <si>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</si>
  <si>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</si>
  <si>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</si>
  <si>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</si>
  <si>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</si>
  <si>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</si>
  <si>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</si>
  <si>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</si>
  <si>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</si>
  <si>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</si>
  <si>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</si>
  <si>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</si>
  <si>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</si>
  <si>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</si>
  <si>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</si>
  <si>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</si>
  <si>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</si>
  <si>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</si>
  <si>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</si>
  <si>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</si>
  <si>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</si>
  <si>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</si>
  <si>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</si>
  <si>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</si>
  <si>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</si>
  <si>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</si>
  <si>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</si>
  <si>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</si>
  <si>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</si>
  <si>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</si>
  <si>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</si>
  <si>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</si>
  <si>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</si>
  <si>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</si>
  <si>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</si>
  <si>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</si>
  <si>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</si>
  <si>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</si>
  <si>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</si>
  <si>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</si>
  <si>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</si>
  <si>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</si>
  <si>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</si>
  <si>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</si>
  <si>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</si>
  <si>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</si>
  <si>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</si>
  <si>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</si>
  <si>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</si>
  <si>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</si>
  <si>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</si>
  <si>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</si>
  <si>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</si>
  <si>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</si>
  <si>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</si>
  <si>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</si>
  <si>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</si>
  <si>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</si>
  <si>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</si>
  <si>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</si>
  <si>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</si>
  <si>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</si>
  <si>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</si>
  <si>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</si>
  <si>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</si>
  <si>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</si>
  <si>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</si>
  <si>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</si>
  <si>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</si>
  <si>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</si>
  <si>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</si>
  <si>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</si>
  <si>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</si>
  <si>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</si>
  <si>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</si>
  <si>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</si>
  <si>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</si>
  <si>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</si>
  <si>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</si>
  <si>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</si>
  <si>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</si>
  <si>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</si>
  <si>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</si>
  <si>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</si>
  <si>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</si>
  <si>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</si>
  <si>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</si>
  <si>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</si>
  <si>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</si>
  <si>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</si>
  <si>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</si>
  <si>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</si>
  <si>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</si>
  <si>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</si>
  <si>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</si>
  <si>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</si>
  <si>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</si>
  <si>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</si>
  <si>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</si>
  <si>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</si>
  <si>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</si>
  <si>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</si>
  <si>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</si>
  <si>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</si>
  <si>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</si>
  <si>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</si>
  <si>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</si>
  <si>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</si>
  <si>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</si>
  <si>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</si>
  <si>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</si>
  <si>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</si>
  <si>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</si>
  <si>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</si>
  <si>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</si>
  <si>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</si>
  <si>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</si>
  <si>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</si>
  <si>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</si>
  <si>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</si>
  <si>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</si>
  <si>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</si>
  <si>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</si>
  <si>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</si>
  <si>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</si>
  <si>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</si>
  <si>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</si>
  <si>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</si>
  <si>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</si>
  <si>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</si>
  <si>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</si>
  <si>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</si>
  <si>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</si>
  <si>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</si>
  <si>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</si>
  <si>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</si>
  <si>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</si>
  <si>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</si>
  <si>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</si>
  <si>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</si>
  <si>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</si>
  <si>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</si>
  <si>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</si>
  <si>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</si>
  <si>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</si>
  <si>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</si>
  <si>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</si>
  <si>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</si>
  <si>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</si>
  <si>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</si>
  <si>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</si>
  <si>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</si>
  <si>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</si>
  <si>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</si>
  <si>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</si>
  <si>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</si>
  <si>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</si>
  <si>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</si>
  <si>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</si>
  <si>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</si>
  <si>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</si>
  <si>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</si>
  <si>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</si>
  <si>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</si>
  <si>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</si>
  <si>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</si>
  <si>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</si>
  <si>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</si>
  <si>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</si>
  <si>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</si>
  <si>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</si>
  <si>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</si>
  <si>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</si>
  <si>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</si>
  <si>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</si>
  <si>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</si>
  <si>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</si>
  <si>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</si>
  <si>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</si>
  <si>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</si>
  <si>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</si>
  <si>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</si>
  <si>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</si>
  <si>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</si>
  <si>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</si>
  <si>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</si>
  <si>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</si>
  <si>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</si>
  <si>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</si>
  <si>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</si>
  <si>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</si>
  <si>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</si>
  <si>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</si>
  <si>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</si>
  <si>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</si>
  <si>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</si>
  <si>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</si>
  <si>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</si>
  <si>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</si>
  <si>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</si>
  <si>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</si>
  <si>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</si>
  <si>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</si>
  <si>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</si>
  <si>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</si>
  <si>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</si>
  <si>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</si>
  <si>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</si>
  <si>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</si>
  <si>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</si>
  <si>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</si>
  <si>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</si>
  <si>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</si>
  <si>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</si>
  <si>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</si>
  <si>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</si>
  <si>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</si>
  <si>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</si>
  <si>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</si>
  <si>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</si>
  <si>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</si>
  <si>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</si>
  <si>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</si>
  <si>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</si>
  <si>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</si>
  <si>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</si>
  <si>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</si>
  <si>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</si>
  <si>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</si>
  <si>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</si>
  <si>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</si>
  <si>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</si>
  <si>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</si>
  <si>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</si>
  <si>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</si>
  <si>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</si>
  <si>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</si>
  <si>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</si>
  <si>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</si>
  <si>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</si>
  <si>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</si>
  <si>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</si>
  <si>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</si>
  <si>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</si>
  <si>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</si>
  <si>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</si>
  <si>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</si>
  <si>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</si>
  <si>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</si>
  <si>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</si>
  <si>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</si>
  <si>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</si>
  <si>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</si>
  <si>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</si>
  <si>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</si>
  <si>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</si>
  <si>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</si>
  <si>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</si>
  <si>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</si>
  <si>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</si>
  <si>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</si>
  <si>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</si>
  <si>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</si>
  <si>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</si>
  <si>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</si>
  <si>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</si>
  <si>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</si>
  <si>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</si>
  <si>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</si>
  <si>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</si>
  <si>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</si>
  <si>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</si>
  <si>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</si>
  <si>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</si>
  <si>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</si>
  <si>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</si>
  <si>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</si>
  <si>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</si>
  <si>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</si>
  <si>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</si>
  <si>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</si>
  <si>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</si>
  <si>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</si>
  <si>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</si>
  <si>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</si>
  <si>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</si>
  <si>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</si>
  <si>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</si>
  <si>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</si>
  <si>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</si>
  <si>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</si>
  <si>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</si>
  <si>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</si>
  <si>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</si>
  <si>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</si>
  <si>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</si>
  <si>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</si>
  <si>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</si>
  <si>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</si>
  <si>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</si>
  <si>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</si>
  <si>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</si>
  <si>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</si>
  <si>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</si>
  <si>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</si>
  <si>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</si>
  <si>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</si>
  <si>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</si>
  <si>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</si>
  <si>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</si>
  <si>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</si>
  <si>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</si>
  <si>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</si>
  <si>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</si>
  <si>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</si>
  <si>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</si>
  <si>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</si>
  <si>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</si>
  <si>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</si>
  <si>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</si>
  <si>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</si>
  <si>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</si>
  <si>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</si>
  <si>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</si>
  <si>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</si>
  <si>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</si>
  <si>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</si>
  <si>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</si>
  <si>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</si>
  <si>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</si>
  <si>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</si>
  <si>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</si>
  <si>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</si>
  <si>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</si>
  <si>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</si>
  <si>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</si>
  <si>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</si>
  <si>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</si>
  <si>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</si>
  <si>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</si>
  <si>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</si>
  <si>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</si>
  <si>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</si>
  <si>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</si>
  <si>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</si>
  <si>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</si>
  <si>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</si>
  <si>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</si>
  <si>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</si>
  <si>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</si>
  <si>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</si>
  <si>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</si>
  <si>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</si>
  <si>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</si>
  <si>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</si>
  <si>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</si>
  <si>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</si>
  <si>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</si>
  <si>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</si>
  <si>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</si>
  <si>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</si>
  <si>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</si>
  <si>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</si>
  <si>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</si>
  <si>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</si>
  <si>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</si>
  <si>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</si>
  <si>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</si>
  <si>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</si>
  <si>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</si>
  <si>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</si>
  <si>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</si>
  <si>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</si>
  <si>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</si>
  <si>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</si>
  <si>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</si>
  <si>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</si>
  <si>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</si>
  <si>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</si>
  <si>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</si>
  <si>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</si>
  <si>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</si>
  <si>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</si>
  <si>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</si>
  <si>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</si>
  <si>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</si>
  <si>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</si>
  <si>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</si>
  <si>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</si>
  <si>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</si>
  <si>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</si>
  <si>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</si>
  <si>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</si>
  <si>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</si>
  <si>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</si>
  <si>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</si>
  <si>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</si>
  <si>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</si>
  <si>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</si>
  <si>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</si>
  <si>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</si>
  <si>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</si>
  <si>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</si>
  <si>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</si>
  <si>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</si>
  <si>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</si>
  <si>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</si>
  <si>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</si>
  <si>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</si>
  <si>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</si>
  <si>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</si>
  <si>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</si>
  <si>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</si>
  <si>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</si>
  <si>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</si>
  <si>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</si>
  <si>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</si>
  <si>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</si>
  <si>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</si>
  <si>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</si>
  <si>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</si>
  <si>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</si>
  <si>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</si>
  <si>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</si>
  <si>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</si>
  <si>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</si>
  <si>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</si>
  <si>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</si>
  <si>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</si>
  <si>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</si>
  <si>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</si>
  <si>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</si>
  <si>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</si>
  <si>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</si>
  <si>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</si>
  <si>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</si>
  <si>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</si>
  <si>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</si>
  <si>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</si>
  <si>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</si>
  <si>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</si>
  <si>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</si>
  <si>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</si>
  <si>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</si>
  <si>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</si>
  <si>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</si>
  <si>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</si>
  <si>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</si>
  <si>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</si>
  <si>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</si>
  <si>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</si>
  <si>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</si>
  <si>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</si>
  <si>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</si>
  <si>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</si>
  <si>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</si>
  <si>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</si>
  <si>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</si>
  <si>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</si>
  <si>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</si>
  <si>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</si>
  <si>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</si>
  <si>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</si>
  <si>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</si>
  <si>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</si>
  <si>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</si>
  <si>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</si>
  <si>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</si>
  <si>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</si>
  <si>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</si>
  <si>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</si>
  <si>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</si>
  <si>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</si>
  <si>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</si>
  <si>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</si>
  <si>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</si>
  <si>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</si>
  <si>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</si>
  <si>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</si>
  <si>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</si>
  <si>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</si>
  <si>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</si>
  <si>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</si>
  <si>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</si>
  <si>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</si>
  <si>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</si>
  <si>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</si>
  <si>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</si>
  <si>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</si>
  <si>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</si>
  <si>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</si>
  <si>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</si>
  <si>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</si>
  <si>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</si>
  <si>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</si>
  <si>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</si>
  <si>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</si>
  <si>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</si>
  <si>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</si>
  <si>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</si>
  <si>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</si>
  <si>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</si>
  <si>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</si>
  <si>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</si>
  <si>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</si>
  <si>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</si>
  <si>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</si>
  <si>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</si>
  <si>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</si>
  <si>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</si>
  <si>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</si>
  <si>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</si>
  <si>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</si>
  <si>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</si>
  <si>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</si>
  <si>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</si>
  <si>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</si>
  <si>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</si>
  <si>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</si>
  <si>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</si>
  <si>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</si>
  <si>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</si>
  <si>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</si>
  <si>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</si>
  <si>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</si>
  <si>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</si>
  <si>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</si>
  <si>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</si>
  <si>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</si>
  <si>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</si>
  <si>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</si>
  <si>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</si>
  <si>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</si>
  <si>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</si>
  <si>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</si>
  <si>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</si>
  <si>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</si>
  <si>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</si>
  <si>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</si>
  <si>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</si>
  <si>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</si>
  <si>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</si>
  <si>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</si>
  <si>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</si>
  <si>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</si>
  <si>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</si>
  <si>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</si>
  <si>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</si>
  <si>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</si>
  <si>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</si>
  <si>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</si>
  <si>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</si>
  <si>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</si>
  <si>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</si>
  <si>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</si>
  <si>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</si>
  <si>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</si>
  <si>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</si>
  <si>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</si>
  <si>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</si>
  <si>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</si>
  <si>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</si>
  <si>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</si>
  <si>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</si>
  <si>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</si>
  <si>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</si>
  <si>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</si>
  <si>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</si>
  <si>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</si>
  <si>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</si>
  <si>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</si>
  <si>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</si>
  <si>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</si>
  <si>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</si>
  <si>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</si>
  <si>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</si>
  <si>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</si>
  <si>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</si>
  <si>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</si>
  <si>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</si>
  <si>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</si>
  <si>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</si>
  <si>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</si>
  <si>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</si>
  <si>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</si>
  <si>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</si>
  <si>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</si>
  <si>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</si>
  <si>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</si>
  <si>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</si>
  <si>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</si>
  <si>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</si>
  <si>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</si>
  <si>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</si>
  <si>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</si>
  <si>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</si>
  <si>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</si>
  <si>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</si>
  <si>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</si>
  <si>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</si>
  <si>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</si>
  <si>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</si>
  <si>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</si>
  <si>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</si>
  <si>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</si>
  <si>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</si>
  <si>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</si>
  <si>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</si>
  <si>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</si>
  <si>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</si>
  <si>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</si>
  <si>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</si>
  <si>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</si>
  <si>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</si>
  <si>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</si>
  <si>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</si>
  <si>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</si>
  <si>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</si>
  <si>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</si>
  <si>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</si>
  <si>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</si>
  <si>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</si>
  <si>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</si>
  <si>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</si>
  <si>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</si>
  <si>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</si>
  <si>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</si>
  <si>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</si>
  <si>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</si>
  <si>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</si>
  <si>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</si>
  <si>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</si>
  <si>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</si>
  <si>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</si>
  <si>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</si>
  <si>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</si>
  <si>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</si>
  <si>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</si>
  <si>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</si>
  <si>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</si>
  <si>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</si>
  <si>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</si>
  <si>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</si>
  <si>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</si>
  <si>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</si>
  <si>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</si>
  <si>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</si>
  <si>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</si>
  <si>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</si>
  <si>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</si>
  <si>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</si>
  <si>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</si>
  <si>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</si>
  <si>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</si>
  <si>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</si>
  <si>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</si>
  <si>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</si>
  <si>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</si>
  <si>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</si>
  <si>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</si>
  <si>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</si>
  <si>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</si>
  <si>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</si>
  <si>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</si>
  <si>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</si>
  <si>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</si>
  <si>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</si>
  <si>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</si>
  <si>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</si>
  <si>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</si>
  <si>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</si>
  <si>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</si>
  <si>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</si>
  <si>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</si>
  <si>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</si>
  <si>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</si>
  <si>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</si>
  <si>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</si>
  <si>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</si>
  <si>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</si>
  <si>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</si>
  <si>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</si>
  <si>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</si>
  <si>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</si>
  <si>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</si>
  <si>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</si>
  <si>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</si>
  <si>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</si>
  <si>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</si>
  <si>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</si>
  <si>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</si>
  <si>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</si>
  <si>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</si>
  <si>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</si>
  <si>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</si>
  <si>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</si>
  <si>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</si>
  <si>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</si>
  <si>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</si>
  <si>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</si>
  <si>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</si>
  <si>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</si>
  <si>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</si>
  <si>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</si>
  <si>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</si>
  <si>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</si>
  <si>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</si>
  <si>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</si>
  <si>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</si>
  <si>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</si>
  <si>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</si>
  <si>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</si>
  <si>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</si>
  <si>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</si>
  <si>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</si>
  <si>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</si>
  <si>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</si>
  <si>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</si>
  <si>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</si>
  <si>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</si>
  <si>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</si>
  <si>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</si>
  <si>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</si>
  <si>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</si>
  <si>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</si>
  <si>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</si>
  <si>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</si>
  <si>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</si>
  <si>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</si>
  <si>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</si>
  <si>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</si>
  <si>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</si>
  <si>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</si>
  <si>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</si>
  <si>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</si>
  <si>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</si>
  <si>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</si>
  <si>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</si>
  <si>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</si>
  <si>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</si>
  <si>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</si>
  <si>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</si>
  <si>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</si>
  <si>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</si>
  <si>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</si>
  <si>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</si>
  <si>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</si>
  <si>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</si>
  <si>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</si>
  <si>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</si>
  <si>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</si>
  <si>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</si>
  <si>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</si>
  <si>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</si>
  <si>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</si>
  <si>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</si>
  <si>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</si>
  <si>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</si>
  <si>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</si>
  <si>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</si>
  <si>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</si>
  <si>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</si>
  <si>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</si>
  <si>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</si>
  <si>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</si>
  <si>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</si>
  <si>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</si>
  <si>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</si>
  <si>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</si>
  <si>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</si>
  <si>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</si>
  <si>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</si>
  <si>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</si>
  <si>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</si>
  <si>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</si>
  <si>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</si>
  <si>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</si>
  <si>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</si>
  <si>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</si>
  <si>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</si>
  <si>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</si>
  <si>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</si>
  <si>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</si>
  <si>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</si>
  <si>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</si>
  <si>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</si>
  <si>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</si>
  <si>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</si>
  <si>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</si>
  <si>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</si>
  <si>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</si>
  <si>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</si>
  <si>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</si>
  <si>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</si>
  <si>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</si>
  <si>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</si>
  <si>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</si>
  <si>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</si>
  <si>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</si>
  <si>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</si>
  <si>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</si>
  <si>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</si>
  <si>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</si>
  <si>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</si>
  <si>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</si>
  <si>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</si>
  <si>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</si>
  <si>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</si>
  <si>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</si>
  <si>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</si>
  <si>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</si>
  <si>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</si>
  <si>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</si>
  <si>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</si>
  <si>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</si>
  <si>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</si>
  <si>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</si>
  <si>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</si>
  <si>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</si>
  <si>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</si>
  <si>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</si>
  <si>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</si>
  <si>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</si>
  <si>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</si>
  <si>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</si>
  <si>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</si>
  <si>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</si>
  <si>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</si>
  <si>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</si>
  <si>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</si>
  <si>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</si>
  <si>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</si>
  <si>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</si>
  <si>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</si>
  <si>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</si>
  <si>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</si>
  <si>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</si>
  <si>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</si>
  <si>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</si>
  <si>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</si>
  <si>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</si>
  <si>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</si>
  <si>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</si>
  <si>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</si>
  <si>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</si>
  <si>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</si>
  <si>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</si>
  <si>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</si>
  <si>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</si>
  <si>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</si>
  <si>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</si>
  <si>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</si>
  <si>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</si>
  <si>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</si>
  <si>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</si>
  <si>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</si>
  <si>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</si>
  <si>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</si>
  <si>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</si>
  <si>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</si>
  <si>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</si>
  <si>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</si>
  <si>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</si>
  <si>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</si>
  <si>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</si>
  <si>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</si>
  <si>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</si>
  <si>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</si>
  <si>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</si>
  <si>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</si>
  <si>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</si>
  <si>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</si>
  <si>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</si>
  <si>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</si>
  <si>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</si>
  <si>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</si>
  <si>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</si>
  <si>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</si>
  <si>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</si>
  <si>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</si>
  <si>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</si>
  <si>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</si>
  <si>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</si>
  <si>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</si>
  <si>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</si>
  <si>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</si>
  <si>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</si>
  <si>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</si>
  <si>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</si>
  <si>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</si>
  <si>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</si>
  <si>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</si>
  <si>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</si>
  <si>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</si>
  <si>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</si>
  <si>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</si>
  <si>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</si>
  <si>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</si>
  <si>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</si>
  <si>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</si>
  <si>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</si>
  <si>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</si>
  <si>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</si>
  <si>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</si>
  <si>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</si>
  <si>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</si>
  <si>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</si>
  <si>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</si>
  <si>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</si>
  <si>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</si>
  <si>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</si>
  <si>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</si>
  <si>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</si>
  <si>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</si>
  <si>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</si>
  <si>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</si>
  <si>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</si>
  <si>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</si>
  <si>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</si>
  <si>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</si>
  <si>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</si>
  <si>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</si>
  <si>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</si>
  <si>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</si>
  <si>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</si>
  <si>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</si>
  <si>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</si>
  <si>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</si>
  <si>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</si>
  <si>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</si>
  <si>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</si>
  <si>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</si>
  <si>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</si>
  <si>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</si>
  <si>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</si>
  <si>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</si>
  <si>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</si>
  <si>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</si>
  <si>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</si>
  <si>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</si>
  <si>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</si>
  <si>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</si>
  <si>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</si>
  <si>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</si>
  <si>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</si>
  <si>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</si>
  <si>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</si>
  <si>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</si>
  <si>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</si>
  <si>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</si>
  <si>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</si>
  <si>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</si>
  <si>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</si>
  <si>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</si>
  <si>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</si>
  <si>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</si>
  <si>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</si>
  <si>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</si>
  <si>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</si>
  <si>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</si>
  <si>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</si>
  <si>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</si>
  <si>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</si>
  <si>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</si>
  <si>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</si>
  <si>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</si>
  <si>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</si>
  <si>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</si>
  <si>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</si>
  <si>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</si>
  <si>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</si>
  <si>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</si>
  <si>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</si>
  <si>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</si>
  <si>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</si>
  <si>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</si>
  <si>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</si>
  <si>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</si>
  <si>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</si>
  <si>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</si>
  <si>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</si>
  <si>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</si>
  <si>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</si>
  <si>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</si>
  <si>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</si>
  <si>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</si>
  <si>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</si>
  <si>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</si>
  <si>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</si>
  <si>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</si>
  <si>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</si>
  <si>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</si>
  <si>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</si>
  <si>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</si>
  <si>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</si>
  <si>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</si>
  <si>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</si>
  <si>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</si>
  <si>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</si>
  <si>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</si>
  <si>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</si>
  <si>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</si>
  <si>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</si>
  <si>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</si>
  <si>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</si>
  <si>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</si>
  <si>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</si>
  <si>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</si>
  <si>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</si>
  <si>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</si>
  <si>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</si>
  <si>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</si>
  <si>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</si>
  <si>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</si>
  <si>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</si>
  <si>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</si>
  <si>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</si>
  <si>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</si>
  <si>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</si>
  <si>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</si>
  <si>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</si>
  <si>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</si>
  <si>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</si>
  <si>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</si>
  <si>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</si>
  <si>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</si>
  <si>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</si>
  <si>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</si>
  <si>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</si>
  <si>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</si>
  <si>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</si>
  <si>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</si>
  <si>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</si>
  <si>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</si>
  <si>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</si>
  <si>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</si>
  <si>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</si>
  <si>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</si>
  <si>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</si>
  <si>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</si>
  <si>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</si>
  <si>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</si>
  <si>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</si>
  <si>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</si>
  <si>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</si>
  <si>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</si>
  <si>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</si>
  <si>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</si>
  <si>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</si>
  <si>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</si>
  <si>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</si>
  <si>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</si>
  <si>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</si>
  <si>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</si>
  <si>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</si>
  <si>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</si>
  <si>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</si>
  <si>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</si>
  <si>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</si>
  <si>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</si>
  <si>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</si>
  <si>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</si>
  <si>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</si>
  <si>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</si>
  <si>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</si>
  <si>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</si>
  <si>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</si>
  <si>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</si>
  <si>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</si>
  <si>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</si>
  <si>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</si>
  <si>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</si>
  <si>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</si>
  <si>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</si>
  <si>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</si>
  <si>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</si>
  <si>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</si>
  <si>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</si>
  <si>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</si>
  <si>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</si>
  <si>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</si>
  <si>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</si>
  <si>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</si>
  <si>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</si>
  <si>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</si>
  <si>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</si>
  <si>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</si>
  <si>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</si>
  <si>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</si>
  <si>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</si>
  <si>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</si>
  <si>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</si>
  <si>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</si>
  <si>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</si>
  <si>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</si>
  <si>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</si>
  <si>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</si>
  <si>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</si>
  <si>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</si>
  <si>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</si>
  <si>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</si>
  <si>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</si>
  <si>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</si>
  <si>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</si>
  <si>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</si>
  <si>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</si>
  <si>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</si>
  <si>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</si>
  <si>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</si>
  <si>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</si>
  <si>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</si>
  <si>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</si>
  <si>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</si>
  <si>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</si>
  <si>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</si>
  <si>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</si>
  <si>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</si>
  <si>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</si>
  <si>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</si>
  <si>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</si>
  <si>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</si>
  <si>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</si>
  <si>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</si>
  <si>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</si>
  <si>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</si>
  <si>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</si>
  <si>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</si>
  <si>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</si>
  <si>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</si>
  <si>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</si>
  <si>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</si>
  <si>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</si>
  <si>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</si>
  <si>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</si>
  <si>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</si>
  <si>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</si>
  <si>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</si>
  <si>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</si>
  <si>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</si>
  <si>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</si>
  <si>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</si>
  <si>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</si>
  <si>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</si>
  <si>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</si>
  <si>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</si>
  <si>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</si>
  <si>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</si>
  <si>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</si>
  <si>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</si>
  <si>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</si>
  <si>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</si>
  <si>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</si>
  <si>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</si>
  <si>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</si>
  <si>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</si>
  <si>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</si>
  <si>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</si>
  <si>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</si>
  <si>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</si>
  <si>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</si>
  <si>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</si>
  <si>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</si>
  <si>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</si>
  <si>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</si>
  <si>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</si>
  <si>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</si>
  <si>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</si>
  <si>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</si>
  <si>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</si>
  <si>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</si>
  <si>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</si>
  <si>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</si>
  <si>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</si>
  <si>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</si>
  <si>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</si>
  <si>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</si>
  <si>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</si>
  <si>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</si>
  <si>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</si>
  <si>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</si>
  <si>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</si>
  <si>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</si>
  <si>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</si>
  <si>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</si>
  <si>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</si>
  <si>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</si>
  <si>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</si>
  <si>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</si>
  <si>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</si>
  <si>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</si>
  <si>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</si>
  <si>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</si>
  <si>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</si>
  <si>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</si>
  <si>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</si>
  <si>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</si>
  <si>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</si>
  <si>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</si>
  <si>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</si>
  <si>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</si>
  <si>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</si>
  <si>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</si>
  <si>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</si>
  <si>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</si>
  <si>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</si>
  <si>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</si>
  <si>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</si>
  <si>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</si>
  <si>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</si>
  <si>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</si>
  <si>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</si>
  <si>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</si>
  <si>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</si>
  <si>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</si>
  <si>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</si>
  <si>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</si>
  <si>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</si>
  <si>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</si>
  <si>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</si>
  <si>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</si>
  <si>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</si>
  <si>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</si>
  <si>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</si>
  <si>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</si>
  <si>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</si>
  <si>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</si>
  <si>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</si>
  <si>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</si>
  <si>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</si>
  <si>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</si>
  <si>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</si>
  <si>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</si>
  <si>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</si>
  <si>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</si>
  <si>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</si>
  <si>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</si>
  <si>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</si>
  <si>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</si>
  <si>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</si>
  <si>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</si>
  <si>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</si>
  <si>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</si>
  <si>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</si>
  <si>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</si>
  <si>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</si>
  <si>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</si>
  <si>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</si>
  <si>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</si>
  <si>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</si>
  <si>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</si>
  <si>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</si>
  <si>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</si>
  <si>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</si>
  <si>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</si>
  <si>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</si>
  <si>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</si>
  <si>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</si>
  <si>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</si>
  <si>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</si>
  <si>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</si>
  <si>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</si>
  <si>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</si>
  <si>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</si>
  <si>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</si>
  <si>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</si>
  <si>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</si>
  <si>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</si>
  <si>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</si>
  <si>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</si>
  <si>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</si>
  <si>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</si>
  <si>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</si>
  <si>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</si>
  <si>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</si>
  <si>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</si>
  <si>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</si>
  <si>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</si>
  <si>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</si>
  <si>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</si>
  <si>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</si>
  <si>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</si>
  <si>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</si>
  <si>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</si>
  <si>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</si>
  <si>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</si>
  <si>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</si>
  <si>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</si>
  <si>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</si>
  <si>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</si>
  <si>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</si>
  <si>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</si>
  <si>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</si>
  <si>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</si>
  <si>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</si>
  <si>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</si>
  <si>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</si>
  <si>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</si>
  <si>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</si>
  <si>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</si>
  <si>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</si>
  <si>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</si>
  <si>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</si>
  <si>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</si>
  <si>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</si>
  <si>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</si>
  <si>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</si>
  <si>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</si>
  <si>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</si>
  <si>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</si>
  <si>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</si>
  <si>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</si>
  <si>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</si>
  <si>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</si>
  <si>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</si>
  <si>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</si>
  <si>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</si>
  <si>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</si>
  <si>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</si>
  <si>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</si>
  <si>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</si>
  <si>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</si>
  <si>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</si>
  <si>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</si>
  <si>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</si>
  <si>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</si>
  <si>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</si>
  <si>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</si>
  <si>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</si>
  <si>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</si>
  <si>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</si>
  <si>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</si>
  <si>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</si>
  <si>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</si>
  <si>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</si>
  <si>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</si>
  <si>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</si>
  <si>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</si>
  <si>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</si>
  <si>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</si>
  <si>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</si>
  <si>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</si>
  <si>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</si>
  <si>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</si>
  <si>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</si>
  <si>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</si>
  <si>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</si>
  <si>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</si>
  <si>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</si>
  <si>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</si>
  <si>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</si>
  <si>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</si>
  <si>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</si>
  <si>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</si>
  <si>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</si>
  <si>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</si>
  <si>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</si>
  <si>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</si>
  <si>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</si>
  <si>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</si>
  <si>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</si>
  <si>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</si>
  <si>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</si>
  <si>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</si>
  <si>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</si>
  <si>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</si>
  <si>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</si>
  <si>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</si>
  <si>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</si>
  <si>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</si>
  <si>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</si>
  <si>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</si>
  <si>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</si>
  <si>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</si>
  <si>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</si>
  <si>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</si>
  <si>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</si>
  <si>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</si>
  <si>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</si>
  <si>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</si>
  <si>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</si>
  <si>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</si>
  <si>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</si>
  <si>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</si>
  <si>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</si>
  <si>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</si>
  <si>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</si>
  <si>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</si>
  <si>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</si>
  <si>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</si>
  <si>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</si>
  <si>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</si>
  <si>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</si>
  <si>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</si>
  <si>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</si>
  <si>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</si>
  <si>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</si>
  <si>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</si>
  <si>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</si>
  <si>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</si>
  <si>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</si>
  <si>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</si>
  <si>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</si>
  <si>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</si>
  <si>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</si>
  <si>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</si>
  <si>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</si>
  <si>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</si>
  <si>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</si>
  <si>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</si>
  <si>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</si>
  <si>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</si>
  <si>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</si>
  <si>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</si>
  <si>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</si>
  <si>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</si>
  <si>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</si>
  <si>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</si>
  <si>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</si>
  <si>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</si>
  <si>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</si>
  <si>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</si>
  <si>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</si>
  <si>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</si>
  <si>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</si>
  <si>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</si>
  <si>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</si>
  <si>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</si>
  <si>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</si>
  <si>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</si>
  <si>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</si>
  <si>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</si>
  <si>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</si>
  <si>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</si>
  <si>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</si>
  <si>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</si>
  <si>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</si>
  <si>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</si>
  <si>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</si>
  <si>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</si>
  <si>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</si>
  <si>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</si>
  <si>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</si>
  <si>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</si>
  <si>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</si>
  <si>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</si>
  <si>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</si>
  <si>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</si>
  <si>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</si>
  <si>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</si>
  <si>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</si>
  <si>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</si>
  <si>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</si>
  <si>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</si>
  <si>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</si>
  <si>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</si>
  <si>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</si>
  <si>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</si>
  <si>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</si>
  <si>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</si>
  <si>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</si>
  <si>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</si>
  <si>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</si>
  <si>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</si>
  <si>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</si>
  <si>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</si>
  <si>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</si>
  <si>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</si>
  <si>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</si>
  <si>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</si>
  <si>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</si>
  <si>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</si>
  <si>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</si>
  <si>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</si>
  <si>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</si>
  <si>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</si>
  <si>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</si>
  <si>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</si>
  <si>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</si>
  <si>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</si>
  <si>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</si>
  <si>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</si>
  <si>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</si>
  <si>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</si>
  <si>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</si>
  <si>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</si>
  <si>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</si>
  <si>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</si>
  <si>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</si>
  <si>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</si>
  <si>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</si>
  <si>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</si>
  <si>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</si>
  <si>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</si>
  <si>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</si>
  <si>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</si>
  <si>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</si>
  <si>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</si>
  <si>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</si>
  <si>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</si>
  <si>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</si>
  <si>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</si>
  <si>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</si>
  <si>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</si>
  <si>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</si>
  <si>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</si>
  <si>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</si>
  <si>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</si>
  <si>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</si>
  <si>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</si>
  <si>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</si>
  <si>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</si>
  <si>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</si>
  <si>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</si>
  <si>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</si>
  <si>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</si>
  <si>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</si>
  <si>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</si>
  <si>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</si>
  <si>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</si>
  <si>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</si>
  <si>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</si>
  <si>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</si>
  <si>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</si>
  <si>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</si>
  <si>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</si>
  <si>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</si>
  <si>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</si>
  <si>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</si>
  <si>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</si>
  <si>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</si>
  <si>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</si>
  <si>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</si>
  <si>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</si>
  <si>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</si>
  <si>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</si>
  <si>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</si>
  <si>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</si>
  <si>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</si>
  <si>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</si>
  <si>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</si>
  <si>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</si>
  <si>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</si>
  <si>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</si>
  <si>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</si>
  <si>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</si>
  <si>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</si>
  <si>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</si>
  <si>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</si>
  <si>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</si>
  <si>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</si>
  <si>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</si>
  <si>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</si>
  <si>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</si>
  <si>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</si>
  <si>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</si>
  <si>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</si>
  <si>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</si>
  <si>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</si>
  <si>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</si>
  <si>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</si>
  <si>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</si>
  <si>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</si>
  <si>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</si>
  <si>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</si>
  <si>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</si>
  <si>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</si>
  <si>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</si>
  <si>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</si>
  <si>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</si>
  <si>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</si>
  <si>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</si>
  <si>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</si>
  <si>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</si>
  <si>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</si>
  <si>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</si>
  <si>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</si>
  <si>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</si>
  <si>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</si>
  <si>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</si>
  <si>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</si>
  <si>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</si>
  <si>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</si>
  <si>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</si>
  <si>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</si>
  <si>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</si>
  <si>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</si>
  <si>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</si>
  <si>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</si>
  <si>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</si>
  <si>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</si>
  <si>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</si>
  <si>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</si>
  <si>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</si>
  <si>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</si>
  <si>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</si>
  <si>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</si>
  <si>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</si>
  <si>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</si>
  <si>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</si>
  <si>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</si>
  <si>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</si>
  <si>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</si>
  <si>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</si>
  <si>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</si>
  <si>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</si>
  <si>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</si>
  <si>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</si>
  <si>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</si>
  <si>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</si>
  <si>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</si>
  <si>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</si>
  <si>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</si>
  <si>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</si>
  <si>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</si>
  <si>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</si>
  <si>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</si>
  <si>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</si>
  <si>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</si>
  <si>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</si>
  <si>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</si>
  <si>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</si>
  <si>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</si>
  <si>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</si>
  <si>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</si>
  <si>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</si>
  <si>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</si>
  <si>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</si>
  <si>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</si>
  <si>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</si>
  <si>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</si>
  <si>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</si>
  <si>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</si>
  <si>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</si>
  <si>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</si>
  <si>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</si>
  <si>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</si>
  <si>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</si>
  <si>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</si>
  <si>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</si>
  <si>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</si>
  <si>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</si>
  <si>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</si>
  <si>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</si>
  <si>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</si>
  <si>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</si>
  <si>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</si>
  <si>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</si>
  <si>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</si>
  <si>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</si>
  <si>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</si>
  <si>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</si>
  <si>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</si>
  <si>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</si>
  <si>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</si>
  <si>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</si>
  <si>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</si>
  <si>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</si>
  <si>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</si>
  <si>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</si>
  <si>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</si>
  <si>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</si>
  <si>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</si>
  <si>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</si>
  <si>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</si>
  <si>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</si>
  <si>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</si>
  <si>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</si>
  <si>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</si>
  <si>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</si>
  <si>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</si>
  <si>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</si>
  <si>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</si>
  <si>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</si>
  <si>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</si>
  <si>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</si>
  <si>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</si>
  <si>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</si>
  <si>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</si>
  <si>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</si>
  <si>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</si>
  <si>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</si>
  <si>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</si>
  <si>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</si>
  <si>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</si>
  <si>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</si>
  <si>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</si>
  <si>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</si>
  <si>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</si>
  <si>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</si>
  <si>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</si>
  <si>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</si>
  <si>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</si>
  <si>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</si>
  <si>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</si>
  <si>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</si>
  <si>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</si>
  <si>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</si>
  <si>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</si>
  <si>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</si>
  <si>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</si>
  <si>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</si>
  <si>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</si>
  <si>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</si>
  <si>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</si>
  <si>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</si>
  <si>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</si>
  <si>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</si>
  <si>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</si>
  <si>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</si>
  <si>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</si>
  <si>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</si>
  <si>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</si>
  <si>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</si>
  <si>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</si>
  <si>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</si>
  <si>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</si>
  <si>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</si>
  <si>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</si>
  <si>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</si>
  <si>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</si>
  <si>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</si>
  <si>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</si>
  <si>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</si>
  <si>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</si>
  <si>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</si>
  <si>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</si>
  <si>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</si>
  <si>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</si>
  <si>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</si>
  <si>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</si>
  <si>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</si>
  <si>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</si>
  <si>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</si>
  <si>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</si>
  <si>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</si>
  <si>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</si>
  <si>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</si>
  <si>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</si>
  <si>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</si>
  <si>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</si>
  <si>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</si>
  <si>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</si>
  <si>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</si>
  <si>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</si>
  <si>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</si>
  <si>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</si>
  <si>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</si>
  <si>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</si>
  <si>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</si>
  <si>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</si>
  <si>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</si>
  <si>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</si>
  <si>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</si>
  <si>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</si>
  <si>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</si>
  <si>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</si>
  <si>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</si>
  <si>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</si>
  <si>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</si>
  <si>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</si>
  <si>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</si>
  <si>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</si>
  <si>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</si>
  <si>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</si>
  <si>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</si>
  <si>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</si>
  <si>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</si>
  <si>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</si>
  <si>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</si>
  <si>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</si>
  <si>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</si>
  <si>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</si>
  <si>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</si>
  <si>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</si>
  <si>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</si>
  <si>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</si>
  <si>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</si>
  <si>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</si>
  <si>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</si>
  <si>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</si>
  <si>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</si>
  <si>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</si>
  <si>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</si>
  <si>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</si>
  <si>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</si>
  <si>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</si>
  <si>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</si>
  <si>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</si>
  <si>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</si>
  <si>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</si>
  <si>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</si>
  <si>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</si>
  <si>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</si>
  <si>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</si>
  <si>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</si>
  <si>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</si>
  <si>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</si>
  <si>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</si>
  <si>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</si>
  <si>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</si>
  <si>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</si>
  <si>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</si>
  <si>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</si>
  <si>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</si>
  <si>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</si>
  <si>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</si>
  <si>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</si>
  <si>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</si>
  <si>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</si>
  <si>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</si>
  <si>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</si>
  <si>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</si>
  <si>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</si>
  <si>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</si>
  <si>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</si>
  <si>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</si>
  <si>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</si>
  <si>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</si>
  <si>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</si>
  <si>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</si>
  <si>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</si>
  <si>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</si>
  <si>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</si>
  <si>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</si>
  <si>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</si>
  <si>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</si>
  <si>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</si>
  <si>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</si>
  <si>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</si>
  <si>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</si>
  <si>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</si>
  <si>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</si>
  <si>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</si>
  <si>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</si>
  <si>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</si>
  <si>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</si>
  <si>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</si>
  <si>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</si>
  <si>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</si>
  <si>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</si>
  <si>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</si>
  <si>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</si>
  <si>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</si>
  <si>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</si>
  <si>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</si>
  <si>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</si>
  <si>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</si>
  <si>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</si>
  <si>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</si>
  <si>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</si>
  <si>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</si>
  <si>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</si>
  <si>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</si>
  <si>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</si>
  <si>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</si>
  <si>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</si>
  <si>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</si>
  <si>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</si>
  <si>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</si>
  <si>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</si>
  <si>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</si>
  <si>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</si>
  <si>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</si>
  <si>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</si>
  <si>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</si>
  <si>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</si>
  <si>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</si>
  <si>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</si>
  <si>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</si>
  <si>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</si>
  <si>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</si>
  <si>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</si>
  <si>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</si>
  <si>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</si>
  <si>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</si>
  <si>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</si>
  <si>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</si>
  <si>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</si>
  <si>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</si>
  <si>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</si>
  <si>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</si>
  <si>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</si>
  <si>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</si>
  <si>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</si>
  <si>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</si>
  <si>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</si>
  <si>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</si>
  <si>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</si>
  <si>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</si>
  <si>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</si>
  <si>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</si>
  <si>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</si>
  <si>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</si>
  <si>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</si>
  <si>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</si>
  <si>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</si>
  <si>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</si>
  <si>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</si>
  <si>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</si>
  <si>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</si>
  <si>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</si>
  <si>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</si>
  <si>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</si>
  <si>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</si>
  <si>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</si>
  <si>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</si>
  <si>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</si>
  <si>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</si>
  <si>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</si>
  <si>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</si>
  <si>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</si>
  <si>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</si>
  <si>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</si>
  <si>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</si>
  <si>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</si>
  <si>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</si>
  <si>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</si>
  <si>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</si>
  <si>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</si>
  <si>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</si>
  <si>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</si>
  <si>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</si>
  <si>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</si>
  <si>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</si>
  <si>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</si>
  <si>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</si>
  <si>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</si>
  <si>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</si>
  <si>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</si>
  <si>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</si>
  <si>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</si>
  <si>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</si>
  <si>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</si>
  <si>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</si>
  <si>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</si>
  <si>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</si>
  <si>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</si>
  <si>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</si>
  <si>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</si>
  <si>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</si>
  <si>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</si>
  <si>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</si>
  <si>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</si>
  <si>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</si>
  <si>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</si>
  <si>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</si>
  <si>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</si>
  <si>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</si>
  <si>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</si>
  <si>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</si>
  <si>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</si>
  <si>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</si>
  <si>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</si>
  <si>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</si>
  <si>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</si>
  <si>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</si>
  <si>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</si>
  <si>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</si>
  <si>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</si>
  <si>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</si>
  <si>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</si>
  <si>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</si>
  <si>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</si>
  <si>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</si>
  <si>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</si>
  <si>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</si>
  <si>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</si>
  <si>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</si>
  <si>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</si>
  <si>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</si>
  <si>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</si>
  <si>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</si>
  <si>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</si>
  <si>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</si>
  <si>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</si>
  <si>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</si>
  <si>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</si>
  <si>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</si>
  <si>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</si>
  <si>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</si>
  <si>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</si>
  <si>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</si>
  <si>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</si>
  <si>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</si>
  <si>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</si>
  <si>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</si>
  <si>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</si>
  <si>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</si>
  <si>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</si>
  <si>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</si>
  <si>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</si>
  <si>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</si>
  <si>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</si>
  <si>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</si>
  <si>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</si>
  <si>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</si>
  <si>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</si>
  <si>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</si>
  <si>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</si>
  <si>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</si>
  <si>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</si>
  <si>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</si>
  <si>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</si>
  <si>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</si>
  <si>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</si>
  <si>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</si>
  <si>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</si>
  <si>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</si>
  <si>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</si>
  <si>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</si>
  <si>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</si>
  <si>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</si>
  <si>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</si>
  <si>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</si>
  <si>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</si>
  <si>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</si>
  <si>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</si>
  <si>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</si>
  <si>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</si>
  <si>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</si>
  <si>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</si>
  <si>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</si>
  <si>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</si>
  <si>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</si>
  <si>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</si>
  <si>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</si>
  <si>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</si>
  <si>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</si>
  <si>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</si>
  <si>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</si>
  <si>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</si>
  <si>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</si>
  <si>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</si>
  <si>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</si>
  <si>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</si>
  <si>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</si>
  <si>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</si>
  <si>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</si>
  <si>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</si>
  <si>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</si>
  <si>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</si>
  <si>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</si>
  <si>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</si>
  <si>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</si>
  <si>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</si>
  <si>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</si>
  <si>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</si>
  <si>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</si>
  <si>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</si>
  <si>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</si>
  <si>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</si>
  <si>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</si>
  <si>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</si>
  <si>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</si>
  <si>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</si>
  <si>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</si>
  <si>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</si>
  <si>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</si>
  <si>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</si>
  <si>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</si>
  <si>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</si>
  <si>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</si>
  <si>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</si>
  <si>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</si>
  <si>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</si>
  <si>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</si>
  <si>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</si>
  <si>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</si>
  <si>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</si>
  <si>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</si>
  <si>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</si>
  <si>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</si>
  <si>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</si>
  <si>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</si>
  <si>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</si>
  <si>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</si>
  <si>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</si>
  <si>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</si>
  <si>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</si>
  <si>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</si>
  <si>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</si>
  <si>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</si>
  <si>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</si>
  <si>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</si>
  <si>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</si>
  <si>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</si>
  <si>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</si>
  <si>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</si>
  <si>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</si>
  <si>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</si>
  <si>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</si>
  <si>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</si>
  <si>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</si>
  <si>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</si>
  <si>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</si>
  <si>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</si>
  <si>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</si>
  <si>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</si>
  <si>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</si>
  <si>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</si>
  <si>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</si>
  <si>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</si>
  <si>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</si>
  <si>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</si>
  <si>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</si>
  <si>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</si>
  <si>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</si>
  <si>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</si>
  <si>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</si>
  <si>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</si>
  <si>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</si>
  <si>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</si>
  <si>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</si>
  <si>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</si>
  <si>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</si>
  <si>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</si>
  <si>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</si>
  <si>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</si>
  <si>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</si>
  <si>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</si>
  <si>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</si>
  <si>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</si>
  <si>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</si>
  <si>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</si>
  <si>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</si>
  <si>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</si>
  <si>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</si>
  <si>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</si>
  <si>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</si>
  <si>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</si>
  <si>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</si>
  <si>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</si>
  <si>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</si>
  <si>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</si>
  <si>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</si>
  <si>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</si>
  <si>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</si>
  <si>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</si>
  <si>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</si>
  <si>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</si>
  <si>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</si>
  <si>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</si>
  <si>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</si>
  <si>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</si>
  <si>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</si>
  <si>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</si>
  <si>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</si>
  <si>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</si>
  <si>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</si>
  <si>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</si>
  <si>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</si>
  <si>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</si>
  <si>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</si>
  <si>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</si>
  <si>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</si>
  <si>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</si>
  <si>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</si>
  <si>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</si>
  <si>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</si>
  <si>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</si>
  <si>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</si>
  <si>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</si>
  <si>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</si>
  <si>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</si>
  <si>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</si>
  <si>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</si>
  <si>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</si>
  <si>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</si>
  <si>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</si>
  <si>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</si>
  <si>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</si>
  <si>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</si>
  <si>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</si>
  <si>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</si>
  <si>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</si>
  <si>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</si>
  <si>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</si>
  <si>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</si>
  <si>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</si>
  <si>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</si>
  <si>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</si>
  <si>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</si>
  <si>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</si>
  <si>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</si>
  <si>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</si>
  <si>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</si>
  <si>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</si>
  <si>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</si>
  <si>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</si>
  <si>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</si>
  <si>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</si>
  <si>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</si>
  <si>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</si>
  <si>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</si>
  <si>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</si>
  <si>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</si>
  <si>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</si>
  <si>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</si>
  <si>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</si>
  <si>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</si>
  <si>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</si>
  <si>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</si>
  <si>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</si>
  <si>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</si>
  <si>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</si>
  <si>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</si>
  <si>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</si>
  <si>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</si>
  <si>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</si>
  <si>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</si>
  <si>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</si>
  <si>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</si>
  <si>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</si>
  <si>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</si>
  <si>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</si>
  <si>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</si>
  <si>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</si>
  <si>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</si>
  <si>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</si>
  <si>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</si>
  <si>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</si>
  <si>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</si>
  <si>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</si>
  <si>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</si>
  <si>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</si>
  <si>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</si>
  <si>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</si>
  <si>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</si>
  <si>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</si>
  <si>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</si>
  <si>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</si>
  <si>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</si>
  <si>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</si>
  <si>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</si>
  <si>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</si>
  <si>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</si>
  <si>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</si>
  <si>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</si>
  <si>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</si>
  <si>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</si>
  <si>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</si>
  <si>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</si>
  <si>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</si>
  <si>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</si>
  <si>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</si>
  <si>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</si>
  <si>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</si>
  <si>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</si>
  <si>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</si>
  <si>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</si>
  <si>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</si>
  <si>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</si>
  <si>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</si>
  <si>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</si>
  <si>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</si>
  <si>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</si>
  <si>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</si>
  <si>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</si>
  <si>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</si>
  <si>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</si>
  <si>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</si>
  <si>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</si>
  <si>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</si>
  <si>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</si>
  <si>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</si>
  <si>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</si>
  <si>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</si>
  <si>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</si>
  <si>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</si>
  <si>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</si>
  <si>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</si>
  <si>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</si>
  <si>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</si>
  <si>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</si>
  <si>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</si>
  <si>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</si>
  <si>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</si>
  <si>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</si>
  <si>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</si>
  <si>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</si>
  <si>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</si>
  <si>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</si>
  <si>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</si>
  <si>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</si>
  <si>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</si>
  <si>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</si>
  <si>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</si>
  <si>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</si>
  <si>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</si>
  <si>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</si>
  <si>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</si>
  <si>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</si>
  <si>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</si>
  <si>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</si>
  <si>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</si>
  <si>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</si>
  <si>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</si>
  <si>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</si>
  <si>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</si>
  <si>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</si>
  <si>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</si>
  <si>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</si>
  <si>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</si>
  <si>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</si>
  <si>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</si>
  <si>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</si>
  <si>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</si>
  <si>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</si>
  <si>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</si>
  <si>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</si>
  <si>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</si>
  <si>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</si>
  <si>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</si>
  <si>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</si>
  <si>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</si>
  <si>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</si>
  <si>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</si>
  <si>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</si>
  <si>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</si>
  <si>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</si>
  <si>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</si>
  <si>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</si>
  <si>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</si>
  <si>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</si>
  <si>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</si>
  <si>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</si>
  <si>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</si>
  <si>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</si>
  <si>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</si>
  <si>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</si>
  <si>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</si>
  <si>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</si>
  <si>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</si>
  <si>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</si>
  <si>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</si>
  <si>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</si>
  <si>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</si>
  <si>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</si>
  <si>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</si>
  <si>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</si>
  <si>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</si>
  <si>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</si>
  <si>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</si>
  <si>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</si>
  <si>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</si>
  <si>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</si>
  <si>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</si>
  <si>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</si>
  <si>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</si>
  <si>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</si>
  <si>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</si>
  <si>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</si>
  <si>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</si>
  <si>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</si>
  <si>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</si>
  <si>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</si>
  <si>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</si>
  <si>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</si>
  <si>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</si>
  <si>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</si>
  <si>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</si>
  <si>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</si>
  <si>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</si>
  <si>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</si>
  <si>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</si>
  <si>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</si>
  <si>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</si>
  <si>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</si>
  <si>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</si>
  <si>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</si>
  <si>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</si>
  <si>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</si>
  <si>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</si>
  <si>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</si>
  <si>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</si>
  <si>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</si>
  <si>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</si>
  <si>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</si>
  <si>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</si>
  <si>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</si>
  <si>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</si>
  <si>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</si>
  <si>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</si>
  <si>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</si>
  <si>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</si>
  <si>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</si>
  <si>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</si>
  <si>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</si>
  <si>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</si>
  <si>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</si>
  <si>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</si>
  <si>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</si>
  <si>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</si>
  <si>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</si>
  <si>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</si>
  <si>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</si>
  <si>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</si>
  <si>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</si>
  <si>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</si>
  <si>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</si>
  <si>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</si>
  <si>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</si>
  <si>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</si>
  <si>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</si>
  <si>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</si>
  <si>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</si>
  <si>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</si>
  <si>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</si>
  <si>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</si>
  <si>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</si>
  <si>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</si>
  <si>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</si>
  <si>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</si>
  <si>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</si>
  <si>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</si>
  <si>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</si>
  <si>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</si>
  <si>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</si>
  <si>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</si>
  <si>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</si>
  <si>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</si>
  <si>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</si>
  <si>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</si>
  <si>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</si>
  <si>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</si>
  <si>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</si>
  <si>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</si>
  <si>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</si>
  <si>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</si>
  <si>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</si>
  <si>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</si>
  <si>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</si>
  <si>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</si>
  <si>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</si>
  <si>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</si>
  <si>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</si>
  <si>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</si>
  <si>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</si>
  <si>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</si>
  <si>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</si>
  <si>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</si>
  <si>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</si>
  <si>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</si>
  <si>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</si>
  <si>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</si>
  <si>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</si>
  <si>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</si>
  <si>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</si>
  <si>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</si>
  <si>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</si>
  <si>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</si>
  <si>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</si>
  <si>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</si>
  <si>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</si>
  <si>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</si>
  <si>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</si>
  <si>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</si>
  <si>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</si>
  <si>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</si>
  <si>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</si>
  <si>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</si>
  <si>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</si>
  <si>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</si>
  <si>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</si>
  <si>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</si>
  <si>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</si>
  <si>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</si>
  <si>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</si>
  <si>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</si>
  <si>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</si>
  <si>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</si>
  <si>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</si>
  <si>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</si>
  <si>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</si>
  <si>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</si>
  <si>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</si>
  <si>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</si>
  <si>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</si>
  <si>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</si>
  <si>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</si>
  <si>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</si>
  <si>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</si>
  <si>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</si>
  <si>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</si>
  <si>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</si>
  <si>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</si>
  <si>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</si>
  <si>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</si>
  <si>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</si>
  <si>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</si>
  <si>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</si>
  <si>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</si>
  <si>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</si>
  <si>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</si>
  <si>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</si>
  <si>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</si>
  <si>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</si>
  <si>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</si>
  <si>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</si>
  <si>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</si>
  <si>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</si>
  <si>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</si>
  <si>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</si>
  <si>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</si>
  <si>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</si>
  <si>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</si>
  <si>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</si>
  <si>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</si>
  <si>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</si>
  <si>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</si>
  <si>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</si>
  <si>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</si>
  <si>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</si>
  <si>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</si>
  <si>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</si>
  <si>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</si>
  <si>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</si>
  <si>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</si>
  <si>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</si>
  <si>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</si>
  <si>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</si>
  <si>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</si>
  <si>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</si>
  <si>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</si>
  <si>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</si>
  <si>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</si>
  <si>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</si>
  <si>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</si>
  <si>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</si>
  <si>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</si>
  <si>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</si>
  <si>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</si>
  <si>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</si>
  <si>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</si>
  <si>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</si>
  <si>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</si>
  <si>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</si>
  <si>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</si>
  <si>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</si>
  <si>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</si>
  <si>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</si>
  <si>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</si>
  <si>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</si>
  <si>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</si>
  <si>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</si>
  <si>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</si>
  <si>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</si>
  <si>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</si>
  <si>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</si>
  <si>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</si>
  <si>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</si>
  <si>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</si>
  <si>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</si>
  <si>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</si>
  <si>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</si>
  <si>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</si>
  <si>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</si>
  <si>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</si>
  <si>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</si>
  <si>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</si>
  <si>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</si>
  <si>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</si>
  <si>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</si>
  <si>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</si>
  <si>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</si>
  <si>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</si>
  <si>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</si>
  <si>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</si>
  <si>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</si>
  <si>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</si>
  <si>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</si>
  <si>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</si>
  <si>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</si>
  <si>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</si>
  <si>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</si>
  <si>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</si>
  <si>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</si>
  <si>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</si>
  <si>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</si>
  <si>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</si>
  <si>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</si>
  <si>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</si>
  <si>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</si>
  <si>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</si>
  <si>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</si>
  <si>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</si>
  <si>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</si>
  <si>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</si>
  <si>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</si>
  <si>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</si>
  <si>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</si>
  <si>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</si>
  <si>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</si>
  <si>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</si>
  <si>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</si>
  <si>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</si>
  <si>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</si>
  <si>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</si>
  <si>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</si>
  <si>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</si>
  <si>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</si>
  <si>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</si>
  <si>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</si>
  <si>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</si>
  <si>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</si>
  <si>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</si>
  <si>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</si>
  <si>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</si>
  <si>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</si>
  <si>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</si>
  <si>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</si>
  <si>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</si>
  <si>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</si>
  <si>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</si>
  <si>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</si>
  <si>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</si>
  <si>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</si>
  <si>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</si>
  <si>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</si>
  <si>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</si>
  <si>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</si>
  <si>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</si>
  <si>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</si>
  <si>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</si>
  <si>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</si>
  <si>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</si>
  <si>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</si>
  <si>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</si>
  <si>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</si>
  <si>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</si>
  <si>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</si>
  <si>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</si>
  <si>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</si>
  <si>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</si>
  <si>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</si>
  <si>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</si>
  <si>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</si>
  <si>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</si>
  <si>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</si>
  <si>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</si>
  <si>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</si>
  <si>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</si>
  <si>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</si>
  <si>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</si>
  <si>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</si>
  <si>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</si>
  <si>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</si>
  <si>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</si>
  <si>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</si>
  <si>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</si>
  <si>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</si>
  <si>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</si>
  <si>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</si>
  <si>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</si>
  <si>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</si>
  <si>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</si>
  <si>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</si>
  <si>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</si>
  <si>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</si>
  <si>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</si>
  <si>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</si>
  <si>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</si>
  <si>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</si>
  <si>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</si>
  <si>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</si>
  <si>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</si>
  <si>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</si>
  <si>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</si>
  <si>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</si>
  <si>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</si>
  <si>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</si>
  <si>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</si>
  <si>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</si>
  <si>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</si>
  <si>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</si>
  <si>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</si>
  <si>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</si>
  <si>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</si>
  <si>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</si>
  <si>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</si>
  <si>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</si>
  <si>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</si>
  <si>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</si>
  <si>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</si>
  <si>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</si>
  <si>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</si>
  <si>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</si>
  <si>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</si>
  <si>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</si>
  <si>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</si>
  <si>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</si>
  <si>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</si>
  <si>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</si>
  <si>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</si>
  <si>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</si>
  <si>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</si>
  <si>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</si>
  <si>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</si>
  <si>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</si>
  <si>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</si>
  <si>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</si>
  <si>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</si>
  <si>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</si>
  <si>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</si>
  <si>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</si>
  <si>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</si>
  <si>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</si>
  <si>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</si>
  <si>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</si>
  <si>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</si>
  <si>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</si>
  <si>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</si>
  <si>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</si>
  <si>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</si>
  <si>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</si>
  <si>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</si>
  <si>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</si>
  <si>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</si>
  <si>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</si>
  <si>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</si>
  <si>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</si>
  <si>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</si>
  <si>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</si>
  <si>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</si>
  <si>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</si>
  <si>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</si>
  <si>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</si>
  <si>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</si>
  <si>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</si>
  <si>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</si>
  <si>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</si>
  <si>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</si>
  <si>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</si>
  <si>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</si>
  <si>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</si>
  <si>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</si>
  <si>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</si>
  <si>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</si>
  <si>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</si>
  <si>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</si>
  <si>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</si>
  <si>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</si>
  <si>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</si>
  <si>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</si>
  <si>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</si>
  <si>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</si>
  <si>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</si>
  <si>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</si>
  <si>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</si>
  <si>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</si>
  <si>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</si>
  <si>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</si>
  <si>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</si>
  <si>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</si>
  <si>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</si>
  <si>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</si>
  <si>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</si>
  <si>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</si>
  <si>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</si>
  <si>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</si>
  <si>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</si>
  <si>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</si>
  <si>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</si>
  <si>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</si>
  <si>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</si>
  <si>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</si>
  <si>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</si>
  <si>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</si>
  <si>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</si>
  <si>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</si>
  <si>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</si>
  <si>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</si>
  <si>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</si>
  <si>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</si>
  <si>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</si>
  <si>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</si>
  <si>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</si>
  <si>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</si>
  <si>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</si>
  <si>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</si>
  <si>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</si>
  <si>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</si>
  <si>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</si>
  <si>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</si>
  <si>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</si>
  <si>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</si>
  <si>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</si>
  <si>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</si>
  <si>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</si>
  <si>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</si>
  <si>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</si>
  <si>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</si>
  <si>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</si>
  <si>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</si>
  <si>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</si>
  <si>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</si>
  <si>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</si>
  <si>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</si>
  <si>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</si>
  <si>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</si>
  <si>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</si>
  <si>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</si>
  <si>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</si>
  <si>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</si>
  <si>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</si>
  <si>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</si>
  <si>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</si>
  <si>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</si>
  <si>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</si>
  <si>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</si>
  <si>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</si>
  <si>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</si>
  <si>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</si>
  <si>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</si>
  <si>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</si>
  <si>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</si>
  <si>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</si>
  <si>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</si>
  <si>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</si>
  <si>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</si>
  <si>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</si>
  <si>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</si>
  <si>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</si>
  <si>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</si>
  <si>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</si>
  <si>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</si>
  <si>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</si>
  <si>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</si>
  <si>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</si>
  <si>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</si>
  <si>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</si>
  <si>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</si>
  <si>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</si>
  <si>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</si>
  <si>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</si>
  <si>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</si>
  <si>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</si>
  <si>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</si>
  <si>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</si>
  <si>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</si>
  <si>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</si>
  <si>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</si>
  <si>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</si>
  <si>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</si>
  <si>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</si>
  <si>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</si>
  <si>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</si>
  <si>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</si>
  <si>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</si>
  <si>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</si>
  <si>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</si>
  <si>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</si>
  <si>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</si>
  <si>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</si>
  <si>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</si>
  <si>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</si>
  <si>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</si>
  <si>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</si>
  <si>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</si>
  <si>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</si>
  <si>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</si>
  <si>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</si>
  <si>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</si>
  <si>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</si>
  <si>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</si>
  <si>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</si>
  <si>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</si>
  <si>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</si>
  <si>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</si>
  <si>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</si>
  <si>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</si>
  <si>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</si>
  <si>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</si>
  <si>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</si>
  <si>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</si>
  <si>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</si>
  <si>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</si>
  <si>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</si>
  <si>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</si>
  <si>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</si>
  <si>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</si>
  <si>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</si>
  <si>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</si>
  <si>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</si>
  <si>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</si>
  <si>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</si>
  <si>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</si>
  <si>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</si>
  <si>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</si>
  <si>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</si>
  <si>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</si>
  <si>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</si>
  <si>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</si>
  <si>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</si>
  <si>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</si>
  <si>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</si>
  <si>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</si>
  <si>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</si>
  <si>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</si>
  <si>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</si>
  <si>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</si>
  <si>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</si>
  <si>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</si>
  <si>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</si>
  <si>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</si>
  <si>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</si>
  <si>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</si>
  <si>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</si>
  <si>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</si>
  <si>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</si>
  <si>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</si>
  <si>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</si>
  <si>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</si>
  <si>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</si>
  <si>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</si>
  <si>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</si>
  <si>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</si>
  <si>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</si>
  <si>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</si>
  <si>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</si>
  <si>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</si>
  <si>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</si>
  <si>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</si>
  <si>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</si>
  <si>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</si>
  <si>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</si>
  <si>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</si>
  <si>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</si>
  <si>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</si>
  <si>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</si>
  <si>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</si>
  <si>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</si>
  <si>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</si>
  <si>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</si>
  <si>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</si>
  <si>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</si>
  <si>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</si>
  <si>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</si>
  <si>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</si>
  <si>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</si>
  <si>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</si>
  <si>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</si>
  <si>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</si>
  <si>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</si>
  <si>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</si>
  <si>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</si>
  <si>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</si>
  <si>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</si>
  <si>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</si>
  <si>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</si>
  <si>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</si>
  <si>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</si>
  <si>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</si>
  <si>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</si>
  <si>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</si>
  <si>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</si>
  <si>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</si>
  <si>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</si>
  <si>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</si>
  <si>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</si>
  <si>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</si>
  <si>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</si>
  <si>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</si>
  <si>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</si>
  <si>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</si>
  <si>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</si>
  <si>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</si>
  <si>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</si>
  <si>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</si>
  <si>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</si>
  <si>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</si>
  <si>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</si>
  <si>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</si>
  <si>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</si>
  <si>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</si>
  <si>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</si>
  <si>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</si>
  <si>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</si>
  <si>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</si>
  <si>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</si>
  <si>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</si>
  <si>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</si>
  <si>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</si>
  <si>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</si>
  <si>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</si>
  <si>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</si>
  <si>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</si>
  <si>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</si>
  <si>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</si>
  <si>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</si>
  <si>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</si>
  <si>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</si>
  <si>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</si>
  <si>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</si>
  <si>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</si>
  <si>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</si>
  <si>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</si>
  <si>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</si>
  <si>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</si>
  <si>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</si>
  <si>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</si>
  <si>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</si>
  <si>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</si>
  <si>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</si>
  <si>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</si>
  <si>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</si>
  <si>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</si>
  <si>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</si>
  <si>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</si>
  <si>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</si>
  <si>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</si>
  <si>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</si>
  <si>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</si>
  <si>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</si>
  <si>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</si>
  <si>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</si>
  <si>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</si>
  <si>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</si>
  <si>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</si>
  <si>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</si>
  <si>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</si>
  <si>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</si>
  <si>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</si>
  <si>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</si>
  <si>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</si>
  <si>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</si>
  <si>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</si>
  <si>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</si>
  <si>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</si>
  <si>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</si>
  <si>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</si>
  <si>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</si>
  <si>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</si>
  <si>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</si>
  <si>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</si>
  <si>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</si>
  <si>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</si>
  <si>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</si>
  <si>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</si>
  <si>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</si>
  <si>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</si>
  <si>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</si>
  <si>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</si>
  <si>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</si>
  <si>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</si>
  <si>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</si>
  <si>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</si>
  <si>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</si>
  <si>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</si>
  <si>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</si>
  <si>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</si>
  <si>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</si>
  <si>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</si>
  <si>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</si>
  <si>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</si>
  <si>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</si>
  <si>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</si>
  <si>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</si>
  <si>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</si>
  <si>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</si>
  <si>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</si>
  <si>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</si>
  <si>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</si>
  <si>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</si>
  <si>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</si>
  <si>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</si>
  <si>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</si>
  <si>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</si>
  <si>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</si>
  <si>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</si>
  <si>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</si>
  <si>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</si>
  <si>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</si>
  <si>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</si>
  <si>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</si>
  <si>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</si>
  <si>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</si>
  <si>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</si>
  <si>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</si>
  <si>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</si>
  <si>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</si>
  <si>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</si>
  <si>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</si>
  <si>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</si>
  <si>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</si>
  <si>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</si>
  <si>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</si>
  <si>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</si>
  <si>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</si>
  <si>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</si>
  <si>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</si>
  <si>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</si>
  <si>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</si>
  <si>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</si>
  <si>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</si>
  <si>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</si>
  <si>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</si>
  <si>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</si>
  <si>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</si>
  <si>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</si>
  <si>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</si>
  <si>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</si>
  <si>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</si>
  <si>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</si>
  <si>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</si>
  <si>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</si>
  <si>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</si>
  <si>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</si>
  <si>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</si>
  <si>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</si>
  <si>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</si>
  <si>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</si>
  <si>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</si>
  <si>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</si>
  <si>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</si>
  <si>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</si>
  <si>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</si>
  <si>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</si>
  <si>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</si>
  <si>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</si>
  <si>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</si>
  <si>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</si>
  <si>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</si>
  <si>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</si>
  <si>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</si>
  <si>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</si>
  <si>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</si>
  <si>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</si>
  <si>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</si>
  <si>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</si>
  <si>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</si>
  <si>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</si>
  <si>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</si>
  <si>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</si>
  <si>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</si>
  <si>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</si>
  <si>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</si>
  <si>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</si>
  <si>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</si>
  <si>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</si>
  <si>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</si>
  <si>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</si>
  <si>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</si>
  <si>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</si>
  <si>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</si>
  <si>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</si>
  <si>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</si>
  <si>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</si>
  <si>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</si>
  <si>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</si>
  <si>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</si>
  <si>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</si>
  <si>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</si>
  <si>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</si>
  <si>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</si>
  <si>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</si>
  <si>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</si>
  <si>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</si>
  <si>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</si>
  <si>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</si>
  <si>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</si>
  <si>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</si>
  <si>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</si>
  <si>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</si>
  <si>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</si>
  <si>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</si>
  <si>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</si>
  <si>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</si>
  <si>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</si>
  <si>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</si>
  <si>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</si>
  <si>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</si>
  <si>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</si>
  <si>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</si>
  <si>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</si>
  <si>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</si>
  <si>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</si>
  <si>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</si>
  <si>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</si>
  <si>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</si>
  <si>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</si>
  <si>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</si>
  <si>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</si>
  <si>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</si>
  <si>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</si>
  <si>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</si>
  <si>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</si>
  <si>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</si>
  <si>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</si>
  <si>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</si>
  <si>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</si>
  <si>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</si>
  <si>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</si>
  <si>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</si>
  <si>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</si>
  <si>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</si>
  <si>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</si>
  <si>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</si>
  <si>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</si>
  <si>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</si>
  <si>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</si>
  <si>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</si>
  <si>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</si>
  <si>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</si>
  <si>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</si>
  <si>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</si>
  <si>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</si>
  <si>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</si>
  <si>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</si>
  <si>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</si>
  <si>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</si>
  <si>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</si>
  <si>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</si>
  <si>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</si>
  <si>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</si>
  <si>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</si>
  <si>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</si>
  <si>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</si>
  <si>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</si>
  <si>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</si>
  <si>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</si>
  <si>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</si>
  <si>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</si>
  <si>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</si>
  <si>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</si>
  <si>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</si>
  <si>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</si>
  <si>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</si>
  <si>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</si>
  <si>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</si>
  <si>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</si>
  <si>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</si>
  <si>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</si>
  <si>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</si>
  <si>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</si>
  <si>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</si>
  <si>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</si>
  <si>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</si>
  <si>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</si>
  <si>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</si>
  <si>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</si>
  <si>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</si>
  <si>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</si>
  <si>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</si>
  <si>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</si>
  <si>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</si>
  <si>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</si>
  <si>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</si>
  <si>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</si>
  <si>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</si>
  <si>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</si>
  <si>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</si>
  <si>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</si>
  <si>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</si>
  <si>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</si>
  <si>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</si>
  <si>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</si>
  <si>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</si>
  <si>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</si>
  <si>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</si>
  <si>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</si>
  <si>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</si>
  <si>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</si>
  <si>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</si>
  <si>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</si>
  <si>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</si>
  <si>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</si>
  <si>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</si>
  <si>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</si>
  <si>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</si>
  <si>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</si>
  <si>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</si>
  <si>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</si>
  <si>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</si>
  <si>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</si>
  <si>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</si>
  <si>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</si>
  <si>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</si>
  <si>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</si>
  <si>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</si>
  <si>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</si>
  <si>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</si>
  <si>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</si>
  <si>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</si>
  <si>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</si>
  <si>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</si>
  <si>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</si>
  <si>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</si>
  <si>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</si>
  <si>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</si>
  <si>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</si>
  <si>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</si>
  <si>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</si>
  <si>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</si>
  <si>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</si>
  <si>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</si>
  <si>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</si>
  <si>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</si>
  <si>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</si>
  <si>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</si>
  <si>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</si>
  <si>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</si>
  <si>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</si>
  <si>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</si>
  <si>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</si>
  <si>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</si>
  <si>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</si>
  <si>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</si>
  <si>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</si>
  <si>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</si>
  <si>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</si>
  <si>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</si>
  <si>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</si>
  <si>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</si>
  <si>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</si>
  <si>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</si>
  <si>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</si>
  <si>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</si>
  <si>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</si>
  <si>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</si>
  <si>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</si>
  <si>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</si>
  <si>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</si>
  <si>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</si>
  <si>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</si>
  <si>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</si>
  <si>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</si>
  <si>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</si>
  <si>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</si>
  <si>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</si>
  <si>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</si>
  <si>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</si>
  <si>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</si>
  <si>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</si>
  <si>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</si>
  <si>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</si>
  <si>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</si>
  <si>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</si>
  <si>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</si>
  <si>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</si>
  <si>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</si>
  <si>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</si>
  <si>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</si>
  <si>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</si>
  <si>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</si>
  <si>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</si>
  <si>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</si>
  <si>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</si>
  <si>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</si>
  <si>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</si>
  <si>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</si>
  <si>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</si>
  <si>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</si>
  <si>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</si>
  <si>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</si>
  <si>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</si>
  <si>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</si>
  <si>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</si>
  <si>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</si>
  <si>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</si>
  <si>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</si>
  <si>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</si>
  <si>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</si>
  <si>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</si>
  <si>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</si>
  <si>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</si>
  <si>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</si>
  <si>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</si>
  <si>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</si>
  <si>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</si>
  <si>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</si>
  <si>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</si>
  <si>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</si>
  <si>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</si>
  <si>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</si>
  <si>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</si>
  <si>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</si>
  <si>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</si>
  <si>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</si>
  <si>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</si>
  <si>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</si>
  <si>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</si>
  <si>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</si>
  <si>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</si>
  <si>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</si>
  <si>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</si>
  <si>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</si>
  <si>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</si>
  <si>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</si>
  <si>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</si>
  <si>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</si>
  <si>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</si>
  <si>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</si>
  <si>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</si>
  <si>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</si>
  <si>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</si>
  <si>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</si>
  <si>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</si>
  <si>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</si>
  <si>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</si>
  <si>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</si>
  <si>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</si>
  <si>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</si>
  <si>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</si>
  <si>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</si>
  <si>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</si>
  <si>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</si>
  <si>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</si>
  <si>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</si>
  <si>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</si>
  <si>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</si>
  <si>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</si>
  <si>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</si>
  <si>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</si>
  <si>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</si>
  <si>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</si>
  <si>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</si>
  <si>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</si>
  <si>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</si>
  <si>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</si>
  <si>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</si>
  <si>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</si>
  <si>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</si>
  <si>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</si>
  <si>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</si>
  <si>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</si>
  <si>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</si>
  <si>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</si>
  <si>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</si>
  <si>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</si>
  <si>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</si>
  <si>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</si>
  <si>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</si>
  <si>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</si>
  <si>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</si>
  <si>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</si>
  <si>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</si>
  <si>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</si>
  <si>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</si>
  <si>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</si>
  <si>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</si>
  <si>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</si>
  <si>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</si>
  <si>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</si>
  <si>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</si>
  <si>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</si>
  <si>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</si>
  <si>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</si>
  <si>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</si>
  <si>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</si>
  <si>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</si>
  <si>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</si>
  <si>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</si>
  <si>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</si>
  <si>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</si>
  <si>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</si>
  <si>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</si>
  <si>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</si>
  <si>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</si>
  <si>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</si>
  <si>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</si>
  <si>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</si>
  <si>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</si>
  <si>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</si>
  <si>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</si>
  <si>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</si>
  <si>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</si>
  <si>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</si>
  <si>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</si>
  <si>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</si>
  <si>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</si>
  <si>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</si>
  <si>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</si>
  <si>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</si>
  <si>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</si>
  <si>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</si>
  <si>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</si>
  <si>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</si>
  <si>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</si>
  <si>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</si>
  <si>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</si>
  <si>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</si>
  <si>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</si>
  <si>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</si>
  <si>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</si>
  <si>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</si>
  <si>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</si>
  <si>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</si>
  <si>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</si>
  <si>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</si>
  <si>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</si>
  <si>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</si>
  <si>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</si>
  <si>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</si>
  <si>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</si>
  <si>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</si>
  <si>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</si>
  <si>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</si>
  <si>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</si>
  <si>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</si>
  <si>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</si>
  <si>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</si>
  <si>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</si>
  <si>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</si>
  <si>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</si>
  <si>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</si>
  <si>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</si>
  <si>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</si>
  <si>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</si>
  <si>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</si>
  <si>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</si>
  <si>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</si>
  <si>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</si>
  <si>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</si>
  <si>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</si>
  <si>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</si>
  <si>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</si>
  <si>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</si>
  <si>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</si>
  <si>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</si>
  <si>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</si>
  <si>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</si>
  <si>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</si>
  <si>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</si>
  <si>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</si>
  <si>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</si>
  <si>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</si>
  <si>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</si>
  <si>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</si>
  <si>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</si>
  <si>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</si>
  <si>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</si>
  <si>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</si>
  <si>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</si>
  <si>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</si>
  <si>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</si>
  <si>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</si>
  <si>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</si>
  <si>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</si>
  <si>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</si>
  <si>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</si>
  <si>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</si>
  <si>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</si>
  <si>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</si>
  <si>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</si>
  <si>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</si>
  <si>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</si>
  <si>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</si>
  <si>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</si>
  <si>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</si>
  <si>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</si>
  <si>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</si>
  <si>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</si>
  <si>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</si>
  <si>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</si>
  <si>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</si>
  <si>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</si>
  <si>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</si>
  <si>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</si>
  <si>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</si>
  <si>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</si>
  <si>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</si>
  <si>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</si>
  <si>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</si>
  <si>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</si>
  <si>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</si>
  <si>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</si>
  <si>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</si>
  <si>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</si>
  <si>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</si>
  <si>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</si>
  <si>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</si>
  <si>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</si>
  <si>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</si>
  <si>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</si>
  <si>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</si>
  <si>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</si>
  <si>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</si>
  <si>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</si>
  <si>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</si>
  <si>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</si>
  <si>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</si>
  <si>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</si>
  <si>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</si>
  <si>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</si>
  <si>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</si>
  <si>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</si>
  <si>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</si>
  <si>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</si>
  <si>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</si>
  <si>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</si>
  <si>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</si>
  <si>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</si>
  <si>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</si>
  <si>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</si>
  <si>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</si>
  <si>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</si>
  <si>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</si>
  <si>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</si>
  <si>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</si>
  <si>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</si>
  <si>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</si>
  <si>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</si>
  <si>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</si>
  <si>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</si>
  <si>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</si>
  <si>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</si>
  <si>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</si>
  <si>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</si>
  <si>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</si>
  <si>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</si>
  <si>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</si>
  <si>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</si>
  <si>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</si>
  <si>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</si>
  <si>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</si>
  <si>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</si>
  <si>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</si>
  <si>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</si>
  <si>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</si>
  <si>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</si>
  <si>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</si>
  <si>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</si>
  <si>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</si>
  <si>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</si>
  <si>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</si>
  <si>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</si>
  <si>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</si>
  <si>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</si>
  <si>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</si>
  <si>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</si>
  <si>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</si>
  <si>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</si>
  <si>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</si>
  <si>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</si>
  <si>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</si>
  <si>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</si>
  <si>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</si>
  <si>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</si>
  <si>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</si>
  <si>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</si>
  <si>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</si>
  <si>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</si>
  <si>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</si>
  <si>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</si>
  <si>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</si>
  <si>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</si>
  <si>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</si>
  <si>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</si>
  <si>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</si>
  <si>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</si>
  <si>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</si>
  <si>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</si>
  <si>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</si>
  <si>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</si>
  <si>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</si>
  <si>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</si>
  <si>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</si>
  <si>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</si>
  <si>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</si>
  <si>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</si>
  <si>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</si>
  <si>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</si>
  <si>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</si>
  <si>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</si>
  <si>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</si>
  <si>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</si>
  <si>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</si>
  <si>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</si>
  <si>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</si>
  <si>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</si>
  <si>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</si>
  <si>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</si>
  <si>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</si>
  <si>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</si>
  <si>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</si>
  <si>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</si>
  <si>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</si>
  <si>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</si>
  <si>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</si>
  <si>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</si>
  <si>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</si>
  <si>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</si>
  <si>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</si>
  <si>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</si>
  <si>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</si>
  <si>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</si>
  <si>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</si>
  <si>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</si>
  <si>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</si>
  <si>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</si>
  <si>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</si>
  <si>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</si>
  <si>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</si>
  <si>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</si>
  <si>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</si>
  <si>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</si>
  <si>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</si>
  <si>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</si>
  <si>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</si>
  <si>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</si>
  <si>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</si>
  <si>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</si>
  <si>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</si>
  <si>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</si>
  <si>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</si>
  <si>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</si>
  <si>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</si>
  <si>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</si>
  <si>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</si>
  <si>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</si>
  <si>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</si>
  <si>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</si>
  <si>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</si>
  <si>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</si>
  <si>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</si>
  <si>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</si>
  <si>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</si>
  <si>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</si>
  <si>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</si>
  <si>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</si>
  <si>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</si>
  <si>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</si>
  <si>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</si>
  <si>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</si>
  <si>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</si>
  <si>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</si>
  <si>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</si>
  <si>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</si>
  <si>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</si>
  <si>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</si>
  <si>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</si>
  <si>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</si>
  <si>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</si>
  <si>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</si>
  <si>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</si>
  <si>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</si>
  <si>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</si>
  <si>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</si>
  <si>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</si>
  <si>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</si>
  <si>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</si>
  <si>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</si>
  <si>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</si>
  <si>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</si>
  <si>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</si>
  <si>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</si>
  <si>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</si>
  <si>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</si>
  <si>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</si>
  <si>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</si>
  <si>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</si>
  <si>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</si>
  <si>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</si>
  <si>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</si>
  <si>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</si>
  <si>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</si>
  <si>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</si>
  <si>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</si>
  <si>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</si>
  <si>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</si>
  <si>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</si>
  <si>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</si>
  <si>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</si>
  <si>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</si>
  <si>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</si>
  <si>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</si>
  <si>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</si>
  <si>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</si>
  <si>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</si>
  <si>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</si>
  <si>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</si>
  <si>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</si>
  <si>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</si>
  <si>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</si>
  <si>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</si>
  <si>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</si>
  <si>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</si>
  <si>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</si>
  <si>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</si>
  <si>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</si>
  <si>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</si>
  <si>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</si>
  <si>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</si>
  <si>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</si>
  <si>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</si>
  <si>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</si>
  <si>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</si>
  <si>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</si>
  <si>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</si>
  <si>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</si>
  <si>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</si>
  <si>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</si>
  <si>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</si>
  <si>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</si>
  <si>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</si>
  <si>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</si>
  <si>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</si>
  <si>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</si>
  <si>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</si>
  <si>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</si>
  <si>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</si>
  <si>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</si>
  <si>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</si>
  <si>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</si>
  <si>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</si>
  <si>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</si>
  <si>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</si>
  <si>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</si>
  <si>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</si>
  <si>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</si>
  <si>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</si>
  <si>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</si>
  <si>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</si>
  <si>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</si>
  <si>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</si>
  <si>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</si>
  <si>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</si>
  <si>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</si>
  <si>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</si>
  <si>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</si>
  <si>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</si>
  <si>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</si>
  <si>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</si>
  <si>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</si>
  <si>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</si>
  <si>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</si>
  <si>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</si>
  <si>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</si>
  <si>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</si>
  <si>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</si>
  <si>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</si>
  <si>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</si>
  <si>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</si>
  <si>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</si>
  <si>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</si>
  <si>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</si>
  <si>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</si>
  <si>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</si>
  <si>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</si>
  <si>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</si>
  <si>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</si>
  <si>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</si>
  <si>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</si>
  <si>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</si>
  <si>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</si>
  <si>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</si>
  <si>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</si>
  <si>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</si>
  <si>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</si>
  <si>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</si>
  <si>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</si>
  <si>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</si>
  <si>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</si>
  <si>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</si>
  <si>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</si>
  <si>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</si>
  <si>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</si>
  <si>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</si>
  <si>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</si>
  <si>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</si>
  <si>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</si>
  <si>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</si>
  <si>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</si>
  <si>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</si>
  <si>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</si>
  <si>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</si>
  <si>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</si>
  <si>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</si>
  <si>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</si>
  <si>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</si>
  <si>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</si>
  <si>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</si>
  <si>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</si>
  <si>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</si>
  <si>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</si>
  <si>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</si>
  <si>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</si>
  <si>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</si>
  <si>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</si>
  <si>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</si>
  <si>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</si>
  <si>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</si>
  <si>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</si>
  <si>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</si>
  <si>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</si>
  <si>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</si>
  <si>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</si>
  <si>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</si>
  <si>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</si>
  <si>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</si>
  <si>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</si>
  <si>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</si>
  <si>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</si>
  <si>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</si>
  <si>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</si>
  <si>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</si>
  <si>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</si>
  <si>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</si>
  <si>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</si>
  <si>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</si>
  <si>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</si>
  <si>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</si>
  <si>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</si>
  <si>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</si>
  <si>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</si>
  <si>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</si>
  <si>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</si>
  <si>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</si>
  <si>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</si>
  <si>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</si>
  <si>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</si>
  <si>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</si>
  <si>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</si>
  <si>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</si>
  <si>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</si>
  <si>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</si>
  <si>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</si>
  <si>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</si>
  <si>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</si>
  <si>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</si>
  <si>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</si>
  <si>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</si>
  <si>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</si>
  <si>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</si>
  <si>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</si>
  <si>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</si>
  <si>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</si>
  <si>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</si>
  <si>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</si>
  <si>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</si>
  <si>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</si>
  <si>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</si>
  <si>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</si>
  <si>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</si>
  <si>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</si>
  <si>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</si>
  <si>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</si>
  <si>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</si>
  <si>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</si>
  <si>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</si>
  <si>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</si>
  <si>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</si>
  <si>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</si>
  <si>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</si>
  <si>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</si>
  <si>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</si>
  <si>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</si>
  <si>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</si>
  <si>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</si>
  <si>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</si>
  <si>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</si>
  <si>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</si>
  <si>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</si>
  <si>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</si>
  <si>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</si>
  <si>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</si>
  <si>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</si>
  <si>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</si>
  <si>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</si>
  <si>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</si>
  <si>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</si>
  <si>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</si>
  <si>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</si>
  <si>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</si>
  <si>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</si>
  <si>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</si>
  <si>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</si>
  <si>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</si>
  <si>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</si>
  <si>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</si>
  <si>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</si>
  <si>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</si>
  <si>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</si>
  <si>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</si>
  <si>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</si>
  <si>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</si>
  <si>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</si>
  <si>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</si>
  <si>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</si>
  <si>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</si>
  <si>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</si>
  <si>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</si>
  <si>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</si>
  <si>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</si>
  <si>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</si>
  <si>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</si>
  <si>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</si>
  <si>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</si>
  <si>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</si>
  <si>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</si>
  <si>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</si>
  <si>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</si>
  <si>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</si>
  <si>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</si>
  <si>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</si>
  <si>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</si>
  <si>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</si>
  <si>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</si>
  <si>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</si>
  <si>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</si>
  <si>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</si>
  <si>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</si>
  <si>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</si>
  <si>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</si>
  <si>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</si>
  <si>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</si>
  <si>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</si>
  <si>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</si>
  <si>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</si>
  <si>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</si>
  <si>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</si>
  <si>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</si>
  <si>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</si>
  <si>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</si>
  <si>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</si>
  <si>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</si>
  <si>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</si>
  <si>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</si>
  <si>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</si>
  <si>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</si>
  <si>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</si>
  <si>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</si>
  <si>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</si>
  <si>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</si>
  <si>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</si>
  <si>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</si>
  <si>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</si>
  <si>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</si>
  <si>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</si>
  <si>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</si>
  <si>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</si>
  <si>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</si>
  <si>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</si>
  <si>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</si>
  <si>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</si>
  <si>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</si>
  <si>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</si>
  <si>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</si>
  <si>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</si>
  <si>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</si>
  <si>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</si>
  <si>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</si>
  <si>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</si>
  <si>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</si>
  <si>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</si>
  <si>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</si>
  <si>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</si>
  <si>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</si>
  <si>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</si>
  <si>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</si>
  <si>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</si>
  <si>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</si>
  <si>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</si>
  <si>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</si>
  <si>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</si>
  <si>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</si>
  <si>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</si>
  <si>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</si>
  <si>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</si>
  <si>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</si>
  <si>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</si>
  <si>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</si>
  <si>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</si>
  <si>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</si>
  <si>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</si>
  <si>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</si>
  <si>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</si>
  <si>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</si>
  <si>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</si>
  <si>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</si>
  <si>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</si>
  <si>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</si>
  <si>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</si>
  <si>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</si>
  <si>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</si>
  <si>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</si>
  <si>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</si>
  <si>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</si>
  <si>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</si>
  <si>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</si>
  <si>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</si>
  <si>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</si>
  <si>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</si>
  <si>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</si>
  <si>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</si>
  <si>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</si>
  <si>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</si>
  <si>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</si>
  <si>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</si>
  <si>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</si>
  <si>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</si>
  <si>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</si>
  <si>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</si>
  <si>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</si>
  <si>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</si>
  <si>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</si>
  <si>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</si>
  <si>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</si>
  <si>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</si>
  <si>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</si>
  <si>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</si>
  <si>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</si>
  <si>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</si>
  <si>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</si>
  <si>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</si>
  <si>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</si>
  <si>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</si>
  <si>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</si>
  <si>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</si>
  <si>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</si>
  <si>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</si>
  <si>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</si>
  <si>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</si>
  <si>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</si>
  <si>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</si>
  <si>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</si>
  <si>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</si>
  <si>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</si>
  <si>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</si>
  <si>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</si>
  <si>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</si>
  <si>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</si>
  <si>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</si>
  <si>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</si>
  <si>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</si>
  <si>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</si>
  <si>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</si>
  <si>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</si>
  <si>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</si>
  <si>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</si>
  <si>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</si>
  <si>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</si>
  <si>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</si>
  <si>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</si>
  <si>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</si>
  <si>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</si>
  <si>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</si>
  <si>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</si>
  <si>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</si>
  <si>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</si>
  <si>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</si>
  <si>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</si>
  <si>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</si>
  <si>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</si>
  <si>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</si>
  <si>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</si>
  <si>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</si>
  <si>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</si>
  <si>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</si>
  <si>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</si>
  <si>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</si>
  <si>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</si>
  <si>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</si>
  <si>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</si>
  <si>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</si>
  <si>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</si>
  <si>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</si>
  <si>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</si>
  <si>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</si>
  <si>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</si>
  <si>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</si>
  <si>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</si>
  <si>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</si>
  <si>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</si>
  <si>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</si>
  <si>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</si>
  <si>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</si>
  <si>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</si>
  <si>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</si>
  <si>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</si>
  <si>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</si>
  <si>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</si>
  <si>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</si>
  <si>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</si>
  <si>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</si>
  <si>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</si>
  <si>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</si>
  <si>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</si>
  <si>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</si>
  <si>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</si>
  <si>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</si>
  <si>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</si>
  <si>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</si>
  <si>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</si>
  <si>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</si>
  <si>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</si>
  <si>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</si>
  <si>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</si>
  <si>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</si>
  <si>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</si>
  <si>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</si>
  <si>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</si>
  <si>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</si>
  <si>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</si>
  <si>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</si>
  <si>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</si>
  <si>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</si>
  <si>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</si>
  <si>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</si>
  <si>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</si>
  <si>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</si>
  <si>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</si>
  <si>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</si>
  <si>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</si>
  <si>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</si>
  <si>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</si>
  <si>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</si>
  <si>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</si>
  <si>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</si>
  <si>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</si>
  <si>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</si>
  <si>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</si>
  <si>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</si>
  <si>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</si>
  <si>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</si>
  <si>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</si>
  <si>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</si>
  <si>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</si>
  <si>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</si>
  <si>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</si>
  <si>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</si>
  <si>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</si>
  <si>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</si>
  <si>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</si>
  <si>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</si>
  <si>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</si>
  <si>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</si>
  <si>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</si>
  <si>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</si>
  <si>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</si>
  <si>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</si>
  <si>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</si>
  <si>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</si>
  <si>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</si>
  <si>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</si>
  <si>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</si>
  <si>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</si>
  <si>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</si>
  <si>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</si>
  <si>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</si>
  <si>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</si>
  <si>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</si>
  <si>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</si>
  <si>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</si>
  <si>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</si>
  <si>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</si>
  <si>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</si>
  <si>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</si>
  <si>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</si>
  <si>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</si>
  <si>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</si>
  <si>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</si>
  <si>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</si>
  <si>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</si>
  <si>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</si>
  <si>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</si>
  <si>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</si>
  <si>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</si>
  <si>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</si>
  <si>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</si>
  <si>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</si>
  <si>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</si>
  <si>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</si>
  <si>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</si>
  <si>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</si>
  <si>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</si>
  <si>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</si>
  <si>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</si>
  <si>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</si>
  <si>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</si>
  <si>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</si>
  <si>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</si>
  <si>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</si>
  <si>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</si>
  <si>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</si>
  <si>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</si>
  <si>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</si>
  <si>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</si>
  <si>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</si>
  <si>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</si>
  <si>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</si>
  <si>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</si>
  <si>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</si>
  <si>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</si>
  <si>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</si>
  <si>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</si>
  <si>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</si>
  <si>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</si>
  <si>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</si>
  <si>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</si>
  <si>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</si>
  <si>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</si>
  <si>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</si>
  <si>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</si>
  <si>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</si>
  <si>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</si>
  <si>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</si>
  <si>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</si>
  <si>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</si>
  <si>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</si>
  <si>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</si>
  <si>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</si>
  <si>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</si>
  <si>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</si>
  <si>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</si>
  <si>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</si>
  <si>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</si>
  <si>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</si>
  <si>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</si>
  <si>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</si>
  <si>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</si>
  <si>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</si>
  <si>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</si>
  <si>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</si>
  <si>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</si>
  <si>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</si>
  <si>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</si>
  <si>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</si>
  <si>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</si>
  <si>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</si>
  <si>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</si>
  <si>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</si>
  <si>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</si>
  <si>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</si>
  <si>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</si>
  <si>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</si>
  <si>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</si>
  <si>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</si>
  <si>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</si>
  <si>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</si>
  <si>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</si>
  <si>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</si>
  <si>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</si>
  <si>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</si>
  <si>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</si>
  <si>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</si>
  <si>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</si>
  <si>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</si>
  <si>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</si>
  <si>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</si>
  <si>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</si>
  <si>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</si>
  <si>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</si>
  <si>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</si>
  <si>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</si>
  <si>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</si>
  <si>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</si>
  <si>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</si>
  <si>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</si>
  <si>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</si>
  <si>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</si>
  <si>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</si>
  <si>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</si>
  <si>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</si>
  <si>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</si>
  <si>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</si>
  <si>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</si>
  <si>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</si>
  <si>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</si>
  <si>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</si>
  <si>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</si>
  <si>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</si>
  <si>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</si>
  <si>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</si>
  <si>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</si>
  <si>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</si>
  <si>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</si>
  <si>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</si>
  <si>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</si>
  <si>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</si>
  <si>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</si>
  <si>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</si>
  <si>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</si>
  <si>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</si>
  <si>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</si>
  <si>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</si>
  <si>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</si>
  <si>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</si>
  <si>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</si>
  <si>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</si>
  <si>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</si>
  <si>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</si>
  <si>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</si>
  <si>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</si>
  <si>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</si>
  <si>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</si>
  <si>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</si>
  <si>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</si>
  <si>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</si>
  <si>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</si>
  <si>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</si>
  <si>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</si>
  <si>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</si>
  <si>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</si>
  <si>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</si>
  <si>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</si>
  <si>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</si>
  <si>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</si>
  <si>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</si>
  <si>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</si>
  <si>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</si>
  <si>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</si>
  <si>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</si>
  <si>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</si>
  <si>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</si>
  <si>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</si>
  <si>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</si>
  <si>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</si>
  <si>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</si>
  <si>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</si>
  <si>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</si>
  <si>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</si>
  <si>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</si>
  <si>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</si>
  <si>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</si>
  <si>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</si>
  <si>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</si>
  <si>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</si>
  <si>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</si>
  <si>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</si>
  <si>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</si>
  <si>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</si>
  <si>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</si>
  <si>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</si>
  <si>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</si>
  <si>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</si>
  <si>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</si>
  <si>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</si>
  <si>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</si>
  <si>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</si>
  <si>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</si>
  <si>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</si>
  <si>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</si>
  <si>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</si>
  <si>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</si>
  <si>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</si>
  <si>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</si>
  <si>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</si>
  <si>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</si>
  <si>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</si>
  <si>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</si>
  <si>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</si>
  <si>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</si>
  <si>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</si>
  <si>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</si>
  <si>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</si>
  <si>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</si>
  <si>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</si>
  <si>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</si>
  <si>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</si>
  <si>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</si>
  <si>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</si>
  <si>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</si>
  <si>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</si>
  <si>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</si>
  <si>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</si>
  <si>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</si>
  <si>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</si>
  <si>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</si>
  <si>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</si>
  <si>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</si>
  <si>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</si>
  <si>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</si>
  <si>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</si>
  <si>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</si>
  <si>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</si>
  <si>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</si>
  <si>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</si>
  <si>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</si>
  <si>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</si>
  <si>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</si>
  <si>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</si>
  <si>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</si>
  <si>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</si>
  <si>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</si>
  <si>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</si>
  <si>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</si>
  <si>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</si>
  <si>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</si>
  <si>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</si>
  <si>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</si>
  <si>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</si>
  <si>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</si>
  <si>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</si>
  <si>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</si>
  <si>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</si>
  <si>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</si>
  <si>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</si>
  <si>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</si>
  <si>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</si>
  <si>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</si>
  <si>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</si>
  <si>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</si>
  <si>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</si>
  <si>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</si>
  <si>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</si>
  <si>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</si>
  <si>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</si>
  <si>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</si>
  <si>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</si>
  <si>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</si>
  <si>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</si>
  <si>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</si>
  <si>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</si>
  <si>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</si>
  <si>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</si>
  <si>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</si>
  <si>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</si>
  <si>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</si>
  <si>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</si>
  <si>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</si>
  <si>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</si>
  <si>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</si>
  <si>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</si>
  <si>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</si>
  <si>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</si>
  <si>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</si>
  <si>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</si>
  <si>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</si>
  <si>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</si>
  <si>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</si>
  <si>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</si>
  <si>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</si>
  <si>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</si>
  <si>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</si>
  <si>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</si>
  <si>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</si>
  <si>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</si>
  <si>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</si>
  <si>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</si>
  <si>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</si>
  <si>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</si>
  <si>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</si>
  <si>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</si>
  <si>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</si>
  <si>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</si>
  <si>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</si>
  <si>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</si>
  <si>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</si>
  <si>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</si>
  <si>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</si>
  <si>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</si>
  <si>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</si>
  <si>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</si>
  <si>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</si>
  <si>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</si>
  <si>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</si>
  <si>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</si>
  <si>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</si>
  <si>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</si>
  <si>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</si>
  <si>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</si>
  <si>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</si>
  <si>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</si>
  <si>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</si>
  <si>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</si>
  <si>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</si>
  <si>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</si>
  <si>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</si>
  <si>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</si>
  <si>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</si>
  <si>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</si>
  <si>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</si>
  <si>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</si>
  <si>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</si>
  <si>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</si>
  <si>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</si>
  <si>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</si>
  <si>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</si>
  <si>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</si>
  <si>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</si>
  <si>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</si>
  <si>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</si>
  <si>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</si>
  <si>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</si>
  <si>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</si>
  <si>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</si>
  <si>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</si>
  <si>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</si>
  <si>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</si>
  <si>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</si>
  <si>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</si>
  <si>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</si>
  <si>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</si>
  <si>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</si>
  <si>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</si>
  <si>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</si>
  <si>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</si>
  <si>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</si>
  <si>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</si>
  <si>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</si>
  <si>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</si>
  <si>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</si>
  <si>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</si>
  <si>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</si>
  <si>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</si>
  <si>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</si>
  <si>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</si>
  <si>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</si>
  <si>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</si>
  <si>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</si>
  <si>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</si>
  <si>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</si>
  <si>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</si>
  <si>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</si>
  <si>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</si>
  <si>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</si>
  <si>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</si>
  <si>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</si>
  <si>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</si>
  <si>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</si>
  <si>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</si>
  <si>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</si>
  <si>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</si>
  <si>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</si>
  <si>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</si>
  <si>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</si>
  <si>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</si>
  <si>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</si>
  <si>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</si>
  <si>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</si>
  <si>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</si>
  <si>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</si>
  <si>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</si>
  <si>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</si>
  <si>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</si>
  <si>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</si>
  <si>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</si>
  <si>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</si>
  <si>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</si>
  <si>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</si>
  <si>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</si>
  <si>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</si>
  <si>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</si>
  <si>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</si>
  <si>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</si>
  <si>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</si>
  <si>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</si>
  <si>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</si>
  <si>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</si>
  <si>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</si>
  <si>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</si>
  <si>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</si>
  <si>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</si>
  <si>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</si>
  <si>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</si>
  <si>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</si>
  <si>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</si>
  <si>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</si>
  <si>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</si>
  <si>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</si>
  <si>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</si>
  <si>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</si>
  <si>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</si>
  <si>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</si>
  <si>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</si>
  <si>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</si>
  <si>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</si>
  <si>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</si>
  <si>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</si>
  <si>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</si>
  <si>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</si>
  <si>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</si>
  <si>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</si>
  <si>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</si>
  <si>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</si>
  <si>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</si>
  <si>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</si>
  <si>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</si>
  <si>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</si>
  <si>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</si>
  <si>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</si>
  <si>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</si>
  <si>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</si>
  <si>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</si>
  <si>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</si>
  <si>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</si>
  <si>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</si>
  <si>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</si>
  <si>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</si>
  <si>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</si>
  <si>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</si>
  <si>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</si>
  <si>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</si>
  <si>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</si>
  <si>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</si>
  <si>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</si>
  <si>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</si>
  <si>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</si>
  <si>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</si>
  <si>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</si>
  <si>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</si>
  <si>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</si>
  <si>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</si>
  <si>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</si>
  <si>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</si>
  <si>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</si>
  <si>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</si>
  <si>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</si>
  <si>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</si>
  <si>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</si>
  <si>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</si>
  <si>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</si>
  <si>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</si>
  <si>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</si>
  <si>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</si>
  <si>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</si>
  <si>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</si>
  <si>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</si>
  <si>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</si>
  <si>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</si>
  <si>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</si>
  <si>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</si>
  <si>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</si>
  <si>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</si>
  <si>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</si>
  <si>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</si>
  <si>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</si>
  <si>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</si>
  <si>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</si>
  <si>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</si>
  <si>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</si>
  <si>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</si>
  <si>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</si>
  <si>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</si>
  <si>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</si>
  <si>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</si>
  <si>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</si>
  <si>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</si>
  <si>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</si>
  <si>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</si>
  <si>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</si>
  <si>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</si>
  <si>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</si>
  <si>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</si>
  <si>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</si>
  <si>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</si>
  <si>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</si>
  <si>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</si>
  <si>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</si>
  <si>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</si>
  <si>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</si>
  <si>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</si>
  <si>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</si>
  <si>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</si>
  <si>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</si>
  <si>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</si>
  <si>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</si>
  <si>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</si>
  <si>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</si>
  <si>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</si>
  <si>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</si>
  <si>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</si>
  <si>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</si>
  <si>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</si>
  <si>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</si>
  <si>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</si>
  <si>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</si>
  <si>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</si>
  <si>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</si>
  <si>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</si>
  <si>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</si>
  <si>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</si>
  <si>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</si>
  <si>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</si>
  <si>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</si>
  <si>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</si>
  <si>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</si>
  <si>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</si>
  <si>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</si>
  <si>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</si>
  <si>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</si>
  <si>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</si>
  <si>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</si>
  <si>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</si>
  <si>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</si>
  <si>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</si>
  <si>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</si>
  <si>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</si>
  <si>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</si>
  <si>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</si>
  <si>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</si>
  <si>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</si>
  <si>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</si>
  <si>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</si>
  <si>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</si>
  <si>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</si>
  <si>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</si>
  <si>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</si>
  <si>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</si>
  <si>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</si>
  <si>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</si>
  <si>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</si>
  <si>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</si>
  <si>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</si>
  <si>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</si>
  <si>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</si>
  <si>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</si>
  <si>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</si>
  <si>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</si>
  <si>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</si>
  <si>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</si>
  <si>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</si>
  <si>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</si>
  <si>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</si>
  <si>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</si>
  <si>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</si>
  <si>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</si>
  <si>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</si>
  <si>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</si>
  <si>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</si>
  <si>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</si>
  <si>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</si>
  <si>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</si>
  <si>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</si>
  <si>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</si>
  <si>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</si>
  <si>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</si>
  <si>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</si>
  <si>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</si>
  <si>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</si>
  <si>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</si>
  <si>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</si>
  <si>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</si>
  <si>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</si>
  <si>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</si>
  <si>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</si>
  <si>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</si>
  <si>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</si>
  <si>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</si>
  <si>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</si>
  <si>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</si>
  <si>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</si>
  <si>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</si>
  <si>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</si>
  <si>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</si>
  <si>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</si>
  <si>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</si>
  <si>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</si>
  <si>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</si>
  <si>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</si>
  <si>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</si>
  <si>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</si>
  <si>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</si>
  <si>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</si>
  <si>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</si>
  <si>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</si>
  <si>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</si>
  <si>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</si>
  <si>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</si>
  <si>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</si>
  <si>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</si>
  <si>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</si>
  <si>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</si>
  <si>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</si>
  <si>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</si>
  <si>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</si>
  <si>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</si>
  <si>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</si>
  <si>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</si>
  <si>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</si>
  <si>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</si>
  <si>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</si>
  <si>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</si>
  <si>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</si>
  <si>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</si>
  <si>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</si>
  <si>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</si>
  <si>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</si>
  <si>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</si>
  <si>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</si>
  <si>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</si>
  <si>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</si>
  <si>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</si>
  <si>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</si>
  <si>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</si>
  <si>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</si>
  <si>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</si>
  <si>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</si>
  <si>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</si>
  <si>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</si>
  <si>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</si>
  <si>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</si>
  <si>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</si>
  <si>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</si>
  <si>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</si>
  <si>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</si>
  <si>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</si>
  <si>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</si>
  <si>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</si>
  <si>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</si>
  <si>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</si>
  <si>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</si>
  <si>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</si>
  <si>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</si>
  <si>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</si>
  <si>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</si>
  <si>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</si>
  <si>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</si>
  <si>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</si>
  <si>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</si>
  <si>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</si>
  <si>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</si>
  <si>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</si>
  <si>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</si>
  <si>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</si>
  <si>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</si>
  <si>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</si>
  <si>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</si>
  <si>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</si>
  <si>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</si>
  <si>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</si>
  <si>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</si>
  <si>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</si>
  <si>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</si>
  <si>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</si>
  <si>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</si>
  <si>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</si>
  <si>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</si>
  <si>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</si>
  <si>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</si>
  <si>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</si>
  <si>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</si>
  <si>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</si>
  <si>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</si>
  <si>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</si>
  <si>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</si>
  <si>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</si>
  <si>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</si>
  <si>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</si>
  <si>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</si>
  <si>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</si>
  <si>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</si>
  <si>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</si>
  <si>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</si>
  <si>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</si>
  <si>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</si>
  <si>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</si>
  <si>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</si>
  <si>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</si>
  <si>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</si>
  <si>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</si>
  <si>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</si>
  <si>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</si>
  <si>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</si>
  <si>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</si>
  <si>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</si>
  <si>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</si>
  <si>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</si>
  <si>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</si>
  <si>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</si>
  <si>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</si>
  <si>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</si>
  <si>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</si>
  <si>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</si>
  <si>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</si>
  <si>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</si>
  <si>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</si>
  <si>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</si>
  <si>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</si>
  <si>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</si>
  <si>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</si>
  <si>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</si>
  <si>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</si>
  <si>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</si>
  <si>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</si>
  <si>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</si>
  <si>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</si>
  <si>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</si>
  <si>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</si>
  <si>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</si>
  <si>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</si>
  <si>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</si>
  <si>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</si>
  <si>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</si>
  <si>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</si>
  <si>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</si>
  <si>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</si>
  <si>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</si>
  <si>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</si>
  <si>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</si>
  <si>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</si>
  <si>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</si>
  <si>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</si>
  <si>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</si>
  <si>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</si>
  <si>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</si>
  <si>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</si>
  <si>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</si>
  <si>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</si>
  <si>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</si>
  <si>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</si>
  <si>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</si>
  <si>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</si>
  <si>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</si>
  <si>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</si>
  <si>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</si>
  <si>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</si>
  <si>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</si>
  <si>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</si>
  <si>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</si>
  <si>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</si>
  <si>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</si>
  <si>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</si>
  <si>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</si>
  <si>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</si>
  <si>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</si>
  <si>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</si>
  <si>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</si>
  <si>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</si>
  <si>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</si>
  <si>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</si>
  <si>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</si>
  <si>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</si>
  <si>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</si>
  <si>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</si>
  <si>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</si>
  <si>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</si>
  <si>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</si>
  <si>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</si>
  <si>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</si>
  <si>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</si>
  <si>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</si>
  <si>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</si>
  <si>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</si>
  <si>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</si>
  <si>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</si>
  <si>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</si>
  <si>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</si>
  <si>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</si>
  <si>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</si>
  <si>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</si>
  <si>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</si>
  <si>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</si>
  <si>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</si>
  <si>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</si>
  <si>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</si>
  <si>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</si>
  <si>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</si>
  <si>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</si>
  <si>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</si>
  <si>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</si>
  <si>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</si>
  <si>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</si>
  <si>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</si>
  <si>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</si>
  <si>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</si>
  <si>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</si>
  <si>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</si>
  <si>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</si>
  <si>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</si>
  <si>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</si>
  <si>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</si>
  <si>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</si>
  <si>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</si>
  <si>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</si>
  <si>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</si>
  <si>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</si>
  <si>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</si>
  <si>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</si>
  <si>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</si>
  <si>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</si>
  <si>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</si>
  <si>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</si>
  <si>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</si>
  <si>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</si>
  <si>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</si>
  <si>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</si>
  <si>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</si>
  <si>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</si>
  <si>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</si>
  <si>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</si>
  <si>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</si>
  <si>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</si>
  <si>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</si>
  <si>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</si>
  <si>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</si>
  <si>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</si>
  <si>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</si>
  <si>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</si>
  <si>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</si>
  <si>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</si>
  <si>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</si>
  <si>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</si>
  <si>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</si>
  <si>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</si>
  <si>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</si>
  <si>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</si>
  <si>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</si>
  <si>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</si>
  <si>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</si>
  <si>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</si>
  <si>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</si>
  <si>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</si>
  <si>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</si>
  <si>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</si>
  <si>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</si>
  <si>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</si>
  <si>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</si>
  <si>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</si>
  <si>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</si>
  <si>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</si>
  <si>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</si>
  <si>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</si>
  <si>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</si>
  <si>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</si>
  <si>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</si>
  <si>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</si>
  <si>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</si>
  <si>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</si>
  <si>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</si>
  <si>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</si>
  <si>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</si>
  <si>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</si>
  <si>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</si>
  <si>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</si>
  <si>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</si>
  <si>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</si>
  <si>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</si>
  <si>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</si>
  <si>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</si>
  <si>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</si>
  <si>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</si>
  <si>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</si>
  <si>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</si>
  <si>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</si>
  <si>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</si>
  <si>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</si>
  <si>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</si>
  <si>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</si>
  <si>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</si>
  <si>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</si>
  <si>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</si>
  <si>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</si>
  <si>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</si>
  <si>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</si>
  <si>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</si>
  <si>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</si>
  <si>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</si>
  <si>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</si>
  <si>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</si>
  <si>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</si>
  <si>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</si>
  <si>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</si>
  <si>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</si>
  <si>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</si>
  <si>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</si>
  <si>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</si>
  <si>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</si>
  <si>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</si>
  <si>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</si>
  <si>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</si>
  <si>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</si>
  <si>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</si>
  <si>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</si>
  <si>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</si>
  <si>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</si>
  <si>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</si>
  <si>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</si>
  <si>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</si>
  <si>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</si>
  <si>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</si>
  <si>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</si>
  <si>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</si>
  <si>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</si>
  <si>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</si>
  <si>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</si>
  <si>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</si>
  <si>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</si>
  <si>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</si>
  <si>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</si>
  <si>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</si>
  <si>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</si>
  <si>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</si>
  <si>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</si>
  <si>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</si>
  <si>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</si>
  <si>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</si>
  <si>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</si>
  <si>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</si>
  <si>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</si>
  <si>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</si>
  <si>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</si>
  <si>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</si>
  <si>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</si>
  <si>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</si>
  <si>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</si>
  <si>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</si>
  <si>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</si>
  <si>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</si>
  <si>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</si>
  <si>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</si>
  <si>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</si>
  <si>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</si>
  <si>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</si>
  <si>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</si>
  <si>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</si>
  <si>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</si>
  <si>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</si>
  <si>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</si>
  <si>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</si>
  <si>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</si>
  <si>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</si>
  <si>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</si>
  <si>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</si>
  <si>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</si>
  <si>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</si>
  <si>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</si>
  <si>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</si>
  <si>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</si>
  <si>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</si>
  <si>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</si>
  <si>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</si>
  <si>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</si>
  <si>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</si>
  <si>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</si>
  <si>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</si>
  <si>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</si>
  <si>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</si>
  <si>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</si>
  <si>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</si>
  <si>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</si>
  <si>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</si>
  <si>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</si>
  <si>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</si>
  <si>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</si>
  <si>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</si>
  <si>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</si>
  <si>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</si>
  <si>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</si>
  <si>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</si>
  <si>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</si>
  <si>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</si>
  <si>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</si>
  <si>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</si>
  <si>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</si>
  <si>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</si>
  <si>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</si>
  <si>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</si>
  <si>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</si>
  <si>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</si>
  <si>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</si>
  <si>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</si>
  <si>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</si>
  <si>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</si>
  <si>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</si>
  <si>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</si>
  <si>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</si>
  <si>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</si>
  <si>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</si>
  <si>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</si>
  <si>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</si>
  <si>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</si>
  <si>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</si>
  <si>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</si>
  <si>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</si>
  <si>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</si>
  <si>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</si>
  <si>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</si>
  <si>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</si>
  <si>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</si>
  <si>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</si>
  <si>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</si>
  <si>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</si>
  <si>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</si>
  <si>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</si>
  <si>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</si>
  <si>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</si>
  <si>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</si>
  <si>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</si>
  <si>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</si>
  <si>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</si>
  <si>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</si>
  <si>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</si>
  <si>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</si>
  <si>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</si>
  <si>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</si>
  <si>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</si>
  <si>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</si>
  <si>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</si>
  <si>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</si>
  <si>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</si>
  <si>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</si>
  <si>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</si>
  <si>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</si>
  <si>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</si>
  <si>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</si>
  <si>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</si>
  <si>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</si>
  <si>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</si>
  <si>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</si>
  <si>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</si>
  <si>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</si>
  <si>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</si>
  <si>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</si>
  <si>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</si>
  <si>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</si>
  <si>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</si>
  <si>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</si>
  <si>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</si>
  <si>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</si>
  <si>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</si>
  <si>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</si>
  <si>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</si>
  <si>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</si>
  <si>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</si>
  <si>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</si>
  <si>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</si>
  <si>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</si>
  <si>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</si>
  <si>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</si>
  <si>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</si>
  <si>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</si>
  <si>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</si>
  <si>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</si>
  <si>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</si>
  <si>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</si>
  <si>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</si>
  <si>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</si>
  <si>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</si>
  <si>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</si>
  <si>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</si>
  <si>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</si>
  <si>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</si>
  <si>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</si>
  <si>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</si>
  <si>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</si>
  <si>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</si>
  <si>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</si>
  <si>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</si>
  <si>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</si>
  <si>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</si>
  <si>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</si>
  <si>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</si>
  <si>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</si>
  <si>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</si>
  <si>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</si>
  <si>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</si>
  <si>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</si>
  <si>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</si>
  <si>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</si>
  <si>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</si>
  <si>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</si>
  <si>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</si>
  <si>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</si>
  <si>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</si>
  <si>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</si>
  <si>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</si>
  <si>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</si>
  <si>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</si>
  <si>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</si>
  <si>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</si>
  <si>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</si>
  <si>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</si>
  <si>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</si>
  <si>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</si>
  <si>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</si>
  <si>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</si>
  <si>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</si>
  <si>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</si>
  <si>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</si>
  <si>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</si>
  <si>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</si>
  <si>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</si>
  <si>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</si>
  <si>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</si>
  <si>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</si>
  <si>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</si>
  <si>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</si>
  <si>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</si>
  <si>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</si>
  <si>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</si>
  <si>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</si>
  <si>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</si>
  <si>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</si>
  <si>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</si>
  <si>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</si>
  <si>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</si>
  <si>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</si>
  <si>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</si>
  <si>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</si>
  <si>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</si>
  <si>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</si>
  <si>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</si>
  <si>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</si>
  <si>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</si>
  <si>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</si>
  <si>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</si>
  <si>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</si>
  <si>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</si>
  <si>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</si>
  <si>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</si>
  <si>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</si>
  <si>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</si>
  <si>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</si>
  <si>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</si>
  <si>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</si>
  <si>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</si>
  <si>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</si>
  <si>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</si>
  <si>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</si>
  <si>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</si>
  <si>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</si>
  <si>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</si>
  <si>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</si>
  <si>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</si>
  <si>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</si>
  <si>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</si>
  <si>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</si>
  <si>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</si>
  <si>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</si>
  <si>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</si>
  <si>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</si>
  <si>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</si>
  <si>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</si>
  <si>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</si>
  <si>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</si>
  <si>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</si>
  <si>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</si>
  <si>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</si>
  <si>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</si>
  <si>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</si>
  <si>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</si>
  <si>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</si>
  <si>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</si>
  <si>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</si>
  <si>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</si>
  <si>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</si>
  <si>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</si>
  <si>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</si>
  <si>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</si>
  <si>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</si>
  <si>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</si>
  <si>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</si>
  <si>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</si>
  <si>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</si>
  <si>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</si>
  <si>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</si>
  <si>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</si>
  <si>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</si>
  <si>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</si>
  <si>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</si>
  <si>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</si>
  <si>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</si>
  <si>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</si>
  <si>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</si>
  <si>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</si>
  <si>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</si>
  <si>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</si>
  <si>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</si>
  <si>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</si>
  <si>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</si>
  <si>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</si>
  <si>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</si>
  <si>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</si>
  <si>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</si>
  <si>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</si>
  <si>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</si>
  <si>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</si>
  <si>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</si>
  <si>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</si>
  <si>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</si>
  <si>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</si>
  <si>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</si>
  <si>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</si>
  <si>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</si>
  <si>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</si>
  <si>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</si>
  <si>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</si>
  <si>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</si>
  <si>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</si>
  <si>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</si>
  <si>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</si>
  <si>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</si>
  <si>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</si>
  <si>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</si>
  <si>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</si>
  <si>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</si>
  <si>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</si>
  <si>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</si>
  <si>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</si>
  <si>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</si>
  <si>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</si>
  <si>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</si>
  <si>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</si>
  <si>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</si>
  <si>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</si>
  <si>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</si>
  <si>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</si>
  <si>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</si>
  <si>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</si>
  <si>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</si>
  <si>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</si>
  <si>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</si>
  <si>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</si>
  <si>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</si>
  <si>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</si>
  <si>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</si>
  <si>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</si>
  <si>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</si>
  <si>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</si>
  <si>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</si>
  <si>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</si>
  <si>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</si>
  <si>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</si>
  <si>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</si>
  <si>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</si>
  <si>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</si>
  <si>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</si>
  <si>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</si>
  <si>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</si>
  <si>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</si>
  <si>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</si>
  <si>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</si>
  <si>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</si>
  <si>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</si>
  <si>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</si>
  <si>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</si>
  <si>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</si>
  <si>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</si>
  <si>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</si>
  <si>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</si>
  <si>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</si>
  <si>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</si>
  <si>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</si>
  <si>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</si>
  <si>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</si>
  <si>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</si>
  <si>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</si>
  <si>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</si>
  <si>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</si>
  <si>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</si>
  <si>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</si>
  <si>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</si>
  <si>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</si>
  <si>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</si>
  <si>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</si>
  <si>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</si>
  <si>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</si>
  <si>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</si>
  <si>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</si>
  <si>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</si>
  <si>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</si>
  <si>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</si>
  <si>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</si>
  <si>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</si>
  <si>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</si>
  <si>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</si>
  <si>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</si>
  <si>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</si>
  <si>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</si>
  <si>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</si>
  <si>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</si>
  <si>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</si>
  <si>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</si>
  <si>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</si>
  <si>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</si>
  <si>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</si>
  <si>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</si>
  <si>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</si>
  <si>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</si>
  <si>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</si>
  <si>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</si>
  <si>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</si>
  <si>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</si>
  <si>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</si>
  <si>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</si>
  <si>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</si>
  <si>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</si>
  <si>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</si>
  <si>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</si>
  <si>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</si>
  <si>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</si>
  <si>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</si>
  <si>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</si>
  <si>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</si>
  <si>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</si>
  <si>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</si>
  <si>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</si>
  <si>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</si>
  <si>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</si>
  <si>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</si>
  <si>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</si>
  <si>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</si>
  <si>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</si>
  <si>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</si>
  <si>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</si>
  <si>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</si>
  <si>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</si>
  <si>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</si>
  <si>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</si>
  <si>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</si>
  <si>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</si>
  <si>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</si>
  <si>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</si>
  <si>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</si>
  <si>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</si>
  <si>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</si>
  <si>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</si>
  <si>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</si>
  <si>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</si>
  <si>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</si>
  <si>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</si>
  <si>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</si>
  <si>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</si>
  <si>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</si>
  <si>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</si>
  <si>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</si>
  <si>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</si>
  <si>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</si>
  <si>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</si>
  <si>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</si>
  <si>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</si>
  <si>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</si>
  <si>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</si>
  <si>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</si>
  <si>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</si>
  <si>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</si>
  <si>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</si>
  <si>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</si>
  <si>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</si>
  <si>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</si>
  <si>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</si>
  <si>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</si>
  <si>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</si>
  <si>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</si>
  <si>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</si>
  <si>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</si>
  <si>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</si>
  <si>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</si>
  <si>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</si>
  <si>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</si>
  <si>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</si>
  <si>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</si>
  <si>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</si>
  <si>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</si>
  <si>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</si>
  <si>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</si>
  <si>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</si>
  <si>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</si>
  <si>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</si>
  <si>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</si>
  <si>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</si>
  <si>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</si>
  <si>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</si>
  <si>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</si>
  <si>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</si>
  <si>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</si>
  <si>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</si>
  <si>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</si>
  <si>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</si>
  <si>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</si>
  <si>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</si>
  <si>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</si>
  <si>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</si>
  <si>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</si>
  <si>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</si>
  <si>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</si>
  <si>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</si>
  <si>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</si>
  <si>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</si>
  <si>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</si>
  <si>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</si>
  <si>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</si>
  <si>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</si>
  <si>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</si>
  <si>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</si>
  <si>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</si>
  <si>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</si>
  <si>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</si>
  <si>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</si>
  <si>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</si>
  <si>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</si>
  <si>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</si>
  <si>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</si>
  <si>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</si>
  <si>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</si>
  <si>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</si>
  <si>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</si>
  <si>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</si>
  <si>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</si>
  <si>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</si>
  <si>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</si>
  <si>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</si>
  <si>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</si>
  <si>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</si>
  <si>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</si>
  <si>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</si>
  <si>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</si>
  <si>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</si>
  <si>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</si>
  <si>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</si>
  <si>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</si>
  <si>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</si>
  <si>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</si>
  <si>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</si>
  <si>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</si>
  <si>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</si>
  <si>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</si>
  <si>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</si>
  <si>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</si>
  <si>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</si>
  <si>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</si>
  <si>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</si>
  <si>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</si>
  <si>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</si>
  <si>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</si>
  <si>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</si>
  <si>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</si>
  <si>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</si>
  <si>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</si>
  <si>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</si>
  <si>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</si>
  <si>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</si>
  <si>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</si>
  <si>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</si>
  <si>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</si>
  <si>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</si>
  <si>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</si>
  <si>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</si>
  <si>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</si>
  <si>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</si>
  <si>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</si>
  <si>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</si>
  <si>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</si>
  <si>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</si>
  <si>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</si>
  <si>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</si>
  <si>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</si>
  <si>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</si>
  <si>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</si>
  <si>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</si>
  <si>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</si>
  <si>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</si>
  <si>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</si>
  <si>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</si>
  <si>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</si>
  <si>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</si>
  <si>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</si>
  <si>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</si>
  <si>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</si>
  <si>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</si>
  <si>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</si>
  <si>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</si>
  <si>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</si>
  <si>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</si>
  <si>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</si>
  <si>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</si>
  <si>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</si>
  <si>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</si>
  <si>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</si>
  <si>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</si>
  <si>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</si>
  <si>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</si>
  <si>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</si>
  <si>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</si>
  <si>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</si>
  <si>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</si>
  <si>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</si>
  <si>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</si>
  <si>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</si>
  <si>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</si>
  <si>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</si>
  <si>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</si>
  <si>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</si>
  <si>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</si>
  <si>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</si>
  <si>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</si>
  <si>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</si>
  <si>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</si>
  <si>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</si>
  <si>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</si>
  <si>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</si>
  <si>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</si>
  <si>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</si>
  <si>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</si>
  <si>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</si>
  <si>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</si>
  <si>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</si>
  <si>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</si>
  <si>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</si>
  <si>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</si>
  <si>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</si>
  <si>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</si>
  <si>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</si>
  <si>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</si>
  <si>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</si>
  <si>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</si>
  <si>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</si>
  <si>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</si>
  <si>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</si>
  <si>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</si>
  <si>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</si>
  <si>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</si>
  <si>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</si>
  <si>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</si>
  <si>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</si>
  <si>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</si>
  <si>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</si>
  <si>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</si>
  <si>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</si>
  <si>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</si>
  <si>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</si>
  <si>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</si>
  <si>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</si>
  <si>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</si>
  <si>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</si>
  <si>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</si>
  <si>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</si>
  <si>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</si>
  <si>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</si>
  <si>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</si>
  <si>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</si>
  <si>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</si>
  <si>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</si>
  <si>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</si>
  <si>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</si>
  <si>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</si>
  <si>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</si>
  <si>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</si>
  <si>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</si>
  <si>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</si>
  <si>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</si>
  <si>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</si>
  <si>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</si>
  <si>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</si>
  <si>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</si>
  <si>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</si>
  <si>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</si>
  <si>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</si>
  <si>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</si>
  <si>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</si>
  <si>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</si>
  <si>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</si>
  <si>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</si>
  <si>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</si>
  <si>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</si>
  <si>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</si>
  <si>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</si>
  <si>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</si>
  <si>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</si>
  <si>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</si>
  <si>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</si>
  <si>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</si>
  <si>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</si>
  <si>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</si>
  <si>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</si>
  <si>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</si>
  <si>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</si>
  <si>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</si>
  <si>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</si>
  <si>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</si>
  <si>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</si>
  <si>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</si>
  <si>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</si>
  <si>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</si>
  <si>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</si>
  <si>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</si>
  <si>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</si>
  <si>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</si>
  <si>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</si>
  <si>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</si>
  <si>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</si>
  <si>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</si>
  <si>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</si>
  <si>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</si>
  <si>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</si>
  <si>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</si>
  <si>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</si>
  <si>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</si>
  <si>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</si>
  <si>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</si>
  <si>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</si>
  <si>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</si>
  <si>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</si>
  <si>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</si>
  <si>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</si>
  <si>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</si>
  <si>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</si>
  <si>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</si>
  <si>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</si>
  <si>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</si>
  <si>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</si>
  <si>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</si>
  <si>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</si>
  <si>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</si>
  <si>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</si>
  <si>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</si>
  <si>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</si>
  <si>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</si>
  <si>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</si>
  <si>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</si>
  <si>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</si>
  <si>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</si>
  <si>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</si>
  <si>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</si>
  <si>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</si>
  <si>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</si>
  <si>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</si>
  <si>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</si>
  <si>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</si>
  <si>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</si>
  <si>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</si>
  <si>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</si>
  <si>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</si>
  <si>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</si>
  <si>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</si>
  <si>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</si>
  <si>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</si>
  <si>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</si>
  <si>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</si>
  <si>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</si>
  <si>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</si>
  <si>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</si>
  <si>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</si>
  <si>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</si>
  <si>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</si>
  <si>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</si>
  <si>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</si>
  <si>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</si>
  <si>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</si>
  <si>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</si>
  <si>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</si>
  <si>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</si>
  <si>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</si>
  <si>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</si>
  <si>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</si>
  <si>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</si>
  <si>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</si>
  <si>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</si>
  <si>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</si>
  <si>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</si>
  <si>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</si>
  <si>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</si>
  <si>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</si>
  <si>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</si>
  <si>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</si>
  <si>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</si>
  <si>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</si>
  <si>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</si>
  <si>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</si>
  <si>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</si>
  <si>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</si>
  <si>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</si>
  <si>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</si>
  <si>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</si>
  <si>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</si>
  <si>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</si>
  <si>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</si>
  <si>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</si>
  <si>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</si>
  <si>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</si>
  <si>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</si>
  <si>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</si>
  <si>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</si>
  <si>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</si>
  <si>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</si>
  <si>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</si>
  <si>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</si>
  <si>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</si>
  <si>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</si>
  <si>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</si>
  <si>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</si>
  <si>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</si>
  <si>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</si>
  <si>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</si>
  <si>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</si>
  <si>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</si>
  <si>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</si>
  <si>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</si>
  <si>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</si>
  <si>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</si>
  <si>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</si>
  <si>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</si>
  <si>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</si>
  <si>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</si>
  <si>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</si>
  <si>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</si>
  <si>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</si>
  <si>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</si>
  <si>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</si>
  <si>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</si>
  <si>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</si>
  <si>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</si>
  <si>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</si>
  <si>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</si>
  <si>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</si>
  <si>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</si>
  <si>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</si>
  <si>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</si>
  <si>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</si>
  <si>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</si>
  <si>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</si>
  <si>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</si>
  <si>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</si>
  <si>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</si>
  <si>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</si>
  <si>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</si>
  <si>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</si>
  <si>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</si>
  <si>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</si>
  <si>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</si>
  <si>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</si>
  <si>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</si>
  <si>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</si>
  <si>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</si>
  <si>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</si>
  <si>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</si>
  <si>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</si>
  <si>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</si>
  <si>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</si>
  <si>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</si>
  <si>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</si>
  <si>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</si>
  <si>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</si>
  <si>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</si>
  <si>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</si>
  <si>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</si>
  <si>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</si>
  <si>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</si>
  <si>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</si>
  <si>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</si>
  <si>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</si>
  <si>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</si>
  <si>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</si>
  <si>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</si>
  <si>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</si>
  <si>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</si>
  <si>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</si>
  <si>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</si>
  <si>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</si>
  <si>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</si>
  <si>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</si>
  <si>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</si>
  <si>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</si>
  <si>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</si>
  <si>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</si>
  <si>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</si>
  <si>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</si>
  <si>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</si>
  <si>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</si>
  <si>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</si>
  <si>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</si>
  <si>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</si>
  <si>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</si>
  <si>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</si>
  <si>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</si>
  <si>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</si>
  <si>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</si>
  <si>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</si>
  <si>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</si>
  <si>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</si>
  <si>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</si>
  <si>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</si>
  <si>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</si>
  <si>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</si>
  <si>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</si>
  <si>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</si>
  <si>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</si>
  <si>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</si>
  <si>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</si>
  <si>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</si>
  <si>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</si>
  <si>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</si>
  <si>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</si>
  <si>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</si>
  <si>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</si>
  <si>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</si>
  <si>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</si>
  <si>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</si>
  <si>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</si>
  <si>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</si>
  <si>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</si>
  <si>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</si>
  <si>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</si>
  <si>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</si>
  <si>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</si>
  <si>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</si>
  <si>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</si>
  <si>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</si>
  <si>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</si>
  <si>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</si>
  <si>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</si>
  <si>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</si>
  <si>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</si>
  <si>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</si>
  <si>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</si>
  <si>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</si>
  <si>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</si>
  <si>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</si>
  <si>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</si>
  <si>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</si>
  <si>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</si>
  <si>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</si>
  <si>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</si>
  <si>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</si>
  <si>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</si>
  <si>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</si>
  <si>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</si>
  <si>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</si>
  <si>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</si>
  <si>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</si>
  <si>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</si>
  <si>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</si>
  <si>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</si>
  <si>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</si>
  <si>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</si>
  <si>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</si>
  <si>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</si>
  <si>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</si>
  <si>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</si>
  <si>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</si>
  <si>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</si>
  <si>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</si>
  <si>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</si>
  <si>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</si>
  <si>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</si>
  <si>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</si>
  <si>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</si>
  <si>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</si>
  <si>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</si>
  <si>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</si>
  <si>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</si>
  <si>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</si>
  <si>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</si>
  <si>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</si>
  <si>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</si>
  <si>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</si>
  <si>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</si>
  <si>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</si>
  <si>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</si>
  <si>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</si>
  <si>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</si>
  <si>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</si>
  <si>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</si>
  <si>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</si>
  <si>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</si>
  <si>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</si>
  <si>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</si>
  <si>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</si>
  <si>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</si>
  <si>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</si>
  <si>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</si>
  <si>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</si>
  <si>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</si>
  <si>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</si>
  <si>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</si>
  <si>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</si>
  <si>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</si>
  <si>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</si>
  <si>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</si>
  <si>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</si>
  <si>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</si>
  <si>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</si>
  <si>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</si>
  <si>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</si>
  <si>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</si>
  <si>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</si>
  <si>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</si>
  <si>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</si>
  <si>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</si>
  <si>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</si>
  <si>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</si>
  <si>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</si>
  <si>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</si>
  <si>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</si>
  <si>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</si>
  <si>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</si>
  <si>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</si>
  <si>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</si>
  <si>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</si>
  <si>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</si>
  <si>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</si>
  <si>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</si>
  <si>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</si>
  <si>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</si>
  <si>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</si>
  <si>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</si>
  <si>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</si>
  <si>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</si>
  <si>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</si>
  <si>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</si>
  <si>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</si>
  <si>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</si>
  <si>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</si>
  <si>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</si>
  <si>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</si>
  <si>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</si>
  <si>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</si>
  <si>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</si>
  <si>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</si>
  <si>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</si>
  <si>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</si>
  <si>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</si>
  <si>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</si>
  <si>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</si>
  <si>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</si>
  <si>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</si>
  <si>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</si>
  <si>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</si>
  <si>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</si>
  <si>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</si>
  <si>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</si>
  <si>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</si>
  <si>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</si>
  <si>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</si>
  <si>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</si>
  <si>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</si>
  <si>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</si>
  <si>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</si>
  <si>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</si>
  <si>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</si>
  <si>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</si>
  <si>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</si>
  <si>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</si>
  <si>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</si>
  <si>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</si>
  <si>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</si>
  <si>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</si>
  <si>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</si>
  <si>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</si>
  <si>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</si>
  <si>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</si>
  <si>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</si>
  <si>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</si>
  <si>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</si>
  <si>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</si>
  <si>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</si>
  <si>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</si>
  <si>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</si>
  <si>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</si>
  <si>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</si>
  <si>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</si>
  <si>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</si>
  <si>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</si>
  <si>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</si>
  <si>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</si>
  <si>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</si>
  <si>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</si>
  <si>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</si>
  <si>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</si>
  <si>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</si>
  <si>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</si>
  <si>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</si>
  <si>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</si>
  <si>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</si>
  <si>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</si>
  <si>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</si>
  <si>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</si>
  <si>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</si>
  <si>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</si>
  <si>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</si>
  <si>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</si>
  <si>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</si>
  <si>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</si>
  <si>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</si>
  <si>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</si>
  <si>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</si>
  <si>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</si>
  <si>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</si>
  <si>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</si>
  <si>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</si>
  <si>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</si>
  <si>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</si>
  <si>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</si>
  <si>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</si>
  <si>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</si>
  <si>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</si>
  <si>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</si>
  <si>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</si>
  <si>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</si>
  <si>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</si>
  <si>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</si>
  <si>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</si>
  <si>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</si>
  <si>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</si>
  <si>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</si>
  <si>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</si>
  <si>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</si>
  <si>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</si>
  <si>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</si>
  <si>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</si>
  <si>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</si>
  <si>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</si>
  <si>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</si>
  <si>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</si>
  <si>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</si>
  <si>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</si>
  <si>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</si>
  <si>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</si>
  <si>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</si>
  <si>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</si>
  <si>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</si>
  <si>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</si>
  <si>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</si>
  <si>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</si>
  <si>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</si>
  <si>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</si>
  <si>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</si>
  <si>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</si>
  <si>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</si>
  <si>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</si>
  <si>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</si>
  <si>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</si>
  <si>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</si>
  <si>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</si>
  <si>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</si>
  <si>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</si>
  <si>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</si>
  <si>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</si>
  <si>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</si>
  <si>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</si>
  <si>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</si>
  <si>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</si>
  <si>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</si>
  <si>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</si>
  <si>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</si>
  <si>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</si>
  <si>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</si>
  <si>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</si>
  <si>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</si>
  <si>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</si>
  <si>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</si>
  <si>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</si>
  <si>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</si>
  <si>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</si>
  <si>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</si>
  <si>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</si>
  <si>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</si>
  <si>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</si>
  <si>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</si>
  <si>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</si>
  <si>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</si>
  <si>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</si>
  <si>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</si>
  <si>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</si>
  <si>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</si>
  <si>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</si>
  <si>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</si>
  <si>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</si>
  <si>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</si>
  <si>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</si>
  <si>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</si>
  <si>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</si>
  <si>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</si>
  <si>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</si>
  <si>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</si>
  <si>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</si>
  <si>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</si>
  <si>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</si>
  <si>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</si>
  <si>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</si>
  <si>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</si>
  <si>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</si>
  <si>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</si>
  <si>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</si>
  <si>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</si>
  <si>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</si>
  <si>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</si>
  <si>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</si>
  <si>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</si>
  <si>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</si>
  <si>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</si>
  <si>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</si>
  <si>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</si>
  <si>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</si>
  <si>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</si>
  <si>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</si>
  <si>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</si>
  <si>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</si>
  <si>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</si>
  <si>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</si>
  <si>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</si>
  <si>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</si>
  <si>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</si>
  <si>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</si>
  <si>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</si>
  <si>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</si>
  <si>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</si>
  <si>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</si>
  <si>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</si>
  <si>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</si>
  <si>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</si>
  <si>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</si>
  <si>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</si>
  <si>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</si>
  <si>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</si>
  <si>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</si>
  <si>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</si>
  <si>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</si>
  <si>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</si>
  <si>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</si>
  <si>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</si>
  <si>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</si>
  <si>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</si>
  <si>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</si>
  <si>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</si>
  <si>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</si>
  <si>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</si>
  <si>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</si>
  <si>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</si>
  <si>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</si>
  <si>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</si>
  <si>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</si>
  <si>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</si>
  <si>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</si>
  <si>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</si>
  <si>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</si>
  <si>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</si>
  <si>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</si>
  <si>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</si>
  <si>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</si>
  <si>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</si>
  <si>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</si>
  <si>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</si>
  <si>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</si>
  <si>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</si>
  <si>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</si>
  <si>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</si>
  <si>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</si>
  <si>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</si>
  <si>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</si>
  <si>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</si>
  <si>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</si>
  <si>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</si>
  <si>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</si>
  <si>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</si>
  <si>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</si>
  <si>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</si>
  <si>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</si>
  <si>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</si>
  <si>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</si>
  <si>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</si>
  <si>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</si>
  <si>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</si>
  <si>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</si>
  <si>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</si>
  <si>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</si>
  <si>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</si>
  <si>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</si>
  <si>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</si>
  <si>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</si>
  <si>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</si>
  <si>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</si>
  <si>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</si>
  <si>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</si>
  <si>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</si>
  <si>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</si>
  <si>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</si>
  <si>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</si>
  <si>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</si>
  <si>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</si>
  <si>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</si>
  <si>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</si>
  <si>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</si>
  <si>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</si>
  <si>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</si>
  <si>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</si>
  <si>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</si>
  <si>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</si>
  <si>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</si>
  <si>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</si>
  <si>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</si>
  <si>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</si>
  <si>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</si>
  <si>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</si>
  <si>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</si>
  <si>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</si>
  <si>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</si>
  <si>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</si>
  <si>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</si>
  <si>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</si>
  <si>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</si>
  <si>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</si>
  <si>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</si>
  <si>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</si>
  <si>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</si>
  <si>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</si>
  <si>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</si>
  <si>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</si>
  <si>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</si>
  <si>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</si>
  <si>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</si>
  <si>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</si>
  <si>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</si>
  <si>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</si>
  <si>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</si>
  <si>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</si>
  <si>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</si>
  <si>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</si>
  <si>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</si>
  <si>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</si>
  <si>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</si>
  <si>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</si>
  <si>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</si>
  <si>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</si>
  <si>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</si>
  <si>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</si>
  <si>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</si>
  <si>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</si>
  <si>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</si>
  <si>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</si>
  <si>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</si>
  <si>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</si>
  <si>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</si>
  <si>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</si>
  <si>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</si>
  <si>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</si>
  <si>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</si>
  <si>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</si>
  <si>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</si>
  <si>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</si>
  <si>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</si>
  <si>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</si>
  <si>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</si>
  <si>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</si>
  <si>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</si>
  <si>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</si>
  <si>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</si>
  <si>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</si>
  <si>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</si>
  <si>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</si>
  <si>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</si>
  <si>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</si>
  <si>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</si>
  <si>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</si>
  <si>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</si>
  <si>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</si>
  <si>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</si>
  <si>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</si>
  <si>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</si>
  <si>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</si>
  <si>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</si>
  <si>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</si>
  <si>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</si>
  <si>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</si>
  <si>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</si>
  <si>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</si>
  <si>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</si>
  <si>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</si>
  <si>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</si>
  <si>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</si>
  <si>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</si>
  <si>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</si>
  <si>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</si>
  <si>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</si>
  <si>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</si>
  <si>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</si>
  <si>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</si>
  <si>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</si>
  <si>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</si>
  <si>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</si>
  <si>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</si>
  <si>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</si>
  <si>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</si>
  <si>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</si>
  <si>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</si>
  <si>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</si>
  <si>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</si>
  <si>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</si>
  <si>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</si>
  <si>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</si>
  <si>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</si>
  <si>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</si>
  <si>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</si>
  <si>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</si>
  <si>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</si>
  <si>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</si>
  <si>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</si>
  <si>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</si>
  <si>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</si>
  <si>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</si>
  <si>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</si>
  <si>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</si>
  <si>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</si>
  <si>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</si>
  <si>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</si>
  <si>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</si>
  <si>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</si>
  <si>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</si>
  <si>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</si>
  <si>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</si>
  <si>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</si>
  <si>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</si>
  <si>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</si>
  <si>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</si>
  <si>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</si>
  <si>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</si>
  <si>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</si>
  <si>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</si>
  <si>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</si>
  <si>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</si>
  <si>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</si>
  <si>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</si>
  <si>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</si>
  <si>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</si>
  <si>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</si>
  <si>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</si>
  <si>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</si>
  <si>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</si>
  <si>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</si>
  <si>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</si>
  <si>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</si>
  <si>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</si>
  <si>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</si>
  <si>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</si>
  <si>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</si>
  <si>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</si>
  <si>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</si>
  <si>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</si>
  <si>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</si>
  <si>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</si>
  <si>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</si>
  <si>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</si>
  <si>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</si>
  <si>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</si>
  <si>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</si>
  <si>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</si>
  <si>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</si>
  <si>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</si>
  <si>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</si>
  <si>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</si>
  <si>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</si>
  <si>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</si>
  <si>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</si>
  <si>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</si>
  <si>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</si>
  <si>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</si>
  <si>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</si>
  <si>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</si>
  <si>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</si>
  <si>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</si>
  <si>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</si>
  <si>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</si>
  <si>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</si>
  <si>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</si>
  <si>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</si>
  <si>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</si>
  <si>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</si>
  <si>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</si>
  <si>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</si>
  <si>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</si>
  <si>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</si>
  <si>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</si>
  <si>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</si>
  <si>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</si>
  <si>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</si>
  <si>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</si>
  <si>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</si>
  <si>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</si>
  <si>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</si>
  <si>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</si>
  <si>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</si>
  <si>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</si>
  <si>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</si>
  <si>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</si>
  <si>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</si>
  <si>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</si>
  <si>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</si>
  <si>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</si>
  <si>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</si>
  <si>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</si>
  <si>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</si>
  <si>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</si>
  <si>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</si>
  <si>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</si>
  <si>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</si>
  <si>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</si>
  <si>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</si>
  <si>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</si>
  <si>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</si>
  <si>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</si>
  <si>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</si>
  <si>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</si>
  <si>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</si>
  <si>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</si>
  <si>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</si>
  <si>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</si>
  <si>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</si>
  <si>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</si>
  <si>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</si>
  <si>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</si>
  <si>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</si>
  <si>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</si>
  <si>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</si>
  <si>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</si>
  <si>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</si>
  <si>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</si>
  <si>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</si>
  <si>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</si>
  <si>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</si>
  <si>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</si>
  <si>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</si>
  <si>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</si>
  <si>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</si>
  <si>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</si>
  <si>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</si>
  <si>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</si>
  <si>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</si>
  <si>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</si>
  <si>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</si>
  <si>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</si>
  <si>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</si>
  <si>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</si>
  <si>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</si>
  <si>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</si>
  <si>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</si>
  <si>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</si>
  <si>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</si>
  <si>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</si>
  <si>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</si>
  <si>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</si>
  <si>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</si>
  <si>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</si>
  <si>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</si>
  <si>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</si>
  <si>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</si>
  <si>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</si>
  <si>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</si>
  <si>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</si>
  <si>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</si>
  <si>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</si>
  <si>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</si>
  <si>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</si>
  <si>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</si>
  <si>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</si>
  <si>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</si>
  <si>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</si>
  <si>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</si>
  <si>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</si>
  <si>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</si>
  <si>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</si>
  <si>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</si>
  <si>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</si>
  <si>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</si>
  <si>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</si>
  <si>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</si>
  <si>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</si>
  <si>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</si>
  <si>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</si>
  <si>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</si>
  <si>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</si>
  <si>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</si>
  <si>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</si>
  <si>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</si>
  <si>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</si>
  <si>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</si>
  <si>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</si>
  <si>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</si>
  <si>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</si>
  <si>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</si>
  <si>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</si>
  <si>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</si>
  <si>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</si>
  <si>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</si>
  <si>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</si>
  <si>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</si>
  <si>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</si>
  <si>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</si>
  <si>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</si>
  <si>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</si>
  <si>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</si>
  <si>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</si>
  <si>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</si>
  <si>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</si>
  <si>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</si>
  <si>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</si>
  <si>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</si>
  <si>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</si>
  <si>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</si>
  <si>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</si>
  <si>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</si>
  <si>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</si>
  <si>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</si>
  <si>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</si>
  <si>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</si>
  <si>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</si>
  <si>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</si>
  <si>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</si>
  <si>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</si>
  <si>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</si>
  <si>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</si>
  <si>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</si>
  <si>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</si>
  <si>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</si>
  <si>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</si>
  <si>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</si>
  <si>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</si>
  <si>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</si>
  <si>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</si>
  <si>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</si>
  <si>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</si>
  <si>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</si>
  <si>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</si>
  <si>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</si>
  <si>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</si>
  <si>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</si>
  <si>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</si>
  <si>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</si>
  <si>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</si>
  <si>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</si>
  <si>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</si>
  <si>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</si>
  <si>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</si>
  <si>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</si>
  <si>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</si>
  <si>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</si>
  <si>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</si>
  <si>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</si>
  <si>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</si>
  <si>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</si>
  <si>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</si>
  <si>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</si>
  <si>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</si>
  <si>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</si>
  <si>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</si>
  <si>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</si>
  <si>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</si>
  <si>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</si>
  <si>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</si>
  <si>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</si>
  <si>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</si>
  <si>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</si>
  <si>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</si>
  <si>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</si>
  <si>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</si>
  <si>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</si>
  <si>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</si>
  <si>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</si>
  <si>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</si>
  <si>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</si>
  <si>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</si>
  <si>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</si>
  <si>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</si>
  <si>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</si>
  <si>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</si>
  <si>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</si>
  <si>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</si>
  <si>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</si>
  <si>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</si>
  <si>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</si>
  <si>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</si>
  <si>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</si>
  <si>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</si>
  <si>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</si>
  <si>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</si>
  <si>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</si>
  <si>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</si>
  <si>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</si>
  <si>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</si>
  <si>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</si>
  <si>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</si>
  <si>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</si>
  <si>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</si>
  <si>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</si>
  <si>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</si>
  <si>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</si>
  <si>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</si>
  <si>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</si>
  <si>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</si>
  <si>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</si>
  <si>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</si>
  <si>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</si>
  <si>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</si>
  <si>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</si>
  <si>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</si>
  <si>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</si>
  <si>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</si>
  <si>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</si>
  <si>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</si>
  <si>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</si>
  <si>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</si>
  <si>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</si>
  <si>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</si>
  <si>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</si>
  <si>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</si>
  <si>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</si>
  <si>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</si>
  <si>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</si>
  <si>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</si>
  <si>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</si>
  <si>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</si>
  <si>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</si>
  <si>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</si>
  <si>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</si>
  <si>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</si>
  <si>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</si>
  <si>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</si>
  <si>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</si>
  <si>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</si>
  <si>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</si>
  <si>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</si>
  <si>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</si>
  <si>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</si>
  <si>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</si>
  <si>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</si>
  <si>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</si>
  <si>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</si>
  <si>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</si>
  <si>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</si>
  <si>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</si>
  <si>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</si>
  <si>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</si>
  <si>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</si>
  <si>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</si>
  <si>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</si>
  <si>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</si>
  <si>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</si>
  <si>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</si>
  <si>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</si>
  <si>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</si>
  <si>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</si>
  <si>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</si>
  <si>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</si>
  <si>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</si>
  <si>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</si>
  <si>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</si>
  <si>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</si>
  <si>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</si>
  <si>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</si>
  <si>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</si>
  <si>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</si>
  <si>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</si>
  <si>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</si>
  <si>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</si>
  <si>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</si>
  <si>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</si>
  <si>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</si>
  <si>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</si>
  <si>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</si>
  <si>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</si>
  <si>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</si>
  <si>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</si>
  <si>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</si>
  <si>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</si>
  <si>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</si>
  <si>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</si>
  <si>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</si>
  <si>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</si>
  <si>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</si>
  <si>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</si>
  <si>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</si>
  <si>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</si>
  <si>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</si>
  <si>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</si>
  <si>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</si>
  <si>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</si>
  <si>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</si>
  <si>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</si>
  <si>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</si>
  <si>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</si>
  <si>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</si>
  <si>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</si>
  <si>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</si>
  <si>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</si>
  <si>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</si>
  <si>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</si>
  <si>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</si>
  <si>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</si>
  <si>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</si>
  <si>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</si>
  <si>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</si>
  <si>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</si>
  <si>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</si>
  <si>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</si>
  <si>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</si>
  <si>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</si>
  <si>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</si>
  <si>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</si>
  <si>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</si>
  <si>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</si>
  <si>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</si>
  <si>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</si>
  <si>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</si>
  <si>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</si>
  <si>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</si>
  <si>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</si>
  <si>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</si>
  <si>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</si>
  <si>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</si>
  <si>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</si>
  <si>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</si>
  <si>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</si>
  <si>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</si>
  <si>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</si>
  <si>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</si>
  <si>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</si>
  <si>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</si>
  <si>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</si>
  <si>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</si>
  <si>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</si>
  <si>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</si>
  <si>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</si>
  <si>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</si>
  <si>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</si>
  <si>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</si>
  <si>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</si>
  <si>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</si>
  <si>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</si>
  <si>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</si>
  <si>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</si>
  <si>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</si>
  <si>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</si>
  <si>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</si>
  <si>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</si>
  <si>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</si>
  <si>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</si>
  <si>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</si>
  <si>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</si>
  <si>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</si>
  <si>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</si>
  <si>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</si>
  <si>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</si>
  <si>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</si>
  <si>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</si>
  <si>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</si>
  <si>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</si>
  <si>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</si>
  <si>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</si>
  <si>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</si>
  <si>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</si>
  <si>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</si>
  <si>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</si>
  <si>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</si>
  <si>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</si>
  <si>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</si>
  <si>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</si>
  <si>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</si>
  <si>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</si>
  <si>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</si>
  <si>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</si>
  <si>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</si>
  <si>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</si>
  <si>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</si>
  <si>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</si>
  <si>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</si>
  <si>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</si>
  <si>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</si>
  <si>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</si>
  <si>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</si>
  <si>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</si>
  <si>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</si>
  <si>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</si>
  <si>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</si>
  <si>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</si>
  <si>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</si>
  <si>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</si>
  <si>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</si>
  <si>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</si>
  <si>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</si>
  <si>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</si>
  <si>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</si>
  <si>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</si>
  <si>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</si>
  <si>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</si>
  <si>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</si>
  <si>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</si>
  <si>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</si>
  <si>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</si>
  <si>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</si>
  <si>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</si>
  <si>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</si>
  <si>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</si>
  <si>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</si>
  <si>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</si>
  <si>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</si>
  <si>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</si>
  <si>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</si>
  <si>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</si>
  <si>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</si>
  <si>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</si>
  <si>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</si>
  <si>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</si>
  <si>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</si>
  <si>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</si>
  <si>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</si>
  <si>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</si>
  <si>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</si>
  <si>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</si>
  <si>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</si>
  <si>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</si>
  <si>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</si>
  <si>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</si>
  <si>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</si>
  <si>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</si>
  <si>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</si>
  <si>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</si>
  <si>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</si>
  <si>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</si>
  <si>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</si>
  <si>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</si>
  <si>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</si>
  <si>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</si>
  <si>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</si>
  <si>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</si>
  <si>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</si>
  <si>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</si>
  <si>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</si>
  <si>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</si>
  <si>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</si>
  <si>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</si>
  <si>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</si>
  <si>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</si>
  <si>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</si>
  <si>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</si>
  <si>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</si>
  <si>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</si>
  <si>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</si>
  <si>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</si>
  <si>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</si>
  <si>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</si>
  <si>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</si>
  <si>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</si>
  <si>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</si>
  <si>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</si>
  <si>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</si>
  <si>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</si>
  <si>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</si>
  <si>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</si>
  <si>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</si>
  <si>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</si>
  <si>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</si>
  <si>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</si>
  <si>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</si>
  <si>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</si>
  <si>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</si>
  <si>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</si>
  <si>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</si>
  <si>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</si>
  <si>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</si>
  <si>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</si>
  <si>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</si>
  <si>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</si>
  <si>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</si>
  <si>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</si>
  <si>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</si>
  <si>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</si>
  <si>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</si>
  <si>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</si>
  <si>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</si>
  <si>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</si>
  <si>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</si>
  <si>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</si>
  <si>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</si>
  <si>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</si>
  <si>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</si>
  <si>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</si>
  <si>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</si>
  <si>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</si>
  <si>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</si>
  <si>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</si>
  <si>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</si>
  <si>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</si>
  <si>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</si>
  <si>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</si>
  <si>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</si>
  <si>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</si>
  <si>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</si>
  <si>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</si>
  <si>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</si>
  <si>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</si>
  <si>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</si>
  <si>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</si>
  <si>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</si>
  <si>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</si>
  <si>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</si>
  <si>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</si>
  <si>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</si>
  <si>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</si>
  <si>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</si>
  <si>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</si>
  <si>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</si>
  <si>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</si>
  <si>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</si>
  <si>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</si>
  <si>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</si>
  <si>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</si>
  <si>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</si>
  <si>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</si>
  <si>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</si>
  <si>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</si>
  <si>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</si>
  <si>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</si>
  <si>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</si>
  <si>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</si>
  <si>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</si>
  <si>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</si>
  <si>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</si>
  <si>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</si>
  <si>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</si>
  <si>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</si>
  <si>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</si>
  <si>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</si>
  <si>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</si>
  <si>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</si>
  <si>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</si>
  <si>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</si>
  <si>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</si>
  <si>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</si>
  <si>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</si>
  <si>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</si>
  <si>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</si>
  <si>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</si>
  <si>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</si>
  <si>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</si>
  <si>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</si>
  <si>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</si>
  <si>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</si>
  <si>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</si>
  <si>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</si>
  <si>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</si>
  <si>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</si>
  <si>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</si>
  <si>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</si>
  <si>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</si>
  <si>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</si>
  <si>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</si>
  <si>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</si>
  <si>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</si>
  <si>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</si>
  <si>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</si>
  <si>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</si>
  <si>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</si>
  <si>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</si>
  <si>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</si>
  <si>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</si>
  <si>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</si>
  <si>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</si>
  <si>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</si>
  <si>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</si>
  <si>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</si>
  <si>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</si>
  <si>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</si>
  <si>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</si>
  <si>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</si>
  <si>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</si>
  <si>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</si>
  <si>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</si>
  <si>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</si>
  <si>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</si>
  <si>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</si>
  <si>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</si>
  <si>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</si>
  <si>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</si>
  <si>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</si>
  <si>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</si>
  <si>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</si>
  <si>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</si>
  <si>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</si>
  <si>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</si>
  <si>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</si>
  <si>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</si>
  <si>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</si>
  <si>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</si>
  <si>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</si>
  <si>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</si>
  <si>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</si>
  <si>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</si>
  <si>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</si>
  <si>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</si>
  <si>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</si>
  <si>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</si>
  <si>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</si>
  <si>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</si>
  <si>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</si>
  <si>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</si>
  <si>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</si>
  <si>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</si>
  <si>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</si>
  <si>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</si>
  <si>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</si>
  <si>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</si>
  <si>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</si>
  <si>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</si>
  <si>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</si>
  <si>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</si>
  <si>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</si>
  <si>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</si>
  <si>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</si>
  <si>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</si>
  <si>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</si>
  <si>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</si>
  <si>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</si>
  <si>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</si>
  <si>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</si>
  <si>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</si>
  <si>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</si>
  <si>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</si>
  <si>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</si>
  <si>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</si>
  <si>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</si>
  <si>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</si>
  <si>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</si>
  <si>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</si>
  <si>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</si>
  <si>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</si>
  <si>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</si>
  <si>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</si>
  <si>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</si>
  <si>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</si>
  <si>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</si>
  <si>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</si>
  <si>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</si>
  <si>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</si>
  <si>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</si>
  <si>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</si>
  <si>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</si>
  <si>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</si>
  <si>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</si>
  <si>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</si>
  <si>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</si>
  <si>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</si>
  <si>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</si>
  <si>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</si>
  <si>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</si>
  <si>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</si>
  <si>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</si>
  <si>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</si>
  <si>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</si>
  <si>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</si>
  <si>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</si>
  <si>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</si>
  <si>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</si>
  <si>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</si>
  <si>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</si>
  <si>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</si>
  <si>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</si>
  <si>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</si>
  <si>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</si>
  <si>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</si>
  <si>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</si>
  <si>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</si>
  <si>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</si>
  <si>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</si>
  <si>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</si>
  <si>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</si>
  <si>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</si>
  <si>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</si>
  <si>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</si>
  <si>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</si>
  <si>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</si>
  <si>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</si>
  <si>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</si>
  <si>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</si>
  <si>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</si>
  <si>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</si>
  <si>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</si>
  <si>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</si>
  <si>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</si>
  <si>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</si>
  <si>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</si>
  <si>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</si>
  <si>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</si>
  <si>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</si>
  <si>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</si>
  <si>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</si>
  <si>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</si>
  <si>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</si>
  <si>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</si>
  <si>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</si>
  <si>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</si>
  <si>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</si>
  <si>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</si>
  <si>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</si>
  <si>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</si>
  <si>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</si>
  <si>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</si>
  <si>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</si>
  <si>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</si>
  <si>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</si>
  <si>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</si>
  <si>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</si>
  <si>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</si>
  <si>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</si>
  <si>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</si>
  <si>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</si>
  <si>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</si>
  <si>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</si>
  <si>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</si>
  <si>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</si>
  <si>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</si>
  <si>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</si>
  <si>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</si>
  <si>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</si>
  <si>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</si>
  <si>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</si>
  <si>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</si>
  <si>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</si>
  <si>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</si>
  <si>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</si>
  <si>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</si>
  <si>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</si>
  <si>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</si>
  <si>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</si>
  <si>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</si>
  <si>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</si>
  <si>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</si>
  <si>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</si>
  <si>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</si>
  <si>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</si>
  <si>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</si>
  <si>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</si>
  <si>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</si>
  <si>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</si>
  <si>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</si>
  <si>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</si>
  <si>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</si>
  <si>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</si>
  <si>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</si>
  <si>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</si>
  <si>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</si>
  <si>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</si>
  <si>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</si>
  <si>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</si>
  <si>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</si>
  <si>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</si>
  <si>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</si>
  <si>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</si>
  <si>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</si>
  <si>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</si>
  <si>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</si>
  <si>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</si>
  <si>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</si>
  <si>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</si>
  <si>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</si>
  <si>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</si>
  <si>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</si>
  <si>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</si>
  <si>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</si>
  <si>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</si>
  <si>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</si>
  <si>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</si>
  <si>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</si>
  <si>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</si>
  <si>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</si>
  <si>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</si>
  <si>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</si>
  <si>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</si>
  <si>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</si>
  <si>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</si>
  <si>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</si>
  <si>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</si>
  <si>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</si>
  <si>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</si>
  <si>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</si>
  <si>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</si>
  <si>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</si>
  <si>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</si>
  <si>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</si>
  <si>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</si>
  <si>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</si>
  <si>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</si>
  <si>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</si>
  <si>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</si>
  <si>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</si>
  <si>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</si>
  <si>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</si>
  <si>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</si>
  <si>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</si>
  <si>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</si>
  <si>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</si>
  <si>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</si>
  <si>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</si>
  <si>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</si>
  <si>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</si>
  <si>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</si>
  <si>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</si>
  <si>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</si>
  <si>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</si>
  <si>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</si>
  <si>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</si>
  <si>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</si>
  <si>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</si>
  <si>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</si>
  <si>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</si>
  <si>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</si>
  <si>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</si>
  <si>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</si>
  <si>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</si>
  <si>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</si>
  <si>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</si>
  <si>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</si>
  <si>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</si>
  <si>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</si>
  <si>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</si>
  <si>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</si>
  <si>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</si>
  <si>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</si>
  <si>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</si>
  <si>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</si>
  <si>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</si>
  <si>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</si>
  <si>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</si>
  <si>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</si>
  <si>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</si>
  <si>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</si>
  <si>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</si>
  <si>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</si>
  <si>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</si>
  <si>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</si>
  <si>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</si>
  <si>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</si>
  <si>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</si>
  <si>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</si>
  <si>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</si>
  <si>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</si>
  <si>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</si>
  <si>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</si>
  <si>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</si>
  <si>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</si>
  <si>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</si>
  <si>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</si>
  <si>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</si>
  <si>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</si>
  <si>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</si>
  <si>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</si>
  <si>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</si>
  <si>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</si>
  <si>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</si>
  <si>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</si>
  <si>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</si>
  <si>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</si>
  <si>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</si>
  <si>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</si>
  <si>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</si>
  <si>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</si>
  <si>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</si>
  <si>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</si>
  <si>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</si>
  <si>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</si>
  <si>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</si>
  <si>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</si>
  <si>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</si>
  <si>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</si>
  <si>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</si>
  <si>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</si>
  <si>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</si>
  <si>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</si>
  <si>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</si>
  <si>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</si>
  <si>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</si>
  <si>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</si>
  <si>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</si>
  <si>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</si>
  <si>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</si>
  <si>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</si>
  <si>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</si>
  <si>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</si>
  <si>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</si>
  <si>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</si>
  <si>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</si>
  <si>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</si>
  <si>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</si>
  <si>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</si>
  <si>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</si>
  <si>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</si>
  <si>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</si>
  <si>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</si>
  <si>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</si>
  <si>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</si>
  <si>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</si>
  <si>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</si>
  <si>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</si>
  <si>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</si>
  <si>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</si>
  <si>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</si>
  <si>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</si>
  <si>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</si>
  <si>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</si>
  <si>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</si>
  <si>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</si>
  <si>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</si>
  <si>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</si>
  <si>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</si>
  <si>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</si>
  <si>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</si>
  <si>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</si>
  <si>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</si>
  <si>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</si>
  <si>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</si>
  <si>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</si>
  <si>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</si>
  <si>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</si>
  <si>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</si>
  <si>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</si>
  <si>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</si>
  <si>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</si>
  <si>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</si>
  <si>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</si>
  <si>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</si>
  <si>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</si>
  <si>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</si>
  <si>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</si>
  <si>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</si>
  <si>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</si>
  <si>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</si>
  <si>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</si>
  <si>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</si>
  <si>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</si>
  <si>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</si>
  <si>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</si>
  <si>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</si>
  <si>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</si>
  <si>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</si>
  <si>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</si>
  <si>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</si>
  <si>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</si>
  <si>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</si>
  <si>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</si>
  <si>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</si>
  <si>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</si>
  <si>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</si>
  <si>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</si>
  <si>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</si>
  <si>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</si>
  <si>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</si>
  <si>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</si>
  <si>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</si>
  <si>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</si>
  <si>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</si>
  <si>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</si>
  <si>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</si>
  <si>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</si>
  <si>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</si>
  <si>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</si>
  <si>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</si>
  <si>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</si>
  <si>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</si>
  <si>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</si>
  <si>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</si>
  <si>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</si>
  <si>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</si>
  <si>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</si>
  <si>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</si>
  <si>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</si>
  <si>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</si>
  <si>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</si>
  <si>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</si>
  <si>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</si>
  <si>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</si>
  <si>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</si>
  <si>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</si>
  <si>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</si>
  <si>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</si>
  <si>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</si>
  <si>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</si>
  <si>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</si>
  <si>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</si>
  <si>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</si>
  <si>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</si>
  <si>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</si>
  <si>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</si>
  <si>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</si>
  <si>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</si>
  <si>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</si>
  <si>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</si>
  <si>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</si>
  <si>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</si>
  <si>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</si>
  <si>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</si>
  <si>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</si>
  <si>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</si>
  <si>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</si>
  <si>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</si>
  <si>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</si>
  <si>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</si>
  <si>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</si>
  <si>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</si>
  <si>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</si>
  <si>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</si>
  <si>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</si>
  <si>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</si>
  <si>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</si>
  <si>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</si>
  <si>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</si>
  <si>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</si>
  <si>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</si>
  <si>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</si>
  <si>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</si>
  <si>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</si>
  <si>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</si>
  <si>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</si>
  <si>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</si>
  <si>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</si>
  <si>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</si>
  <si>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</si>
  <si>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</si>
  <si>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</si>
  <si>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</si>
  <si>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</si>
  <si>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</si>
  <si>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</si>
  <si>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</si>
  <si>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</si>
  <si>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</si>
  <si>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</si>
  <si>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</si>
  <si>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</si>
  <si>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</si>
  <si>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</si>
  <si>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</si>
  <si>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</si>
  <si>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</si>
  <si>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</si>
  <si>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</si>
  <si>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</si>
  <si>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</si>
  <si>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</si>
  <si>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</si>
  <si>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</si>
  <si>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</si>
  <si>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</si>
  <si>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</si>
  <si>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</si>
  <si>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</si>
  <si>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</si>
  <si>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</si>
  <si>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</si>
  <si>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</si>
  <si>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</si>
  <si>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</si>
  <si>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</si>
  <si>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</si>
  <si>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</si>
  <si>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</si>
  <si>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</si>
  <si>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</si>
  <si>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</si>
  <si>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</si>
  <si>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</si>
  <si>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</si>
  <si>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</si>
  <si>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</si>
  <si>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</si>
  <si>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</si>
  <si>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</si>
  <si>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</si>
  <si>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</si>
  <si>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</si>
  <si>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</si>
  <si>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</si>
  <si>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</si>
  <si>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</si>
  <si>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</si>
  <si>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</si>
  <si>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</si>
  <si>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</si>
  <si>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</si>
  <si>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</si>
  <si>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</si>
  <si>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</si>
  <si>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</si>
  <si>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</si>
  <si>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</si>
  <si>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</si>
  <si>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</si>
  <si>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</si>
  <si>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</si>
  <si>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</si>
  <si>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</si>
  <si>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</si>
  <si>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</si>
  <si>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</si>
  <si>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</si>
  <si>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</si>
  <si>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</si>
  <si>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</si>
  <si>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</si>
  <si>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</si>
  <si>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</si>
  <si>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</si>
  <si>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</si>
  <si>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</si>
  <si>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</si>
  <si>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</si>
  <si>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</si>
  <si>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</si>
  <si>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</si>
  <si>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</si>
  <si>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</si>
  <si>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</si>
  <si>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</si>
  <si>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</si>
  <si>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</si>
  <si>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</si>
  <si>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</si>
  <si>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</si>
  <si>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</si>
  <si>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</si>
  <si>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</si>
  <si>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</si>
  <si>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</si>
  <si>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</si>
  <si>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</si>
  <si>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</si>
  <si>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</si>
  <si>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</si>
  <si>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</si>
  <si>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</si>
  <si>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</si>
  <si>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</si>
  <si>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</si>
  <si>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</si>
  <si>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</si>
  <si>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</si>
  <si>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</si>
  <si>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</si>
  <si>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</si>
  <si>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</si>
  <si>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</si>
  <si>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</si>
  <si>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</si>
  <si>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</si>
  <si>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</si>
  <si>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</si>
  <si>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</si>
  <si>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</si>
  <si>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</si>
  <si>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</si>
  <si>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</si>
  <si>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</si>
  <si>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</si>
  <si>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</si>
  <si>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</si>
  <si>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</si>
  <si>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</si>
  <si>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</si>
  <si>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</si>
  <si>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</si>
  <si>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</si>
  <si>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</si>
  <si>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</si>
  <si>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</si>
  <si>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</si>
  <si>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</si>
  <si>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</si>
  <si>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</si>
  <si>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</si>
  <si>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</si>
  <si>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</si>
  <si>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</si>
  <si>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</si>
  <si>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</si>
  <si>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</si>
  <si>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</si>
  <si>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</si>
  <si>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</si>
  <si>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</si>
  <si>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</si>
  <si>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</si>
  <si>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</si>
  <si>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</si>
  <si>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</si>
  <si>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</si>
  <si>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</si>
  <si>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</si>
  <si>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</si>
  <si>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</si>
  <si>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</si>
  <si>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</si>
  <si>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</si>
  <si>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</si>
  <si>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</si>
  <si>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</si>
  <si>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</si>
  <si>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</si>
  <si>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</si>
  <si>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</si>
  <si>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</si>
  <si>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</si>
  <si>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</si>
  <si>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</si>
  <si>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</si>
  <si>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</si>
  <si>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</si>
  <si>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</si>
  <si>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</si>
  <si>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</si>
  <si>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</si>
  <si>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</si>
  <si>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</si>
  <si>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</si>
  <si>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</si>
  <si>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</si>
  <si>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</si>
  <si>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</si>
  <si>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</si>
  <si>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</si>
  <si>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</si>
  <si>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</si>
  <si>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</si>
  <si>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</si>
  <si>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</si>
  <si>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</si>
  <si>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</si>
  <si>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</si>
  <si>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</si>
  <si>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</si>
  <si>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</si>
  <si>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</si>
  <si>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</si>
  <si>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</si>
  <si>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</si>
  <si>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</si>
  <si>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</si>
  <si>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</si>
  <si>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</si>
  <si>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</si>
  <si>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</si>
  <si>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</si>
  <si>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</si>
  <si>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</si>
  <si>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</si>
  <si>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</si>
  <si>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</si>
  <si>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</si>
  <si>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</si>
  <si>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</si>
  <si>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</si>
  <si>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</si>
  <si>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</si>
  <si>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</si>
  <si>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</si>
  <si>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</si>
  <si>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</si>
  <si>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</si>
  <si>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</si>
  <si>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</si>
  <si>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</si>
  <si>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</si>
  <si>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</si>
  <si>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</si>
  <si>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</si>
  <si>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</si>
  <si>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</si>
  <si>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</si>
  <si>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</si>
  <si>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</si>
  <si>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</si>
  <si>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</si>
  <si>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</si>
  <si>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</si>
  <si>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</si>
  <si>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</si>
  <si>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</si>
  <si>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</si>
  <si>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</si>
  <si>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</si>
  <si>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</si>
  <si>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</si>
  <si>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</si>
  <si>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</si>
  <si>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</si>
  <si>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</si>
  <si>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</si>
  <si>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</si>
  <si>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</si>
  <si>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</si>
  <si>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</si>
  <si>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</si>
  <si>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</si>
  <si>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</si>
  <si>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</si>
  <si>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</si>
  <si>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</si>
  <si>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</si>
  <si>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</si>
  <si>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</si>
  <si>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</si>
  <si>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</si>
  <si>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</si>
  <si>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</si>
  <si>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</si>
  <si>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</si>
  <si>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</si>
  <si>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</si>
  <si>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</si>
  <si>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</si>
  <si>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</si>
  <si>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</si>
  <si>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</si>
  <si>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</si>
  <si>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</si>
  <si>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</si>
  <si>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</si>
  <si>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</si>
  <si>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</si>
  <si>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</si>
  <si>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</si>
  <si>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</si>
  <si>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</si>
  <si>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</si>
  <si>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</si>
  <si>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</si>
  <si>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</si>
  <si>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</si>
  <si>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</si>
  <si>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</si>
  <si>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</si>
  <si>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</si>
  <si>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</si>
  <si>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</si>
  <si>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</si>
  <si>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</si>
  <si>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</si>
  <si>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</si>
  <si>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</si>
  <si>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</si>
  <si>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</si>
  <si>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</si>
  <si>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</si>
  <si>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</si>
  <si>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</si>
  <si>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</si>
  <si>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</si>
  <si>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</si>
  <si>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</si>
  <si>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</si>
  <si>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</si>
  <si>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</si>
  <si>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</si>
  <si>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</si>
  <si>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</si>
  <si>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</si>
  <si>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</si>
  <si>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</si>
  <si>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</si>
  <si>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</si>
  <si>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</si>
  <si>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</si>
  <si>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</si>
  <si>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</si>
  <si>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</si>
  <si>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</si>
  <si>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</si>
  <si>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</si>
  <si>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</si>
  <si>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</si>
  <si>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</si>
  <si>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</si>
  <si>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</si>
  <si>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</si>
  <si>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</si>
  <si>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</si>
  <si>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</si>
  <si>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</si>
  <si>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</si>
  <si>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</si>
  <si>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</si>
  <si>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</si>
  <si>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</si>
  <si>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</si>
  <si>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</si>
  <si>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</si>
  <si>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</si>
  <si>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</si>
  <si>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</si>
  <si>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</si>
  <si>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</si>
  <si>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</si>
  <si>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</si>
  <si>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</si>
  <si>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</si>
  <si>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</si>
  <si>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</si>
  <si>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</si>
  <si>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</si>
  <si>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</si>
  <si>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</si>
  <si>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</si>
  <si>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</si>
  <si>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</si>
  <si>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</si>
  <si>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</si>
  <si>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</si>
  <si>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</si>
  <si>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</si>
  <si>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</si>
  <si>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</si>
  <si>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</si>
  <si>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</si>
  <si>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</si>
  <si>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</si>
  <si>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</si>
  <si>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</si>
  <si>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</si>
  <si>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</si>
  <si>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</si>
  <si>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</si>
  <si>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</si>
  <si>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</si>
  <si>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</si>
  <si>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</si>
  <si>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</si>
  <si>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</si>
  <si>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</si>
  <si>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</si>
  <si>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</si>
  <si>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</si>
  <si>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</si>
  <si>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</si>
  <si>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</si>
  <si>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</si>
  <si>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</si>
  <si>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</si>
  <si>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</si>
  <si>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</si>
  <si>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</si>
  <si>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</si>
  <si>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</si>
  <si>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</si>
  <si>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</si>
  <si>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</si>
  <si>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</si>
  <si>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</si>
  <si>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</si>
  <si>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</si>
  <si>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</si>
  <si>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</si>
  <si>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</si>
  <si>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</si>
  <si>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</si>
  <si>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</si>
  <si>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</si>
  <si>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</si>
  <si>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</si>
  <si>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</si>
  <si>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</si>
  <si>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</si>
  <si>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</si>
  <si>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</si>
  <si>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</si>
  <si>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</si>
  <si>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</si>
  <si>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</si>
  <si>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</si>
  <si>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</si>
  <si>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</si>
  <si>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</si>
  <si>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</si>
  <si>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</si>
  <si>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</si>
  <si>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</si>
  <si>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</si>
  <si>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</si>
  <si>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</si>
  <si>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</si>
  <si>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</si>
  <si>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</si>
  <si>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</si>
  <si>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</si>
  <si>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</si>
  <si>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</si>
  <si>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</si>
  <si>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</si>
  <si>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</si>
  <si>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</si>
  <si>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</si>
  <si>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</si>
  <si>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</si>
  <si>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</si>
  <si>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</si>
  <si>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</si>
  <si>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</si>
  <si>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</si>
  <si>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</si>
  <si>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</si>
  <si>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</si>
  <si>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</si>
  <si>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</si>
  <si>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</si>
  <si>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</si>
  <si>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</si>
  <si>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</si>
  <si>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</si>
  <si>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</si>
  <si>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</si>
  <si>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</si>
  <si>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</si>
  <si>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</si>
  <si>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</si>
  <si>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</si>
  <si>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</si>
  <si>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</si>
  <si>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</si>
  <si>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</si>
  <si>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</si>
  <si>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</si>
  <si>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</si>
  <si>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</si>
  <si>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</si>
  <si>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</si>
  <si>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</si>
  <si>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</si>
  <si>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</si>
  <si>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</si>
  <si>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</si>
  <si>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</si>
  <si>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</si>
  <si>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</si>
  <si>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</si>
  <si>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</si>
  <si>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</si>
  <si>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</si>
  <si>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</si>
  <si>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</si>
  <si>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</si>
  <si>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</si>
  <si>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</si>
  <si>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</si>
  <si>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</si>
  <si>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</si>
  <si>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</si>
  <si>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</si>
  <si>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</si>
  <si>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</si>
  <si>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</si>
  <si>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</si>
  <si>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</si>
  <si>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</si>
  <si>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</si>
  <si>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</si>
  <si>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</si>
  <si>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</si>
  <si>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</si>
  <si>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</si>
  <si>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</si>
  <si>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</si>
  <si>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</si>
  <si>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</si>
  <si>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</si>
  <si>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</si>
  <si>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</si>
  <si>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</si>
  <si>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</si>
  <si>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</si>
  <si>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</si>
  <si>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</si>
  <si>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</si>
  <si>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</si>
  <si>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</si>
  <si>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</si>
  <si>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</si>
  <si>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</si>
  <si>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</si>
  <si>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</si>
  <si>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</si>
  <si>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</si>
  <si>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</si>
  <si>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</si>
  <si>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</si>
  <si>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</si>
  <si>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</si>
  <si>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</si>
  <si>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</si>
  <si>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</si>
  <si>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</si>
  <si>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</si>
  <si>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</si>
  <si>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</si>
  <si>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</si>
  <si>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</si>
  <si>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</si>
  <si>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</si>
  <si>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</si>
  <si>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</si>
  <si>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</si>
  <si>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</si>
  <si>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</si>
  <si>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</si>
  <si>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</si>
  <si>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</si>
  <si>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</si>
  <si>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</si>
  <si>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</si>
  <si>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</si>
  <si>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</si>
  <si>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</si>
  <si>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</si>
  <si>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</si>
  <si>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</si>
  <si>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</si>
  <si>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</si>
  <si>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</si>
  <si>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</si>
  <si>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</si>
  <si>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</si>
  <si>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</si>
  <si>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</si>
  <si>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</si>
  <si>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</si>
  <si>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</si>
  <si>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</si>
  <si>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</si>
  <si>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</si>
  <si>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</si>
  <si>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</si>
  <si>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</si>
  <si>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</si>
  <si>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</si>
  <si>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</si>
  <si>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</si>
  <si>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</si>
  <si>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</si>
  <si>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</si>
  <si>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</si>
  <si>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</si>
  <si>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</si>
  <si>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</si>
  <si>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</si>
  <si>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</si>
  <si>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</si>
  <si>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</si>
  <si>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</si>
  <si>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</si>
  <si>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</si>
  <si>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</si>
  <si>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</si>
  <si>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</si>
  <si>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</si>
  <si>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</si>
  <si>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</si>
  <si>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</si>
  <si>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</si>
  <si>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</si>
  <si>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</si>
  <si>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</si>
  <si>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</si>
  <si>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</si>
  <si>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</si>
  <si>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</si>
  <si>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</si>
  <si>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</si>
  <si>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</si>
  <si>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</si>
  <si>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</si>
  <si>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</si>
  <si>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</si>
  <si>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</si>
  <si>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</si>
  <si>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</si>
  <si>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</si>
  <si>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</si>
  <si>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</si>
  <si>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</si>
  <si>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</si>
  <si>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</si>
  <si>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</si>
  <si>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</si>
  <si>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</si>
  <si>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</si>
  <si>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</si>
  <si>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</si>
  <si>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</si>
  <si>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</si>
  <si>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</si>
  <si>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</si>
  <si>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</si>
  <si>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</si>
  <si>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</si>
  <si>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</si>
  <si>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</si>
  <si>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</si>
  <si>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</si>
  <si>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</si>
  <si>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</si>
  <si>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</si>
  <si>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</si>
  <si>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</si>
  <si>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</si>
  <si>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</si>
  <si>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</si>
  <si>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</si>
  <si>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</si>
  <si>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</si>
  <si>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</si>
  <si>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</si>
  <si>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</si>
  <si>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</si>
  <si>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</si>
  <si>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</si>
  <si>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</si>
  <si>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</si>
  <si>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</si>
  <si>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</si>
  <si>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</si>
  <si>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</si>
  <si>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</si>
  <si>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</si>
  <si>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</si>
  <si>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</si>
  <si>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</si>
  <si>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</si>
  <si>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</si>
  <si>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</si>
  <si>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</si>
  <si>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</si>
  <si>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</si>
  <si>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</si>
  <si>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</si>
  <si>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</si>
  <si>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</si>
  <si>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</si>
  <si>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</si>
  <si>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</si>
  <si>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</si>
  <si>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</si>
  <si>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</si>
  <si>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</si>
  <si>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</si>
  <si>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</si>
  <si>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</si>
  <si>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</si>
  <si>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</si>
  <si>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</si>
  <si>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</si>
  <si>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</si>
  <si>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</si>
  <si>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</si>
  <si>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</si>
  <si>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</si>
  <si>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</si>
  <si>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</si>
  <si>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</si>
  <si>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</si>
  <si>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</si>
  <si>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</si>
  <si>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</si>
  <si>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</si>
  <si>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</si>
  <si>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</si>
  <si>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</si>
  <si>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</si>
  <si>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</si>
  <si>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</si>
  <si>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</si>
  <si>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</si>
  <si>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</si>
  <si>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</si>
  <si>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</si>
  <si>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</si>
  <si>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</si>
  <si>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</si>
  <si>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</si>
  <si>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</si>
  <si>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</si>
  <si>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</si>
  <si>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</si>
  <si>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</si>
  <si>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</si>
  <si>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</si>
  <si>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</si>
  <si>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</si>
  <si>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</si>
  <si>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</si>
  <si>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</si>
  <si>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</si>
  <si>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</si>
  <si>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</si>
  <si>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</si>
  <si>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</si>
  <si>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</si>
  <si>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</si>
  <si>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</si>
  <si>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</si>
  <si>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</si>
  <si>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</si>
  <si>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</si>
  <si>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</si>
  <si>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</si>
  <si>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</si>
  <si>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</si>
  <si>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</si>
  <si>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</si>
  <si>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</si>
  <si>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</si>
  <si>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</si>
  <si>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</si>
  <si>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</si>
  <si>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</si>
  <si>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</si>
  <si>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</si>
  <si>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</si>
  <si>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</si>
  <si>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</si>
  <si>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</si>
  <si>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</si>
  <si>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</si>
  <si>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</si>
  <si>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</si>
  <si>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</si>
  <si>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</si>
  <si>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</si>
  <si>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</si>
  <si>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</si>
  <si>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</si>
  <si>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</si>
  <si>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</si>
  <si>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</si>
  <si>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</si>
  <si>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</si>
  <si>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</si>
  <si>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</si>
  <si>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</si>
  <si>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</si>
  <si>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</si>
  <si>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</si>
  <si>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</si>
  <si>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</si>
  <si>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</si>
  <si>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</si>
  <si>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</si>
  <si>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</si>
  <si>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</si>
  <si>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</si>
  <si>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</si>
  <si>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</si>
  <si>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</si>
  <si>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</si>
  <si>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</si>
  <si>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</si>
  <si>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</si>
  <si>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</si>
  <si>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</si>
  <si>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</si>
  <si>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</si>
  <si>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</si>
  <si>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</si>
  <si>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</si>
  <si>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</si>
  <si>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</si>
  <si>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</si>
  <si>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</si>
  <si>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</si>
  <si>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</si>
  <si>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</si>
  <si>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</si>
  <si>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</si>
  <si>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</si>
  <si>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</si>
  <si>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</si>
  <si>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</si>
  <si>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</si>
  <si>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</si>
  <si>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</si>
  <si>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</si>
  <si>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</si>
  <si>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</si>
  <si>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</si>
  <si>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</si>
  <si>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</si>
  <si>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</si>
  <si>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</si>
  <si>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</si>
  <si>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</si>
  <si>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</si>
  <si>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</si>
  <si>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</si>
  <si>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</si>
  <si>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</si>
  <si>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</si>
  <si>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</si>
  <si>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</si>
  <si>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</si>
  <si>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</si>
  <si>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</si>
  <si>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</si>
  <si>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</si>
  <si>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</si>
  <si>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</si>
  <si>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</si>
  <si>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</si>
  <si>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</si>
  <si>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</si>
  <si>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</si>
  <si>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</si>
  <si>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</si>
  <si>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</si>
  <si>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</si>
  <si>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</si>
  <si>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</si>
  <si>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</si>
  <si>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</si>
  <si>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</si>
  <si>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</si>
  <si>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</si>
  <si>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</si>
  <si>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</si>
  <si>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</si>
  <si>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</si>
  <si>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</si>
  <si>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</si>
  <si>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</si>
  <si>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</si>
  <si>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</si>
  <si>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</si>
  <si>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</si>
  <si>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</si>
  <si>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</si>
  <si>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</si>
  <si>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</si>
  <si>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</si>
  <si>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</si>
  <si>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</si>
  <si>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</si>
  <si>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</si>
  <si>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</si>
  <si>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</si>
  <si>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</si>
  <si>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</si>
  <si>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</si>
  <si>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</si>
  <si>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</si>
  <si>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</si>
  <si>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</si>
  <si>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</si>
  <si>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</si>
  <si>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</si>
  <si>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</si>
  <si>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</si>
  <si>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</si>
  <si>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</si>
  <si>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</si>
  <si>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</si>
  <si>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</si>
  <si>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</si>
  <si>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</si>
  <si>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</si>
  <si>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</si>
  <si>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</si>
  <si>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</si>
  <si>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</si>
  <si>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</si>
  <si>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</si>
  <si>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</si>
  <si>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</si>
  <si>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</si>
  <si>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</si>
  <si>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</si>
  <si>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</si>
  <si>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</si>
  <si>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</si>
  <si>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</si>
  <si>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</si>
  <si>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</si>
  <si>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</si>
  <si>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</si>
  <si>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</si>
  <si>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</si>
  <si>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</si>
  <si>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</si>
  <si>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</si>
  <si>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</si>
  <si>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</si>
  <si>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</si>
  <si>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</si>
  <si>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</si>
  <si>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</si>
  <si>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</si>
  <si>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</si>
  <si>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</si>
  <si>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</si>
  <si>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</si>
  <si>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</si>
  <si>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</si>
  <si>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</si>
  <si>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</si>
  <si>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</si>
  <si>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</si>
  <si>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</si>
  <si>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</si>
  <si>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</si>
  <si>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</si>
  <si>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</si>
  <si>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</si>
  <si>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</si>
  <si>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</si>
  <si>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</si>
  <si>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</si>
  <si>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</si>
  <si>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</si>
  <si>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</si>
  <si>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</si>
  <si>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</si>
  <si>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</si>
  <si>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</si>
  <si>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</si>
  <si>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</si>
  <si>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</si>
  <si>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</si>
  <si>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</si>
  <si>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</si>
  <si>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</si>
  <si>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</si>
  <si>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</si>
  <si>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</si>
  <si>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</si>
  <si>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</si>
  <si>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</si>
  <si>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</si>
  <si>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</si>
  <si>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</si>
  <si>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</si>
  <si>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</si>
  <si>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</si>
  <si>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</si>
  <si>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</si>
  <si>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</si>
  <si>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</si>
  <si>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</si>
  <si>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</si>
  <si>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</si>
  <si>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</si>
  <si>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</si>
  <si>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</si>
  <si>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</si>
  <si>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</si>
  <si>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</si>
  <si>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</si>
  <si>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</si>
  <si>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</si>
  <si>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</si>
  <si>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</si>
  <si>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</si>
  <si>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</si>
  <si>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</si>
  <si>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</si>
  <si>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</si>
  <si>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</si>
  <si>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</si>
  <si>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</si>
  <si>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</si>
  <si>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</si>
  <si>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</si>
  <si>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</si>
  <si>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</si>
  <si>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</si>
  <si>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</si>
  <si>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</si>
  <si>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</si>
  <si>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</si>
  <si>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</si>
  <si>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</si>
  <si>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</si>
  <si>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</si>
  <si>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</si>
  <si>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</si>
  <si>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</si>
  <si>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</si>
  <si>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</si>
  <si>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</si>
  <si>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</si>
  <si>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</si>
  <si>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</si>
  <si>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</si>
  <si>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</si>
  <si>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</si>
  <si>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</si>
  <si>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</si>
  <si>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</si>
  <si>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</si>
  <si>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</si>
  <si>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</si>
  <si>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</si>
  <si>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</si>
  <si>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</si>
  <si>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</si>
  <si>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</si>
  <si>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</si>
  <si>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</si>
  <si>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</si>
  <si>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</si>
  <si>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</si>
  <si>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</si>
  <si>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</si>
  <si>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</si>
  <si>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</si>
  <si>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</si>
  <si>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</si>
  <si>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</si>
  <si>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</si>
  <si>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</si>
  <si>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</si>
  <si>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</si>
  <si>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</si>
  <si>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</si>
  <si>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</si>
  <si>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</si>
  <si>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</si>
  <si>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</si>
  <si>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</si>
  <si>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</si>
  <si>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</si>
  <si>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</si>
  <si>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</si>
  <si>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</si>
  <si>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</si>
  <si>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</si>
  <si>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</si>
  <si>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</si>
  <si>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</si>
  <si>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</si>
  <si>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</si>
  <si>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</si>
  <si>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</si>
  <si>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</si>
  <si>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</si>
  <si>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</si>
  <si>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</si>
  <si>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</si>
  <si>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</si>
  <si>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</si>
  <si>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</si>
  <si>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</si>
  <si>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</si>
  <si>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</si>
  <si>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</si>
  <si>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</si>
  <si>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</si>
  <si>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</si>
  <si>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</si>
  <si>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</si>
  <si>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</si>
  <si>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</si>
  <si>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</si>
  <si>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</si>
  <si>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</si>
  <si>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</si>
  <si>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</si>
  <si>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</si>
  <si>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</si>
  <si>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</si>
  <si>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</si>
  <si>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</si>
  <si>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</si>
  <si>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</si>
  <si>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</si>
  <si>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</si>
  <si>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</si>
  <si>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</si>
  <si>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</si>
  <si>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</si>
  <si>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</si>
  <si>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</si>
  <si>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</si>
  <si>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</si>
  <si>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</si>
  <si>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</si>
  <si>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</si>
  <si>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</si>
  <si>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</si>
  <si>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</si>
  <si>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</si>
  <si>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</si>
  <si>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</si>
  <si>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</si>
  <si>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</si>
  <si>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</si>
  <si>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</si>
  <si>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</si>
  <si>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</si>
  <si>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</si>
  <si>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</si>
  <si>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</si>
  <si>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</si>
  <si>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</si>
  <si>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</si>
  <si>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</si>
  <si>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</si>
  <si>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</si>
  <si>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</si>
  <si>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</si>
  <si>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</si>
  <si>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</si>
  <si>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</si>
  <si>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</si>
  <si>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</si>
  <si>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</si>
  <si>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</si>
  <si>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</si>
  <si>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</si>
  <si>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</si>
  <si>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</si>
  <si>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</si>
  <si>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</si>
  <si>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</si>
  <si>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</si>
  <si>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</si>
  <si>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</si>
  <si>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</si>
  <si>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</si>
  <si>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</si>
  <si>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</si>
  <si>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</si>
  <si>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</si>
  <si>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</si>
  <si>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</si>
  <si>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</si>
  <si>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</si>
  <si>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</si>
  <si>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</si>
  <si>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</si>
  <si>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</si>
  <si>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</si>
  <si>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</si>
  <si>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</si>
  <si>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</si>
  <si>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</si>
  <si>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</si>
  <si>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</si>
  <si>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</si>
  <si>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</si>
  <si>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</si>
  <si>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</si>
  <si>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</si>
  <si>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</si>
  <si>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</si>
  <si>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</si>
  <si>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</si>
  <si>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</si>
  <si>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</si>
  <si>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</si>
  <si>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</si>
  <si>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</si>
  <si>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</si>
  <si>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</si>
  <si>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</si>
  <si>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</si>
  <si>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</si>
  <si>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</si>
  <si>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</si>
  <si>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</si>
  <si>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</si>
  <si>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</si>
  <si>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</si>
  <si>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</si>
  <si>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</si>
  <si>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</si>
  <si>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</si>
  <si>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</si>
  <si>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</si>
  <si>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</si>
  <si>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</si>
  <si>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</si>
  <si>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</si>
  <si>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</si>
  <si>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</si>
  <si>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</si>
  <si>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</si>
  <si>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</si>
  <si>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</si>
  <si>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</si>
  <si>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</si>
  <si>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</si>
  <si>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</si>
  <si>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</si>
  <si>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</si>
  <si>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</si>
  <si>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</si>
  <si>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</si>
  <si>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</si>
  <si>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</si>
  <si>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</si>
  <si>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</si>
  <si>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</si>
  <si>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</si>
  <si>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</si>
  <si>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</si>
  <si>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</si>
  <si>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</si>
  <si>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</si>
  <si>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</si>
  <si>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</si>
  <si>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</si>
  <si>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</si>
  <si>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</si>
  <si>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</si>
  <si>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</si>
  <si>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</si>
  <si>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</si>
  <si>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</si>
  <si>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</si>
  <si>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</si>
  <si>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</si>
  <si>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</si>
  <si>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</si>
  <si>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</si>
  <si>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</si>
  <si>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</si>
  <si>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</si>
  <si>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</si>
  <si>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</si>
  <si>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</si>
  <si>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</si>
  <si>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</si>
  <si>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</si>
  <si>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</si>
  <si>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</si>
  <si>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</si>
  <si>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</si>
  <si>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</si>
  <si>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</si>
  <si>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</si>
  <si>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</si>
  <si>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</si>
  <si>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</si>
  <si>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</si>
  <si>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</si>
  <si>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</si>
  <si>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</si>
  <si>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</si>
  <si>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</si>
  <si>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</si>
  <si>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</si>
  <si>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</si>
  <si>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</si>
  <si>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</si>
  <si>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</si>
  <si>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</si>
  <si>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</si>
  <si>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</si>
  <si>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</si>
  <si>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</si>
  <si>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</si>
  <si>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</si>
  <si>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</si>
  <si>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</si>
  <si>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</si>
  <si>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</si>
  <si>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</si>
  <si>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</si>
  <si>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</si>
  <si>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</si>
  <si>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</si>
  <si>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</si>
  <si>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</si>
  <si>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</si>
  <si>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</si>
  <si>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</si>
  <si>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</si>
  <si>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</si>
  <si>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</si>
  <si>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</si>
  <si>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</si>
  <si>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</si>
  <si>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</si>
  <si>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</si>
  <si>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</si>
  <si>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</si>
  <si>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</si>
  <si>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</si>
  <si>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</si>
  <si>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</si>
  <si>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</si>
  <si>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</si>
  <si>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</si>
  <si>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</si>
  <si>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</si>
  <si>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</si>
  <si>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</si>
  <si>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</si>
  <si>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</si>
  <si>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</si>
  <si>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</si>
  <si>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</si>
  <si>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</si>
  <si>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</si>
  <si>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</si>
  <si>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</si>
  <si>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</si>
  <si>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</si>
  <si>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</si>
  <si>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</si>
  <si>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</si>
  <si>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</si>
  <si>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</si>
  <si>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</si>
  <si>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</si>
  <si>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</si>
  <si>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</si>
  <si>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</si>
  <si>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</si>
  <si>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</si>
  <si>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</si>
  <si>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</si>
  <si>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</si>
  <si>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</si>
  <si>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</si>
  <si>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</si>
  <si>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</si>
  <si>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</si>
  <si>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</si>
  <si>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</si>
  <si>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</si>
  <si>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</si>
  <si>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</si>
  <si>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</si>
  <si>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</si>
  <si>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</si>
  <si>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</si>
  <si>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</si>
  <si>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</si>
  <si>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</si>
  <si>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</si>
  <si>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</si>
  <si>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</si>
  <si>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</si>
  <si>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</si>
  <si>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</si>
  <si>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</si>
  <si>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</si>
  <si>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</si>
  <si>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</si>
  <si>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</si>
  <si>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</si>
  <si>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</si>
  <si>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</si>
  <si>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</si>
  <si>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</si>
  <si>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</si>
  <si>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</si>
  <si>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</si>
  <si>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</si>
  <si>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</si>
  <si>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</si>
  <si>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</si>
  <si>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</si>
  <si>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</si>
  <si>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</si>
  <si>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</si>
  <si>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</si>
  <si>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</si>
  <si>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</si>
  <si>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</si>
  <si>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</si>
  <si>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</si>
  <si>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</si>
  <si>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</si>
  <si>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</si>
  <si>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</si>
  <si>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</si>
  <si>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</si>
  <si>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</si>
  <si>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</si>
  <si>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</si>
  <si>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</si>
  <si>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</si>
  <si>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</si>
  <si>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</si>
  <si>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</si>
  <si>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</si>
  <si>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</si>
  <si>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</si>
  <si>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</si>
  <si>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</si>
  <si>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</si>
  <si>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</si>
  <si>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</si>
  <si>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</si>
  <si>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</si>
  <si>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</si>
  <si>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</si>
  <si>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</si>
  <si>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</si>
  <si>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</si>
  <si>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</si>
  <si>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</si>
  <si>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</si>
  <si>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</si>
  <si>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</si>
  <si>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</si>
  <si>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</si>
  <si>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</si>
  <si>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</si>
  <si>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</si>
  <si>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</si>
  <si>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</si>
  <si>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</si>
  <si>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</si>
  <si>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</si>
  <si>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</si>
  <si>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</si>
  <si>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</si>
  <si>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</si>
  <si>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</si>
  <si>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</si>
  <si>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</si>
  <si>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</si>
  <si>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</si>
  <si>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</si>
  <si>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</si>
  <si>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</si>
  <si>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</si>
  <si>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</si>
  <si>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</si>
  <si>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</si>
  <si>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</si>
  <si>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</si>
  <si>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</si>
  <si>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</si>
  <si>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</si>
  <si>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</si>
  <si>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</si>
  <si>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</si>
  <si>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</si>
  <si>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</si>
  <si>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</si>
  <si>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</si>
  <si>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</si>
  <si>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</si>
  <si>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</si>
  <si>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</si>
  <si>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</si>
  <si>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</si>
  <si>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</si>
  <si>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</si>
  <si>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</si>
  <si>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</si>
  <si>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</si>
  <si>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</si>
  <si>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</si>
  <si>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</si>
  <si>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</si>
  <si>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</si>
  <si>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</si>
  <si>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</si>
  <si>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</si>
  <si>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</si>
  <si>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</si>
  <si>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</si>
  <si>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</si>
  <si>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</si>
  <si>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</si>
  <si>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</si>
  <si>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</si>
  <si>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</si>
  <si>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</si>
  <si>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</si>
  <si>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</si>
  <si>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</si>
  <si>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</si>
  <si>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</si>
  <si>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</si>
  <si>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</si>
  <si>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</si>
  <si>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</si>
  <si>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</si>
  <si>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</si>
  <si>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</si>
  <si>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</si>
  <si>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</si>
  <si>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</si>
  <si>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</si>
  <si>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</si>
  <si>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</si>
  <si>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</si>
  <si>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</si>
  <si>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</si>
  <si>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</si>
  <si>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</si>
  <si>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</si>
  <si>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</si>
  <si>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</si>
  <si>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</si>
  <si>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</si>
  <si>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</si>
  <si>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</si>
  <si>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</si>
  <si>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</si>
  <si>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</si>
  <si>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</si>
  <si>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</si>
  <si>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</si>
  <si>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</si>
  <si>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</si>
  <si>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</si>
  <si>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</si>
  <si>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</si>
  <si>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</si>
  <si>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</si>
  <si>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</si>
  <si>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</si>
  <si>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</si>
  <si>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</si>
  <si>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</si>
  <si>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</si>
  <si>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</si>
  <si>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</si>
  <si>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</si>
  <si>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</si>
  <si>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</si>
  <si>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</si>
  <si>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</si>
  <si>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</si>
  <si>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</si>
  <si>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</si>
  <si>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</si>
  <si>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</si>
  <si>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</si>
  <si>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</si>
  <si>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</si>
  <si>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</si>
  <si>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</si>
  <si>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</si>
  <si>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</si>
  <si>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</si>
  <si>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</si>
  <si>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</si>
  <si>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</si>
  <si>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</si>
  <si>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</si>
  <si>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</si>
  <si>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</si>
  <si>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</si>
  <si>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</si>
  <si>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</si>
  <si>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</si>
  <si>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</si>
  <si>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</si>
  <si>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</si>
  <si>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</si>
  <si>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</si>
  <si>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</si>
  <si>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</si>
  <si>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</si>
  <si>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</si>
  <si>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</si>
  <si>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</si>
  <si>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</si>
  <si>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</si>
  <si>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</si>
  <si>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</si>
  <si>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</si>
  <si>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</si>
  <si>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</si>
  <si>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</si>
  <si>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</si>
  <si>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</si>
  <si>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</si>
  <si>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</si>
  <si>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</si>
  <si>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</si>
  <si>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</si>
  <si>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</si>
  <si>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</si>
  <si>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</si>
  <si>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</si>
  <si>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</si>
  <si>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</si>
  <si>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</si>
  <si>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</si>
  <si>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</si>
  <si>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</si>
  <si>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</si>
  <si>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</si>
  <si>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</si>
  <si>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</si>
  <si>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</si>
  <si>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</si>
  <si>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</si>
  <si>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</si>
  <si>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</si>
  <si>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</si>
  <si>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</si>
  <si>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</si>
  <si>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</si>
  <si>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</si>
  <si>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</si>
  <si>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</si>
  <si>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</si>
  <si>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</si>
  <si>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</si>
  <si>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</si>
  <si>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</si>
  <si>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</si>
  <si>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</si>
  <si>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</si>
  <si>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</si>
  <si>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</si>
  <si>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</si>
  <si>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</si>
  <si>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</si>
  <si>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</si>
  <si>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</si>
  <si>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</si>
  <si>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</si>
  <si>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</si>
  <si>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</si>
  <si>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</si>
  <si>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</si>
  <si>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</si>
  <si>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</si>
  <si>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</si>
  <si>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</si>
  <si>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</si>
  <si>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</si>
  <si>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</si>
  <si>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</si>
  <si>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</si>
  <si>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</si>
  <si>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</si>
  <si>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</si>
  <si>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</si>
  <si>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</si>
  <si>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</si>
  <si>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</si>
  <si>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</si>
  <si>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</si>
  <si>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</si>
  <si>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</si>
  <si>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</si>
  <si>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</si>
  <si>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</si>
  <si>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</si>
  <si>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</si>
  <si>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</si>
  <si>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</si>
  <si>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</si>
  <si>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</si>
  <si>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</si>
  <si>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</si>
  <si>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</si>
  <si>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</si>
  <si>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</si>
  <si>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</si>
  <si>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</si>
  <si>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</si>
  <si>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</si>
  <si>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</si>
  <si>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</si>
  <si>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</si>
  <si>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</si>
  <si>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</si>
  <si>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</si>
  <si>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</si>
  <si>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</si>
  <si>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</si>
  <si>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</si>
  <si>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</si>
  <si>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</si>
  <si>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</si>
  <si>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</si>
  <si>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</si>
  <si>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</si>
  <si>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</si>
  <si>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</si>
  <si>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</si>
  <si>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</si>
  <si>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</si>
  <si>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</si>
  <si>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</si>
  <si>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</si>
  <si>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</si>
  <si>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</si>
  <si>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</si>
  <si>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</si>
  <si>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</si>
  <si>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</si>
  <si>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</si>
  <si>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</si>
  <si>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</si>
  <si>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</si>
  <si>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</si>
  <si>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</si>
  <si>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</si>
  <si>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</si>
  <si>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</si>
  <si>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</si>
  <si>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</si>
  <si>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</si>
  <si>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</si>
  <si>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</si>
  <si>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</si>
  <si>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</si>
  <si>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</si>
  <si>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</si>
  <si>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</si>
  <si>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</si>
  <si>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</si>
  <si>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</si>
  <si>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</si>
  <si>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</si>
  <si>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</si>
  <si>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</si>
  <si>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</si>
  <si>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</si>
  <si>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</si>
  <si>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</si>
  <si>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</si>
  <si>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</si>
  <si>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</si>
  <si>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</si>
  <si>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</si>
  <si>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</si>
  <si>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</si>
  <si>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</si>
  <si>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</si>
  <si>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</si>
  <si>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</si>
  <si>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</si>
  <si>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</si>
  <si>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</si>
  <si>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</si>
  <si>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</si>
  <si>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</si>
  <si>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</si>
  <si>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</si>
  <si>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</si>
  <si>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</si>
  <si>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</si>
  <si>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</si>
  <si>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</si>
  <si>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</si>
  <si>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</si>
  <si>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</si>
  <si>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</si>
  <si>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</si>
  <si>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</si>
  <si>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</si>
  <si>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</si>
  <si>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</si>
  <si>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</si>
  <si>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</si>
  <si>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</si>
  <si>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</si>
  <si>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</si>
  <si>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</si>
  <si>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</si>
  <si>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</si>
  <si>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</si>
  <si>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</si>
  <si>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</si>
  <si>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</si>
  <si>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</si>
  <si>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</si>
  <si>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</si>
  <si>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</si>
  <si>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</si>
  <si>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</si>
  <si>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</si>
  <si>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</si>
  <si>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</si>
  <si>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</si>
  <si>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</si>
  <si>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</si>
  <si>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</si>
  <si>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</si>
  <si>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</si>
  <si>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</si>
  <si>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</si>
  <si>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</si>
  <si>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</si>
  <si>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</si>
  <si>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</si>
  <si>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</si>
  <si>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</si>
  <si>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</si>
  <si>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</si>
  <si>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</si>
  <si>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</si>
  <si>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</si>
  <si>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</si>
  <si>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</si>
  <si>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</si>
  <si>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</si>
  <si>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</si>
  <si>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</si>
  <si>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</si>
  <si>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</si>
  <si>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</si>
  <si>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</si>
  <si>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</si>
  <si>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</si>
  <si>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</si>
  <si>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</si>
  <si>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</si>
  <si>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</si>
  <si>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</si>
  <si>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</si>
  <si>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</si>
  <si>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</si>
  <si>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</si>
  <si>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</si>
  <si>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</si>
  <si>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</si>
  <si>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</si>
  <si>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</si>
  <si>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</si>
  <si>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</si>
  <si>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</si>
  <si>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</si>
  <si>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</si>
  <si>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</si>
  <si>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</si>
  <si>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</si>
  <si>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</si>
  <si>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</si>
  <si>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</si>
  <si>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</si>
  <si>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</si>
  <si>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</si>
  <si>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</si>
  <si>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</si>
  <si>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</si>
  <si>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</si>
  <si>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</si>
  <si>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</si>
  <si>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</si>
  <si>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</si>
  <si>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</si>
  <si>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</si>
  <si>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</si>
  <si>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</si>
  <si>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</si>
  <si>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</si>
  <si>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</si>
  <si>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</si>
  <si>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</si>
  <si>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</si>
  <si>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</si>
  <si>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</si>
  <si>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</si>
  <si>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</si>
  <si>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</si>
  <si>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</si>
  <si>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</si>
  <si>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</si>
  <si>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</si>
  <si>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</si>
  <si>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</si>
  <si>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</si>
  <si>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</si>
  <si>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</si>
  <si>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</si>
  <si>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</si>
  <si>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</si>
  <si>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</si>
  <si>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</si>
  <si>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</si>
  <si>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</si>
  <si>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</si>
  <si>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</si>
  <si>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</si>
  <si>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</si>
  <si>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</si>
  <si>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</si>
  <si>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</si>
  <si>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</si>
  <si>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</si>
  <si>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</si>
  <si>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</si>
  <si>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</si>
  <si>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</si>
  <si>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</si>
  <si>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</si>
  <si>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</si>
  <si>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</si>
  <si>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</si>
  <si>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</si>
  <si>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</si>
  <si>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</si>
  <si>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</si>
  <si>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</si>
  <si>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</si>
  <si>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</si>
  <si>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</si>
  <si>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</si>
  <si>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</si>
  <si>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</si>
  <si>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</si>
  <si>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</si>
  <si>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</si>
  <si>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</si>
  <si>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</si>
  <si>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</si>
  <si>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</si>
  <si>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</si>
  <si>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</si>
  <si>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</si>
  <si>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</si>
  <si>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</si>
  <si>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</si>
  <si>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</si>
  <si>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</si>
  <si>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</si>
  <si>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</si>
  <si>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</si>
  <si>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</si>
  <si>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</si>
  <si>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</si>
  <si>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</si>
  <si>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</si>
  <si>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</si>
  <si>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</si>
  <si>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</si>
  <si>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</si>
  <si>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</si>
  <si>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</si>
  <si>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</si>
  <si>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</si>
  <si>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</si>
  <si>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</si>
  <si>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</si>
  <si>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</si>
  <si>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</si>
  <si>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</si>
  <si>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</si>
  <si>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</si>
  <si>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</si>
  <si>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</si>
  <si>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</si>
  <si>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</si>
  <si>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</si>
  <si>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</si>
  <si>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</si>
  <si>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</si>
  <si>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</si>
  <si>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</si>
  <si>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</si>
  <si>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</si>
  <si>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</si>
  <si>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</si>
  <si>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</si>
  <si>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</si>
  <si>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</si>
  <si>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</si>
  <si>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</si>
  <si>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</si>
  <si>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</si>
  <si>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</si>
  <si>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</si>
  <si>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</si>
  <si>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</si>
  <si>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</si>
  <si>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</si>
  <si>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</si>
  <si>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</si>
  <si>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</si>
  <si>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</si>
  <si>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</si>
  <si>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</si>
  <si>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</si>
  <si>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</si>
  <si>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</si>
  <si>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</si>
  <si>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</si>
  <si>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</si>
  <si>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</si>
  <si>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</si>
  <si>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</si>
  <si>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</si>
  <si>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</si>
  <si>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</si>
  <si>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</si>
  <si>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</si>
  <si>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</si>
  <si>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</si>
  <si>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</si>
  <si>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</si>
  <si>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</si>
  <si>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</si>
  <si>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</si>
  <si>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</si>
  <si>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</si>
  <si>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</si>
  <si>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</si>
  <si>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</si>
  <si>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</si>
  <si>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</si>
  <si>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</si>
  <si>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</si>
  <si>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</si>
  <si>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</si>
  <si>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</si>
  <si>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</si>
  <si>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</si>
  <si>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</si>
  <si>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</si>
  <si>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</si>
  <si>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</si>
  <si>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</si>
  <si>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</si>
  <si>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</si>
  <si>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</si>
  <si>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</si>
  <si>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</si>
  <si>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</si>
  <si>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</si>
  <si>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</si>
  <si>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</si>
  <si>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</si>
  <si>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</si>
  <si>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</si>
  <si>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</si>
  <si>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</si>
  <si>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</si>
  <si>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</si>
  <si>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</si>
  <si>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</si>
  <si>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</si>
  <si>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</si>
  <si>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</si>
  <si>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</si>
  <si>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</si>
  <si>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</si>
  <si>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</si>
  <si>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</si>
  <si>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</si>
  <si>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</si>
  <si>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</si>
  <si>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</si>
  <si>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</si>
  <si>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</si>
  <si>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</si>
  <si>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</si>
  <si>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</si>
  <si>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</si>
  <si>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</si>
  <si>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</si>
  <si>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</si>
  <si>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</si>
  <si>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</si>
  <si>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</si>
  <si>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</si>
  <si>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</si>
  <si>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</si>
  <si>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</si>
  <si>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</si>
  <si>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</si>
  <si>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</si>
  <si>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</si>
  <si>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</si>
  <si>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</si>
  <si>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</si>
  <si>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</si>
  <si>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</si>
  <si>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</si>
  <si>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</si>
  <si>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</si>
  <si>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</si>
  <si>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</si>
  <si>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</si>
  <si>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</si>
  <si>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</si>
  <si>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</si>
  <si>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</si>
  <si>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</si>
  <si>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</si>
  <si>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</si>
  <si>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</si>
  <si>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</si>
  <si>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</si>
  <si>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</si>
  <si>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</si>
  <si>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</si>
  <si>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</si>
  <si>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</si>
  <si>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</si>
  <si>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</si>
  <si>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</si>
  <si>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</si>
  <si>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</si>
  <si>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</si>
  <si>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</si>
  <si>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</si>
  <si>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</si>
  <si>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</si>
  <si>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</si>
  <si>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</si>
  <si>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</si>
  <si>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</si>
  <si>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</si>
  <si>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</si>
  <si>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</si>
  <si>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</si>
  <si>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</si>
  <si>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</si>
  <si>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</si>
  <si>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</si>
  <si>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</si>
  <si>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</si>
  <si>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</si>
  <si>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</si>
  <si>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</si>
  <si>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</si>
  <si>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</si>
  <si>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</si>
  <si>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</si>
  <si>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</si>
  <si>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</si>
  <si>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</si>
  <si>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</si>
  <si>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</si>
  <si>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</si>
  <si>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</si>
  <si>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</si>
  <si>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</si>
  <si>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</si>
  <si>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</si>
  <si>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</si>
  <si>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</si>
  <si>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</si>
  <si>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</si>
  <si>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</si>
  <si>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</si>
  <si>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</si>
  <si>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</si>
  <si>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</si>
  <si>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</si>
  <si>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</si>
  <si>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</si>
  <si>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</si>
  <si>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</si>
  <si>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</si>
  <si>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</si>
  <si>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</si>
  <si>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</si>
  <si>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</si>
  <si>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</si>
  <si>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</si>
  <si>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</si>
  <si>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</si>
  <si>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</si>
  <si>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</si>
  <si>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</si>
  <si>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</si>
  <si>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</si>
  <si>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</si>
  <si>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</si>
  <si>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</si>
  <si>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</si>
  <si>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</si>
  <si>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</si>
  <si>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</si>
  <si>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</si>
  <si>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</si>
  <si>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</si>
  <si>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</si>
  <si>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</si>
  <si>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</si>
  <si>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</si>
  <si>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</si>
  <si>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</si>
  <si>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</si>
  <si>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</si>
  <si>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</si>
  <si>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</si>
  <si>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</si>
  <si>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</si>
  <si>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</si>
  <si>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</si>
  <si>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</si>
  <si>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</si>
  <si>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</si>
  <si>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</si>
  <si>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</si>
  <si>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</si>
  <si>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</si>
  <si>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</si>
  <si>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</si>
  <si>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</si>
  <si>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</si>
  <si>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</si>
  <si>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</si>
  <si>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</si>
  <si>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</si>
  <si>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</si>
  <si>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</si>
  <si>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</si>
  <si>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</si>
  <si>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</si>
  <si>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</si>
  <si>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</si>
  <si>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</si>
  <si>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</si>
  <si>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</si>
  <si>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</si>
  <si>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</si>
  <si>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</si>
  <si>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</si>
  <si>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</si>
  <si>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</si>
  <si>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</si>
  <si>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</si>
  <si>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</si>
  <si>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</si>
  <si>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</si>
  <si>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</si>
  <si>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</si>
  <si>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</si>
  <si>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</si>
  <si>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</si>
  <si>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</si>
  <si>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</si>
  <si>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</si>
  <si>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</si>
  <si>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</si>
  <si>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</si>
  <si>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</si>
  <si>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</si>
  <si>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</si>
  <si>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</si>
  <si>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</si>
  <si>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</si>
  <si>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</si>
  <si>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</si>
  <si>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</si>
  <si>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</si>
  <si>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</si>
  <si>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</si>
  <si>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</si>
  <si>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</si>
  <si>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</si>
  <si>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</si>
  <si>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</si>
  <si>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</si>
  <si>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</si>
  <si>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</si>
  <si>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</si>
  <si>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</si>
  <si>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</si>
  <si>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</si>
  <si>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</si>
  <si>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</si>
  <si>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</si>
  <si>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</si>
  <si>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</si>
  <si>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</si>
  <si>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</si>
  <si>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</si>
  <si>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</si>
  <si>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</si>
  <si>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</si>
  <si>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</si>
  <si>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</si>
  <si>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</si>
  <si>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</si>
  <si>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</si>
  <si>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</si>
  <si>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</si>
  <si>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</si>
  <si>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</si>
  <si>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</si>
  <si>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</si>
  <si>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</si>
  <si>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</si>
  <si>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</si>
  <si>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</si>
  <si>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</si>
  <si>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</si>
  <si>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</si>
  <si>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</si>
  <si>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</si>
  <si>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</si>
  <si>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</si>
  <si>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</si>
  <si>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</si>
  <si>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</si>
  <si>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</si>
  <si>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</si>
  <si>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</si>
  <si>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</si>
  <si>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</si>
  <si>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</si>
  <si>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</si>
  <si>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</si>
  <si>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</si>
  <si>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</si>
  <si>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</si>
  <si>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</si>
  <si>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</si>
  <si>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</si>
  <si>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</si>
  <si>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</si>
  <si>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</si>
  <si>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</si>
  <si>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</si>
  <si>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</si>
  <si>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</si>
  <si>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</si>
  <si>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</si>
  <si>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</si>
  <si>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</si>
  <si>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</si>
  <si>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</si>
  <si>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</si>
  <si>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</si>
  <si>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</si>
  <si>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</si>
  <si>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</si>
  <si>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</si>
  <si>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</si>
  <si>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</si>
  <si>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</si>
  <si>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</si>
  <si>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</si>
  <si>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</si>
  <si>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</si>
  <si>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</si>
  <si>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</si>
  <si>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</si>
  <si>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</si>
  <si>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</si>
  <si>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</si>
  <si>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</si>
  <si>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</si>
  <si>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</si>
  <si>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</si>
  <si>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</si>
  <si>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</si>
  <si>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</si>
  <si>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</si>
  <si>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</si>
  <si>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</si>
  <si>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</si>
  <si>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</si>
  <si>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</si>
  <si>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</si>
  <si>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</si>
  <si>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</si>
  <si>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</si>
  <si>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</si>
  <si>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</si>
  <si>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</si>
  <si>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</si>
  <si>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</si>
  <si>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</si>
  <si>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</si>
  <si>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</si>
  <si>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</si>
  <si>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</si>
  <si>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</si>
  <si>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</si>
  <si>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</si>
  <si>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</si>
  <si>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</si>
  <si>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</si>
  <si>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</si>
  <si>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</si>
  <si>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</si>
  <si>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</si>
  <si>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</si>
  <si>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</si>
  <si>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</si>
  <si>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</si>
  <si>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</si>
  <si>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</si>
  <si>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</si>
  <si>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</si>
  <si>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</si>
  <si>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</si>
  <si>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</si>
  <si>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</si>
  <si>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</si>
  <si>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</si>
  <si>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</si>
  <si>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</si>
  <si>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</si>
  <si>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</si>
  <si>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</si>
  <si>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</si>
  <si>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</si>
  <si>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</si>
  <si>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</si>
  <si>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</si>
  <si>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</si>
  <si>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</si>
  <si>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</si>
  <si>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</si>
  <si>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</si>
  <si>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</si>
  <si>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</si>
  <si>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</si>
  <si>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</si>
  <si>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</si>
  <si>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</si>
  <si>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</si>
  <si>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</si>
  <si>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</si>
  <si>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</si>
  <si>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</si>
  <si>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</si>
  <si>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</si>
  <si>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</si>
  <si>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</si>
  <si>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</si>
  <si>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</si>
  <si>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</si>
  <si>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</si>
  <si>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</si>
  <si>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</si>
  <si>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</si>
  <si>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</si>
  <si>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</si>
  <si>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</si>
  <si>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</si>
  <si>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</si>
  <si>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</si>
  <si>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</si>
  <si>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</si>
  <si>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</si>
  <si>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</si>
  <si>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</si>
  <si>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</si>
  <si>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</si>
  <si>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</si>
  <si>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</si>
  <si>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</si>
  <si>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</si>
  <si>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</si>
  <si>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</si>
  <si>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</si>
  <si>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</si>
  <si>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</si>
  <si>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</si>
  <si>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</si>
  <si>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</si>
  <si>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</si>
  <si>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</si>
  <si>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</si>
  <si>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</si>
  <si>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</si>
  <si>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</si>
  <si>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</si>
  <si>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</si>
  <si>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</si>
  <si>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</si>
  <si>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</si>
  <si>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</si>
  <si>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</si>
  <si>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</si>
  <si>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</si>
  <si>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</si>
  <si>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</si>
  <si>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</si>
  <si>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</si>
  <si>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</si>
  <si>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</si>
  <si>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</si>
  <si>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</si>
  <si>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</si>
  <si>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</si>
  <si>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</si>
  <si>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</si>
  <si>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</si>
  <si>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</si>
  <si>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</si>
  <si>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</si>
  <si>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</si>
  <si>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</si>
  <si>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</si>
  <si>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</si>
  <si>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</si>
  <si>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</si>
  <si>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</si>
  <si>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</si>
  <si>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</si>
  <si>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</si>
  <si>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</si>
  <si>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</si>
  <si>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</si>
  <si>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</si>
  <si>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</si>
  <si>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</si>
  <si>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</si>
  <si>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</si>
  <si>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</si>
  <si>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</si>
  <si>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</si>
  <si>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</si>
  <si>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</si>
  <si>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</si>
  <si>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</si>
  <si>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</si>
  <si>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</si>
  <si>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</si>
  <si>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</si>
  <si>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</si>
  <si>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</si>
  <si>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</si>
  <si>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</si>
  <si>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</si>
  <si>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</si>
  <si>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</si>
  <si>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</si>
  <si>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</si>
  <si>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</si>
  <si>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</si>
  <si>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</si>
  <si>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</si>
  <si>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</si>
  <si>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</si>
  <si>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</si>
  <si>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</si>
  <si>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</si>
  <si>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</si>
  <si>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</si>
  <si>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</si>
  <si>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</si>
  <si>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</si>
  <si>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</si>
  <si>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</si>
  <si>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</si>
  <si>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</si>
  <si>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</si>
  <si>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</si>
  <si>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</si>
  <si>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</si>
  <si>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</si>
  <si>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</si>
  <si>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</si>
  <si>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</si>
  <si>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</si>
  <si>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</si>
  <si>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</si>
  <si>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</si>
  <si>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</si>
  <si>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</si>
  <si>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</si>
  <si>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</si>
  <si>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</si>
  <si>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</si>
  <si>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</si>
  <si>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</si>
  <si>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</si>
  <si>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</si>
  <si>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</si>
  <si>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</si>
  <si>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</si>
  <si>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</si>
  <si>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</si>
  <si>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</si>
  <si>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</si>
  <si>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</si>
  <si>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</si>
  <si>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</si>
  <si>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</si>
  <si>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</si>
  <si>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</si>
  <si>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</si>
  <si>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</si>
  <si>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</si>
  <si>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</si>
  <si>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</si>
  <si>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</si>
  <si>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</si>
  <si>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</si>
  <si>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</si>
  <si>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</si>
  <si>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</si>
  <si>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</si>
  <si>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</si>
  <si>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</si>
  <si>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</si>
  <si>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</si>
  <si>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</si>
  <si>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</si>
  <si>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</si>
  <si>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</si>
  <si>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</si>
  <si>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</si>
  <si>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</si>
  <si>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</si>
  <si>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</si>
  <si>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</si>
  <si>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</si>
  <si>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</si>
  <si>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</si>
  <si>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</si>
  <si>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</si>
  <si>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</si>
  <si>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</si>
  <si>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</si>
  <si>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</si>
  <si>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</si>
  <si>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</si>
  <si>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</si>
  <si>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</si>
  <si>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</si>
  <si>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</si>
  <si>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</si>
  <si>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</si>
  <si>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</si>
  <si>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</si>
  <si>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</si>
  <si>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</si>
  <si>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</si>
  <si>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</si>
  <si>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</si>
  <si>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</si>
  <si>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</si>
  <si>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</si>
  <si>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</si>
  <si>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</si>
  <si>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</si>
  <si>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</si>
  <si>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</si>
  <si>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</si>
  <si>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</si>
  <si>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</si>
  <si>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</si>
  <si>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</si>
  <si>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</si>
  <si>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</si>
  <si>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</si>
  <si>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</si>
  <si>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</si>
  <si>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</si>
  <si>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</si>
  <si>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</si>
  <si>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</si>
  <si>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</si>
  <si>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</si>
  <si>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</si>
  <si>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</si>
  <si>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</si>
  <si>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</si>
  <si>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</si>
  <si>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</si>
  <si>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</si>
  <si>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</si>
  <si>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</si>
  <si>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</si>
  <si>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</si>
  <si>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</si>
  <si>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</si>
  <si>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</si>
  <si>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</si>
  <si>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</si>
  <si>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</si>
  <si>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</si>
  <si>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</si>
  <si>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</si>
  <si>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</si>
  <si>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</si>
  <si>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</si>
  <si>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</si>
  <si>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</si>
  <si>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</si>
  <si>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</si>
  <si>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</si>
  <si>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</si>
  <si>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</si>
  <si>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</si>
  <si>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</si>
  <si>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</si>
  <si>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</si>
  <si>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</si>
  <si>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</si>
  <si>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</si>
  <si>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</si>
  <si>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</si>
  <si>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</si>
  <si>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</si>
  <si>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</si>
  <si>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</si>
  <si>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</si>
  <si>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</si>
  <si>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</si>
  <si>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</si>
  <si>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</si>
  <si>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</si>
  <si>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</si>
  <si>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</si>
  <si>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</si>
  <si>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</si>
  <si>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</si>
  <si>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</si>
  <si>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</si>
  <si>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</si>
  <si>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</si>
  <si>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</si>
  <si>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</si>
  <si>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</si>
  <si>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</si>
  <si>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</si>
  <si>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</si>
  <si>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</si>
  <si>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</si>
  <si>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</si>
  <si>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</si>
  <si>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</si>
  <si>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</si>
  <si>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</si>
  <si>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</si>
  <si>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</si>
  <si>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</si>
  <si>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</si>
  <si>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</si>
  <si>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</si>
  <si>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</si>
  <si>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</si>
  <si>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</si>
  <si>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</si>
  <si>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</si>
  <si>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</si>
  <si>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</si>
  <si>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</si>
  <si>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</si>
  <si>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</si>
  <si>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</si>
  <si>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</si>
  <si>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</si>
  <si>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</si>
  <si>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</si>
  <si>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</si>
  <si>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</si>
  <si>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</si>
  <si>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</si>
  <si>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</si>
  <si>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</si>
  <si>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</si>
  <si>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</si>
  <si>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</si>
  <si>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</si>
  <si>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</si>
  <si>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</si>
  <si>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</si>
  <si>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</si>
  <si>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</si>
  <si>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</si>
  <si>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</si>
  <si>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</si>
  <si>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</si>
  <si>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</si>
  <si>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</si>
  <si>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</si>
  <si>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</si>
  <si>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</si>
  <si>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</si>
  <si>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</si>
  <si>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</si>
  <si>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</si>
  <si>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</si>
  <si>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</si>
  <si>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</si>
  <si>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</si>
  <si>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</si>
  <si>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</si>
  <si>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</si>
  <si>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</si>
  <si>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</si>
  <si>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</si>
  <si>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</si>
  <si>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</si>
  <si>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</si>
  <si>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</si>
  <si>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</si>
  <si>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</si>
  <si>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</si>
  <si>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</si>
  <si>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</si>
  <si>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</si>
  <si>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</si>
  <si>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</si>
  <si>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</si>
  <si>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</si>
  <si>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</si>
  <si>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</si>
  <si>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</si>
  <si>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</si>
  <si>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</si>
  <si>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</si>
  <si>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</si>
  <si>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</si>
  <si>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</si>
  <si>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</si>
  <si>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</si>
  <si>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</si>
  <si>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</si>
  <si>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</si>
  <si>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</si>
  <si>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</si>
  <si>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</si>
  <si>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</si>
  <si>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</si>
  <si>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</si>
  <si>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</si>
  <si>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</si>
  <si>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</si>
  <si>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</si>
  <si>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</si>
  <si>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</si>
  <si>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</si>
  <si>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</si>
  <si>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</si>
  <si>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</si>
  <si>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</si>
  <si>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</si>
  <si>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</si>
  <si>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</si>
  <si>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</si>
  <si>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</si>
  <si>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</si>
  <si>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</si>
  <si>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</si>
  <si>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</si>
  <si>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</si>
  <si>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</si>
  <si>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</si>
  <si>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</si>
  <si>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</si>
  <si>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</si>
  <si>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</si>
  <si>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</si>
  <si>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</si>
  <si>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</si>
  <si>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</si>
  <si>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</si>
  <si>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</si>
  <si>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</si>
  <si>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</si>
  <si>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</si>
  <si>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</si>
  <si>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</si>
  <si>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</si>
  <si>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</si>
  <si>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</si>
  <si>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</si>
  <si>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</si>
  <si>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</si>
  <si>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</si>
  <si>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</si>
  <si>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</si>
  <si>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</si>
  <si>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</si>
  <si>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</si>
  <si>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</si>
  <si>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</si>
  <si>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</si>
  <si>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</si>
  <si>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</si>
  <si>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</si>
  <si>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</si>
  <si>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</si>
  <si>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</si>
  <si>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</si>
  <si>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</si>
  <si>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</si>
  <si>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</si>
  <si>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</si>
  <si>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</si>
  <si>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</si>
  <si>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</si>
  <si>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</si>
  <si>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</si>
  <si>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</si>
  <si>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</si>
  <si>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</si>
  <si>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</si>
  <si>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</si>
  <si>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</si>
  <si>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</si>
  <si>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</si>
  <si>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</si>
  <si>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</si>
  <si>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</si>
  <si>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</si>
  <si>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</si>
  <si>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</si>
  <si>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</si>
  <si>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</si>
  <si>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</si>
  <si>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</si>
  <si>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</si>
  <si>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</si>
  <si>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</si>
  <si>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</si>
  <si>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</si>
  <si>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</si>
  <si>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</si>
  <si>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</si>
  <si>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</si>
  <si>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</si>
  <si>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</si>
  <si>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</si>
  <si>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</si>
  <si>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</si>
  <si>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</si>
  <si>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</si>
  <si>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</si>
  <si>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</si>
  <si>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</si>
  <si>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</si>
  <si>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</si>
  <si>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</si>
  <si>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</si>
  <si>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</si>
  <si>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</si>
  <si>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</si>
  <si>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</si>
  <si>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</si>
  <si>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</si>
  <si>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</si>
  <si>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</si>
  <si>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</si>
  <si>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</si>
  <si>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</si>
  <si>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</si>
  <si>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</si>
  <si>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</si>
  <si>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</si>
  <si>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</si>
  <si>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</si>
  <si>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</si>
  <si>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</si>
  <si>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</si>
  <si>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</si>
  <si>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</si>
  <si>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</si>
  <si>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</si>
  <si>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</si>
  <si>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</si>
  <si>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</si>
  <si>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</si>
  <si>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</si>
  <si>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</si>
  <si>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</si>
  <si>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</si>
  <si>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</si>
  <si>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</si>
  <si>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</si>
  <si>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</si>
  <si>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</si>
  <si>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</si>
  <si>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</si>
  <si>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</si>
  <si>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</si>
  <si>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</si>
  <si>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</si>
  <si>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</si>
  <si>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</si>
  <si>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</si>
  <si>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</si>
  <si>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</si>
  <si>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</si>
  <si>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</si>
  <si>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</si>
  <si>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</si>
  <si>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</si>
  <si>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</si>
  <si>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</si>
  <si>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</si>
  <si>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</si>
  <si>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</si>
  <si>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</si>
  <si>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</si>
  <si>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</si>
  <si>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</si>
  <si>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</si>
  <si>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</si>
  <si>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</si>
  <si>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</si>
  <si>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</si>
  <si>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</si>
  <si>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</si>
  <si>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</si>
  <si>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</si>
  <si>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</si>
  <si>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</si>
  <si>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</si>
  <si>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</si>
  <si>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</si>
  <si>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</si>
  <si>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</si>
  <si>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</si>
  <si>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</si>
  <si>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</si>
  <si>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</si>
  <si>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</si>
  <si>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</si>
  <si>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</si>
  <si>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</si>
  <si>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</si>
  <si>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</si>
  <si>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</si>
  <si>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</si>
  <si>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</si>
  <si>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</si>
  <si>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</si>
  <si>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</si>
  <si>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</si>
  <si>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</si>
  <si>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</si>
  <si>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</si>
  <si>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</si>
  <si>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</si>
  <si>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</si>
  <si>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</si>
  <si>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</si>
  <si>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</si>
  <si>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</si>
  <si>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</si>
  <si>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</si>
  <si>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</si>
  <si>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</si>
  <si>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</si>
  <si>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</si>
  <si>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</si>
  <si>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</si>
  <si>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</si>
  <si>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</si>
  <si>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</si>
  <si>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</si>
  <si>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</si>
  <si>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</si>
  <si>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</si>
  <si>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</si>
  <si>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</si>
  <si>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</si>
  <si>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</si>
  <si>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</si>
  <si>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</si>
  <si>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</si>
  <si>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</si>
  <si>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</si>
  <si>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</si>
  <si>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</si>
  <si>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</si>
  <si>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</si>
  <si>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</si>
  <si>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</si>
  <si>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</si>
  <si>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</si>
  <si>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</si>
  <si>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</si>
  <si>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</si>
  <si>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</si>
  <si>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</si>
  <si>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</si>
  <si>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</si>
  <si>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</si>
  <si>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</si>
  <si>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</si>
  <si>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</si>
  <si>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</si>
  <si>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</si>
  <si>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</si>
  <si>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</si>
  <si>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</si>
  <si>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</si>
  <si>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</si>
  <si>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</si>
  <si>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</si>
  <si>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</si>
  <si>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</si>
  <si>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</si>
  <si>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</si>
  <si>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</si>
  <si>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</si>
  <si>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</si>
  <si>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</si>
  <si>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</si>
  <si>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</si>
  <si>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</si>
  <si>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</si>
  <si>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</si>
  <si>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</si>
  <si>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</si>
  <si>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</si>
  <si>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</si>
  <si>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</si>
  <si>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</si>
  <si>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</si>
  <si>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</si>
  <si>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</si>
  <si>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</si>
  <si>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</si>
  <si>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</si>
  <si>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</si>
  <si>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</si>
  <si>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</si>
  <si>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</si>
  <si>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</si>
  <si>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</si>
  <si>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</si>
  <si>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</si>
  <si>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</si>
  <si>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</si>
  <si>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</si>
  <si>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</si>
  <si>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</si>
  <si>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</si>
  <si>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</si>
  <si>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</si>
  <si>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</si>
  <si>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</si>
  <si>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</si>
  <si>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</si>
  <si>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</si>
  <si>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</si>
  <si>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</si>
  <si>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</si>
  <si>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</si>
  <si>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</si>
  <si>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</si>
  <si>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</si>
  <si>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</si>
  <si>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</si>
  <si>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</si>
  <si>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</si>
  <si>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</si>
  <si>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</si>
  <si>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</si>
  <si>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</si>
  <si>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</si>
  <si>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</si>
  <si>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</si>
  <si>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</si>
  <si>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</si>
  <si>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</si>
  <si>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</si>
  <si>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</si>
  <si>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</si>
  <si>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</si>
  <si>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</si>
  <si>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</si>
  <si>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</si>
  <si>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</si>
  <si>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</si>
  <si>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</si>
  <si>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</si>
  <si>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</si>
  <si>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</si>
  <si>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</si>
  <si>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</si>
  <si>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</si>
  <si>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</si>
  <si>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</si>
  <si>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</si>
  <si>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</si>
  <si>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</si>
  <si>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</si>
  <si>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</si>
  <si>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</si>
  <si>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</si>
  <si>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</si>
  <si>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</si>
  <si>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</si>
  <si>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</si>
  <si>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</si>
  <si>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</si>
  <si>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</si>
  <si>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</si>
  <si>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</si>
  <si>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</si>
  <si>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</si>
  <si>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</si>
  <si>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</si>
  <si>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</si>
  <si>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</si>
  <si>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</si>
  <si>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</si>
  <si>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</si>
  <si>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</si>
  <si>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</si>
  <si>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</si>
  <si>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</si>
  <si>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</si>
  <si>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</si>
  <si>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</si>
  <si>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</si>
  <si>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</si>
  <si>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</si>
  <si>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</si>
  <si>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</si>
  <si>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</si>
  <si>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</si>
  <si>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</si>
  <si>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</si>
  <si>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</si>
  <si>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</si>
  <si>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</si>
  <si>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</si>
  <si>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</si>
  <si>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</si>
  <si>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</si>
  <si>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</si>
  <si>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</si>
  <si>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</si>
  <si>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</si>
  <si>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</si>
  <si>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</si>
  <si>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</si>
  <si>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</si>
  <si>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</si>
  <si>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</si>
  <si>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</si>
  <si>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</si>
  <si>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</si>
  <si>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</si>
  <si>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</si>
  <si>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</si>
  <si>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</si>
  <si>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</si>
  <si>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</si>
  <si>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</si>
  <si>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</si>
  <si>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</si>
  <si>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</si>
  <si>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</si>
  <si>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</si>
  <si>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</si>
  <si>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</si>
  <si>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</si>
  <si>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</si>
  <si>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</si>
  <si>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</si>
  <si>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</si>
  <si>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</si>
  <si>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</si>
  <si>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</si>
  <si>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</si>
  <si>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</si>
  <si>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</si>
  <si>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</si>
  <si>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</si>
  <si>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</si>
  <si>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</si>
  <si>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</si>
  <si>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</si>
  <si>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</si>
  <si>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</si>
  <si>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</si>
  <si>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</si>
  <si>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</si>
  <si>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</si>
  <si>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</si>
  <si>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</si>
  <si>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</si>
  <si>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</si>
  <si>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</si>
  <si>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</si>
  <si>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</si>
  <si>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</si>
  <si>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</si>
  <si>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</si>
  <si>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</si>
  <si>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</si>
  <si>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</si>
  <si>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</si>
  <si>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</si>
  <si>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</si>
  <si>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</si>
  <si>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</si>
  <si>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</si>
  <si>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</si>
  <si>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</si>
  <si>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</si>
  <si>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</si>
  <si>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</si>
  <si>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</si>
  <si>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</si>
  <si>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</si>
  <si>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</si>
  <si>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</si>
  <si>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</si>
  <si>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</si>
  <si>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</si>
  <si>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</si>
  <si>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</si>
  <si>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</si>
  <si>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</si>
  <si>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</si>
  <si>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</si>
  <si>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</si>
  <si>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</si>
  <si>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</si>
  <si>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</si>
  <si>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</si>
  <si>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</si>
  <si>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</si>
  <si>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</si>
  <si>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</si>
  <si>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</si>
  <si>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</si>
  <si>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</si>
  <si>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</si>
  <si>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</si>
  <si>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</si>
  <si>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</si>
  <si>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</si>
  <si>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</si>
  <si>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</si>
  <si>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</si>
  <si>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</si>
  <si>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</si>
  <si>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</si>
  <si>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</si>
  <si>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</si>
  <si>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</si>
  <si>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</si>
  <si>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</si>
  <si>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</si>
  <si>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</si>
  <si>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</si>
  <si>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</si>
  <si>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</si>
  <si>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</si>
  <si>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</si>
  <si>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</si>
  <si>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</si>
  <si>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</si>
  <si>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</si>
  <si>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</si>
  <si>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</si>
  <si>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</si>
  <si>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</si>
  <si>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</si>
  <si>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</si>
  <si>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</si>
  <si>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</si>
  <si>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</si>
  <si>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</si>
  <si>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</si>
  <si>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</si>
  <si>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</si>
  <si>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</si>
  <si>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</si>
  <si>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</si>
  <si>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</si>
  <si>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</si>
  <si>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</si>
  <si>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</si>
  <si>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</si>
  <si>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</si>
  <si>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</si>
  <si>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</si>
  <si>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</si>
  <si>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</si>
  <si>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</si>
  <si>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</si>
  <si>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</si>
  <si>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</si>
  <si>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</si>
  <si>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</si>
  <si>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</si>
  <si>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</si>
  <si>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</si>
  <si>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</si>
  <si>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</si>
  <si>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</si>
  <si>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</si>
  <si>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</si>
  <si>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</si>
  <si>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</si>
  <si>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</si>
  <si>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</si>
  <si>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</si>
  <si>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</si>
  <si>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</si>
  <si>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</si>
  <si>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</si>
  <si>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</si>
  <si>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</si>
  <si>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</si>
  <si>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</si>
  <si>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</si>
  <si>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</si>
  <si>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</si>
  <si>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</si>
  <si>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</si>
  <si>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</si>
  <si>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</si>
  <si>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</si>
  <si>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</si>
  <si>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</si>
  <si>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</si>
  <si>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</si>
  <si>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</si>
  <si>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</si>
  <si>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</si>
  <si>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</si>
  <si>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</si>
  <si>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</si>
  <si>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</si>
  <si>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</si>
  <si>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</si>
  <si>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</si>
  <si>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</si>
  <si>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</si>
  <si>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</si>
  <si>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</si>
  <si>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</si>
  <si>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</si>
  <si>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</si>
  <si>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</si>
  <si>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</si>
  <si>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</si>
  <si>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</si>
  <si>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</si>
  <si>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</si>
  <si>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</si>
  <si>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</si>
  <si>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</si>
  <si>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</si>
  <si>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</si>
  <si>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</si>
  <si>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</si>
  <si>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</si>
  <si>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</si>
  <si>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</si>
  <si>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</si>
  <si>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</si>
  <si>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</si>
  <si>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</si>
  <si>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</si>
  <si>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</si>
  <si>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</si>
  <si>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</si>
  <si>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</si>
  <si>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</si>
  <si>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</si>
  <si>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</si>
  <si>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</si>
  <si>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</si>
  <si>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</si>
  <si>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</si>
  <si>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</si>
  <si>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</si>
  <si>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</si>
  <si>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</si>
  <si>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</si>
  <si>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</si>
  <si>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</si>
  <si>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</si>
  <si>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</si>
  <si>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</si>
  <si>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</si>
  <si>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</si>
  <si>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</si>
  <si>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</si>
  <si>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</si>
  <si>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</si>
  <si>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</si>
  <si>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</si>
  <si>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</si>
  <si>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</si>
  <si>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</si>
  <si>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</si>
  <si>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</si>
  <si>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</si>
  <si>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</si>
  <si>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</si>
  <si>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</si>
  <si>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</si>
  <si>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</si>
  <si>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</si>
  <si>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</si>
  <si>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</si>
  <si>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</si>
  <si>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</si>
  <si>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</si>
  <si>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</si>
  <si>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</si>
  <si>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</si>
  <si>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</si>
  <si>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</si>
  <si>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</si>
  <si>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</si>
  <si>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</si>
  <si>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</si>
  <si>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</si>
  <si>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</si>
  <si>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</si>
  <si>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</si>
  <si>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</si>
  <si>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</si>
  <si>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</si>
  <si>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</si>
  <si>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</si>
  <si>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</si>
  <si>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</si>
  <si>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</si>
  <si>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</si>
  <si>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</si>
  <si>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</si>
  <si>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</si>
  <si>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</si>
  <si>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</si>
  <si>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</si>
  <si>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</si>
  <si>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</si>
  <si>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</si>
  <si>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</si>
  <si>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</si>
  <si>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</si>
  <si>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</si>
  <si>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</si>
  <si>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</si>
  <si>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</si>
  <si>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</si>
  <si>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</si>
  <si>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</si>
  <si>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</si>
  <si>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</si>
  <si>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</si>
  <si>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</si>
  <si>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</si>
  <si>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</si>
  <si>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</si>
  <si>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</si>
  <si>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</si>
  <si>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</si>
  <si>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</si>
  <si>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</si>
  <si>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</si>
  <si>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</si>
  <si>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</si>
  <si>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</si>
  <si>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</si>
  <si>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</si>
  <si>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</si>
  <si>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</si>
  <si>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</si>
  <si>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</si>
  <si>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</si>
  <si>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</si>
  <si>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</si>
  <si>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</si>
  <si>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</si>
  <si>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</si>
  <si>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</si>
  <si>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</si>
  <si>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</si>
  <si>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</si>
  <si>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</si>
  <si>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</si>
  <si>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</si>
  <si>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</si>
  <si>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</si>
  <si>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</si>
  <si>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</si>
  <si>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</si>
  <si>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</si>
  <si>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</si>
  <si>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</si>
  <si>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</si>
  <si>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</si>
  <si>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</si>
  <si>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</si>
  <si>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</si>
  <si>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</si>
  <si>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</si>
  <si>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</si>
  <si>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</si>
  <si>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</si>
  <si>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</si>
  <si>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</si>
  <si>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</si>
  <si>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</si>
  <si>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</si>
  <si>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</si>
  <si>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</si>
  <si>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</si>
  <si>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</si>
  <si>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</si>
  <si>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</si>
  <si>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</si>
  <si>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</si>
  <si>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</si>
  <si>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</si>
  <si>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</si>
  <si>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</si>
  <si>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</si>
  <si>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</si>
  <si>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</si>
  <si>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</si>
  <si>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</si>
  <si>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</si>
  <si>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</si>
  <si>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</si>
  <si>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</si>
  <si>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</si>
  <si>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</si>
  <si>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</si>
  <si>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</si>
  <si>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</si>
  <si>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</si>
  <si>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</si>
  <si>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</si>
  <si>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</si>
  <si>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</si>
  <si>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</si>
  <si>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</si>
  <si>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</si>
  <si>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</si>
  <si>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</si>
  <si>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</si>
  <si>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</si>
  <si>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</si>
  <si>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</si>
  <si>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</si>
  <si>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</si>
  <si>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</si>
  <si>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</si>
  <si>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</si>
  <si>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</si>
  <si>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</si>
  <si>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</si>
  <si>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</si>
  <si>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</si>
  <si>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</si>
  <si>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</si>
  <si>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</si>
  <si>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</si>
  <si>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</si>
  <si>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</si>
  <si>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</si>
  <si>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</si>
  <si>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</si>
  <si>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</si>
  <si>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</si>
  <si>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</si>
  <si>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</si>
  <si>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</si>
  <si>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</si>
  <si>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</si>
  <si>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</si>
  <si>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</si>
  <si>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</si>
  <si>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</si>
  <si>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</si>
  <si>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</si>
  <si>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</si>
  <si>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</si>
  <si>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</si>
  <si>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</si>
  <si>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</si>
  <si>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</si>
  <si>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</si>
  <si>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</si>
  <si>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</si>
  <si>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</si>
  <si>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</si>
  <si>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</si>
  <si>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</si>
  <si>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</si>
  <si>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</si>
  <si>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</si>
  <si>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</si>
  <si>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</si>
  <si>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</si>
  <si>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</si>
  <si>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</si>
  <si>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</si>
  <si>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</si>
  <si>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</si>
  <si>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</si>
  <si>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</si>
  <si>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</si>
  <si>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</si>
  <si>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</si>
  <si>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</si>
  <si>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</si>
  <si>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</si>
  <si>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</si>
  <si>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</si>
  <si>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</si>
  <si>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</si>
  <si>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</si>
  <si>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</si>
  <si>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</si>
  <si>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</si>
  <si>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</si>
  <si>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</si>
  <si>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</si>
  <si>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</si>
  <si>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</si>
  <si>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</si>
  <si>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</si>
  <si>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</si>
  <si>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</si>
  <si>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</si>
  <si>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</si>
  <si>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</si>
  <si>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</si>
  <si>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</si>
  <si>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</si>
  <si>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</si>
  <si>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</si>
  <si>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</si>
  <si>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</si>
  <si>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</si>
  <si>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</si>
  <si>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</si>
  <si>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</si>
  <si>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</si>
  <si>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</si>
  <si>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</si>
  <si>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</si>
  <si>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</si>
  <si>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</si>
  <si>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</si>
  <si>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</si>
  <si>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</si>
  <si>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</si>
  <si>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</si>
  <si>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</si>
  <si>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</si>
  <si>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</si>
  <si>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</si>
  <si>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</si>
  <si>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</si>
  <si>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</si>
  <si>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</si>
  <si>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</si>
  <si>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</si>
  <si>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</si>
  <si>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</si>
  <si>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</si>
  <si>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</si>
  <si>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</si>
  <si>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</si>
  <si>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</si>
  <si>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</si>
  <si>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</si>
  <si>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</si>
  <si>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</si>
  <si>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</si>
  <si>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</si>
  <si>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</si>
  <si>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</si>
  <si>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</si>
  <si>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</si>
  <si>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</si>
  <si>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</si>
  <si>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</si>
  <si>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</si>
  <si>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</si>
  <si>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</si>
  <si>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</si>
  <si>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</si>
  <si>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</si>
  <si>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</si>
  <si>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</si>
  <si>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</si>
  <si>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</si>
  <si>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</si>
  <si>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</si>
  <si>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</si>
  <si>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</si>
  <si>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</si>
  <si>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</si>
  <si>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</si>
  <si>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</si>
  <si>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</si>
  <si>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</si>
  <si>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</si>
  <si>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</si>
  <si>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</si>
  <si>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</si>
  <si>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</si>
  <si>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</si>
  <si>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</si>
  <si>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</si>
  <si>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</si>
  <si>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</si>
  <si>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</si>
  <si>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</si>
  <si>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</si>
  <si>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</si>
  <si>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</si>
  <si>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</si>
  <si>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</si>
  <si>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</si>
  <si>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</si>
  <si>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</si>
  <si>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</si>
  <si>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</si>
  <si>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</si>
  <si>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</si>
  <si>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</si>
  <si>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</si>
  <si>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</si>
  <si>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</si>
  <si>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</si>
  <si>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</si>
  <si>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</si>
  <si>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</si>
  <si>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</si>
  <si>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</si>
  <si>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</si>
  <si>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</si>
  <si>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</si>
  <si>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</si>
  <si>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</si>
  <si>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</si>
  <si>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</si>
  <si>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</si>
  <si>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</si>
  <si>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</si>
  <si>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</si>
  <si>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</si>
  <si>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</si>
  <si>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</si>
  <si>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</si>
  <si>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</si>
  <si>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</si>
  <si>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</si>
  <si>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</si>
  <si>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</si>
  <si>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</si>
  <si>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</si>
  <si>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</si>
  <si>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</si>
  <si>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</si>
  <si>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</si>
  <si>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</si>
  <si>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</si>
  <si>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</si>
  <si>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</si>
  <si>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</si>
  <si>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</si>
  <si>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</si>
  <si>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</si>
  <si>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</si>
  <si>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</si>
  <si>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</si>
  <si>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</si>
  <si>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</si>
  <si>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</si>
  <si>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</si>
  <si>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</si>
  <si>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</si>
  <si>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</si>
  <si>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</si>
  <si>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</si>
  <si>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</si>
  <si>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</si>
  <si>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</si>
  <si>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</si>
  <si>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</si>
  <si>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</si>
  <si>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</si>
  <si>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</si>
  <si>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</si>
  <si>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</si>
  <si>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</si>
  <si>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</si>
  <si>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</si>
  <si>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</si>
  <si>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</si>
  <si>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</si>
  <si>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</si>
  <si>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</si>
  <si>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</si>
  <si>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</si>
  <si>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</si>
  <si>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</si>
  <si>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</si>
  <si>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</si>
  <si>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</si>
  <si>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</si>
  <si>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</si>
  <si>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</si>
  <si>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</si>
  <si>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</si>
  <si>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</si>
  <si>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</si>
  <si>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</si>
  <si>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</si>
  <si>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</si>
  <si>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</si>
  <si>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</si>
  <si>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</si>
  <si>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</si>
  <si>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</si>
  <si>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</si>
  <si>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</si>
  <si>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</si>
  <si>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</si>
  <si>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</si>
  <si>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</si>
  <si>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</si>
  <si>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</si>
  <si>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</si>
  <si>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</si>
  <si>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</si>
  <si>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</si>
  <si>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</si>
  <si>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</si>
  <si>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</si>
  <si>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</si>
  <si>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</si>
  <si>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</si>
  <si>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</si>
  <si>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</si>
  <si>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</si>
  <si>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</si>
  <si>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</si>
  <si>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</si>
  <si>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</si>
  <si>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</si>
  <si>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</si>
  <si>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</si>
  <si>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</si>
  <si>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</si>
  <si>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</si>
  <si>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</si>
  <si>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</si>
  <si>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</si>
  <si>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</si>
  <si>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</si>
  <si>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</si>
  <si>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</si>
  <si>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</si>
  <si>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</si>
  <si>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</si>
  <si>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</si>
  <si>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</si>
  <si>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</si>
  <si>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</si>
  <si>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</si>
  <si>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</si>
  <si>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</si>
  <si>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</si>
  <si>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</si>
  <si>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</si>
  <si>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</si>
  <si>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</si>
  <si>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</si>
  <si>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</si>
  <si>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</si>
  <si>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</si>
  <si>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</si>
  <si>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</si>
  <si>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</si>
  <si>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</si>
  <si>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</si>
  <si>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</si>
  <si>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</si>
  <si>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</si>
  <si>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</si>
  <si>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</si>
  <si>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</si>
  <si>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</si>
  <si>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</si>
  <si>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</si>
  <si>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</si>
  <si>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</si>
  <si>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</si>
  <si>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</si>
  <si>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</si>
  <si>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</si>
  <si>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</si>
  <si>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</si>
  <si>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</si>
  <si>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</si>
  <si>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</si>
  <si>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</si>
  <si>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</si>
  <si>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</si>
  <si>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</si>
  <si>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</si>
  <si>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</si>
  <si>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</si>
  <si>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</si>
  <si>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</si>
  <si>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</si>
  <si>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</si>
  <si>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</si>
  <si>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</si>
  <si>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</si>
  <si>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</si>
  <si>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</si>
  <si>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</si>
  <si>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</si>
  <si>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</si>
  <si>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</si>
  <si>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</si>
  <si>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</si>
  <si>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</si>
  <si>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</si>
  <si>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</si>
  <si>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</si>
  <si>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</si>
  <si>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</si>
  <si>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</si>
  <si>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</si>
  <si>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</si>
  <si>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</si>
  <si>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</si>
  <si>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</si>
  <si>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</si>
  <si>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</si>
  <si>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</si>
  <si>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</si>
  <si>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</si>
  <si>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</si>
  <si>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</si>
  <si>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</si>
  <si>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</si>
  <si>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</si>
  <si>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</si>
  <si>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</si>
  <si>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</si>
  <si>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</si>
  <si>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</si>
  <si>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</si>
  <si>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</si>
  <si>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</si>
  <si>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</si>
  <si>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</si>
  <si>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</si>
  <si>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</si>
  <si>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</si>
  <si>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</si>
  <si>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</si>
  <si>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</si>
  <si>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</si>
  <si>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</si>
  <si>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</si>
  <si>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</si>
  <si>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</si>
  <si>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</si>
  <si>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</si>
  <si>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</si>
  <si>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</si>
  <si>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</si>
  <si>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</si>
  <si>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</si>
  <si>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</si>
  <si>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</si>
  <si>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</si>
  <si>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</si>
  <si>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</si>
  <si>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</si>
  <si>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</si>
  <si>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</si>
  <si>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</si>
  <si>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</si>
  <si>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</si>
  <si>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</si>
  <si>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</si>
  <si>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</si>
  <si>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</si>
  <si>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</si>
  <si>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</si>
  <si>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</si>
  <si>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</si>
  <si>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</si>
  <si>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</si>
  <si>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</si>
  <si>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</si>
  <si>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</si>
  <si>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</si>
  <si>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</si>
  <si>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</si>
  <si>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</si>
  <si>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</si>
  <si>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</si>
  <si>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</si>
  <si>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</si>
  <si>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</si>
  <si>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</si>
  <si>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</si>
  <si>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</si>
  <si>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</si>
  <si>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</si>
  <si>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</si>
  <si>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</si>
  <si>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</si>
  <si>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</si>
  <si>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</si>
  <si>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</si>
  <si>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</si>
  <si>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</si>
  <si>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</si>
  <si>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</si>
  <si>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</si>
  <si>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</si>
  <si>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</si>
  <si>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</si>
  <si>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</si>
  <si>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</si>
  <si>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</si>
  <si>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</si>
  <si>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</si>
  <si>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</si>
  <si>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</si>
  <si>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</si>
  <si>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</si>
  <si>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</si>
  <si>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</si>
  <si>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</si>
  <si>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</si>
  <si>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</si>
  <si>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</si>
  <si>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</si>
  <si>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</si>
  <si>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</si>
  <si>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</si>
  <si>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</si>
  <si>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</si>
  <si>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</si>
  <si>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</si>
  <si>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</si>
  <si>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</si>
  <si>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</si>
  <si>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</si>
  <si>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</si>
  <si>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</si>
  <si>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</si>
  <si>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</si>
  <si>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</si>
  <si>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</si>
  <si>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</si>
  <si>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</si>
  <si>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</si>
  <si>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</si>
  <si>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</si>
  <si>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</si>
  <si>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</si>
  <si>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</si>
  <si>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</si>
  <si>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</si>
  <si>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</si>
  <si>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</si>
  <si>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</si>
  <si>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</si>
  <si>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</si>
  <si>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</si>
  <si>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</si>
  <si>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</si>
  <si>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</si>
  <si>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</si>
  <si>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</si>
  <si>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</si>
  <si>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</si>
  <si>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</si>
  <si>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</si>
  <si>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</si>
  <si>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</si>
  <si>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</si>
  <si>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</si>
  <si>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</si>
  <si>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</si>
  <si>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</si>
  <si>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</si>
  <si>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</si>
  <si>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</si>
  <si>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</si>
  <si>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</si>
  <si>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</si>
  <si>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</si>
  <si>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</si>
  <si>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</si>
  <si>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</si>
  <si>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</si>
  <si>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</si>
  <si>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</si>
  <si>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</si>
  <si>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</si>
  <si>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</si>
  <si>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</si>
  <si>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</si>
  <si>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</si>
  <si>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</si>
  <si>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</si>
  <si>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</si>
  <si>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</si>
  <si>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</si>
  <si>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</si>
  <si>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</si>
  <si>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</si>
  <si>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</si>
  <si>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</si>
  <si>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</si>
  <si>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</si>
  <si>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</si>
  <si>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</si>
  <si>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</si>
  <si>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</si>
  <si>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</si>
  <si>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</si>
  <si>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</si>
  <si>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</si>
  <si>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</si>
  <si>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</si>
  <si>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</si>
  <si>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</si>
  <si>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</si>
  <si>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</si>
  <si>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</si>
  <si>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</si>
  <si>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</si>
  <si>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</si>
  <si>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</si>
  <si>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</si>
  <si>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</si>
  <si>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</si>
  <si>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</si>
  <si>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</si>
  <si>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</si>
  <si>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</si>
  <si>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</si>
  <si>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</si>
  <si>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</si>
  <si>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</si>
  <si>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</si>
  <si>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</si>
  <si>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</si>
  <si>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</si>
  <si>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</si>
  <si>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</si>
  <si>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</si>
  <si>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</si>
  <si>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</si>
  <si>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</si>
  <si>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</si>
  <si>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</si>
  <si>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</si>
  <si>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</si>
  <si>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</si>
  <si>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</si>
  <si>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</si>
  <si>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</si>
  <si>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</si>
  <si>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</si>
  <si>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</si>
  <si>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</si>
  <si>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</si>
  <si>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</si>
  <si>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</si>
  <si>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</si>
  <si>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</si>
  <si>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</si>
  <si>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</si>
  <si>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</si>
  <si>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</si>
  <si>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</si>
  <si>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</si>
  <si>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</si>
  <si>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</si>
  <si>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</si>
  <si>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</si>
  <si>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</si>
  <si>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</si>
  <si>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</si>
  <si>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</si>
  <si>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</si>
  <si>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</si>
  <si>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</si>
  <si>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</si>
  <si>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</si>
  <si>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</si>
  <si>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</si>
  <si>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</si>
  <si>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</si>
  <si>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</si>
  <si>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</si>
  <si>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</si>
  <si>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</si>
  <si>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</si>
  <si>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</si>
  <si>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</si>
  <si>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</si>
  <si>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</si>
  <si>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</si>
  <si>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</si>
  <si>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</si>
  <si>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</si>
  <si>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</si>
  <si>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</si>
  <si>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</si>
  <si>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</si>
  <si>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</si>
  <si>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</si>
  <si>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</si>
  <si>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</si>
  <si>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</si>
  <si>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</si>
  <si>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</si>
  <si>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</si>
  <si>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</si>
  <si>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</si>
  <si>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</si>
  <si>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</si>
  <si>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</si>
  <si>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</si>
  <si>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</si>
  <si>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</si>
  <si>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</si>
  <si>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</si>
  <si>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</si>
  <si>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</si>
  <si>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</si>
  <si>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</si>
  <si>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</si>
  <si>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</si>
  <si>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</si>
  <si>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</si>
  <si>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</si>
  <si>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</si>
  <si>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</si>
  <si>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</si>
  <si>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</si>
  <si>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</si>
  <si>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</si>
  <si>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</si>
  <si>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</si>
  <si>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</si>
  <si>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</si>
  <si>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</si>
  <si>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</si>
  <si>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</si>
  <si>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</si>
  <si>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</si>
  <si>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</si>
  <si>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</si>
  <si>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</si>
  <si>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</si>
  <si>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</si>
  <si>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</si>
  <si>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</si>
  <si>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</si>
  <si>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</si>
  <si>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</si>
  <si>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</si>
  <si>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</si>
  <si>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</si>
  <si>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</si>
  <si>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</si>
  <si>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</si>
  <si>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</si>
  <si>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</si>
  <si>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</si>
  <si>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</si>
  <si>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</si>
  <si>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</si>
  <si>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</si>
  <si>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</si>
  <si>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</si>
  <si>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</si>
  <si>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</si>
  <si>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</si>
  <si>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</si>
  <si>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</si>
  <si>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</si>
  <si>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</si>
  <si>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</si>
  <si>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</si>
  <si>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</si>
  <si>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</si>
  <si>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</si>
  <si>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</si>
  <si>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</si>
  <si>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</si>
  <si>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</si>
  <si>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</si>
  <si>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</si>
  <si>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</si>
  <si>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</si>
  <si>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</si>
  <si>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</si>
  <si>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</si>
  <si>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</si>
  <si>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</si>
  <si>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</si>
  <si>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</si>
  <si>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</si>
  <si>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</si>
  <si>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</si>
  <si>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</si>
  <si>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</si>
  <si>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</si>
  <si>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</si>
  <si>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</si>
  <si>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</si>
  <si>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</si>
  <si>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</si>
  <si>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</si>
  <si>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</si>
  <si>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</si>
  <si>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</si>
  <si>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</si>
  <si>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</si>
  <si>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</si>
  <si>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</si>
  <si>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</si>
  <si>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</si>
  <si>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</si>
  <si>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</si>
  <si>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</si>
  <si>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</si>
  <si>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</si>
  <si>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</si>
  <si>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</si>
  <si>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</si>
  <si>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</si>
  <si>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</si>
  <si>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</si>
  <si>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</si>
  <si>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</si>
  <si>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</si>
  <si>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</si>
  <si>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</si>
  <si>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</si>
  <si>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</si>
  <si>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</si>
  <si>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</si>
  <si>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</si>
  <si>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</si>
  <si>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</si>
  <si>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</si>
  <si>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</si>
  <si>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</si>
  <si>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</si>
  <si>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</si>
  <si>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</si>
  <si>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</si>
  <si>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</si>
  <si>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</si>
  <si>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</si>
  <si>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</si>
  <si>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</si>
  <si>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</si>
  <si>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</si>
  <si>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</si>
  <si>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</si>
  <si>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</si>
  <si>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</si>
  <si>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</si>
  <si>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</si>
  <si>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</si>
  <si>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</si>
  <si>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</si>
  <si>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</si>
  <si>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</si>
  <si>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</si>
  <si>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</si>
  <si>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</si>
  <si>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</si>
  <si>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</si>
  <si>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</si>
  <si>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</si>
  <si>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</si>
  <si>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</si>
  <si>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</si>
  <si>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</si>
  <si>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</si>
  <si>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</si>
  <si>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</si>
  <si>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</si>
  <si>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</si>
  <si>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</si>
  <si>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</si>
  <si>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</si>
  <si>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</si>
  <si>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</si>
  <si>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</si>
  <si>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</si>
  <si>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</si>
  <si>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</si>
  <si>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</si>
  <si>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</si>
  <si>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</si>
  <si>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</si>
  <si>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</si>
  <si>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</si>
  <si>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</si>
  <si>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</si>
  <si>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</si>
  <si>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</si>
  <si>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</si>
  <si>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</si>
  <si>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</si>
  <si>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</si>
  <si>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</si>
  <si>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</si>
  <si>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</si>
  <si>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</si>
  <si>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</si>
  <si>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</si>
  <si>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</si>
  <si>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</si>
  <si>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</si>
  <si>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</si>
  <si>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</si>
  <si>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</si>
  <si>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</si>
  <si>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</si>
  <si>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</si>
  <si>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</si>
  <si>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</si>
  <si>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</si>
  <si>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</si>
  <si>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</si>
  <si>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</si>
  <si>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</si>
  <si>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</si>
  <si>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</si>
  <si>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</si>
  <si>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</si>
  <si>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</si>
  <si>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</si>
  <si>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</si>
  <si>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</si>
  <si>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</si>
  <si>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</si>
  <si>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</si>
  <si>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</si>
  <si>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</si>
  <si>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</si>
  <si>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</si>
  <si>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</si>
  <si>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</si>
  <si>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</si>
  <si>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</si>
  <si>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</si>
  <si>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</si>
  <si>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</si>
  <si>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</si>
  <si>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</si>
  <si>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</si>
  <si>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</si>
  <si>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</si>
  <si>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</si>
  <si>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</si>
  <si>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</si>
  <si>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</si>
  <si>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</si>
  <si>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</si>
  <si>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</si>
  <si>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</si>
  <si>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</si>
  <si>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</si>
  <si>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</si>
  <si>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</si>
  <si>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</si>
  <si>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</si>
  <si>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</si>
  <si>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</si>
  <si>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</si>
  <si>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</si>
  <si>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</si>
  <si>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</si>
  <si>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</si>
  <si>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</si>
  <si>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</si>
  <si>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</si>
  <si>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</si>
  <si>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</si>
  <si>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</si>
  <si>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</si>
  <si>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</si>
  <si>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</si>
  <si>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</si>
  <si>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</si>
  <si>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</si>
  <si>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</si>
  <si>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</si>
  <si>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</si>
  <si>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</si>
  <si>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</si>
  <si>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</si>
  <si>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</si>
  <si>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</si>
  <si>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</si>
  <si>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</si>
  <si>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</si>
  <si>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</si>
  <si>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</si>
  <si>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</si>
  <si>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</si>
  <si>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</si>
  <si>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</si>
  <si>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</si>
  <si>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</si>
  <si>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</si>
  <si>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</si>
  <si>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</si>
  <si>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</si>
  <si>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</si>
  <si>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</si>
  <si>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</si>
  <si>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</si>
  <si>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</si>
  <si>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</si>
  <si>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</si>
  <si>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</si>
  <si>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</si>
  <si>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</si>
  <si>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</si>
  <si>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</si>
  <si>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</si>
  <si>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</si>
  <si>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</si>
  <si>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</si>
  <si>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</si>
  <si>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</si>
  <si>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</si>
  <si>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</si>
  <si>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</si>
  <si>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</si>
  <si>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</si>
  <si>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</si>
  <si>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</si>
  <si>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</si>
  <si>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</si>
  <si>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</si>
  <si>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</si>
  <si>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</si>
  <si>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</si>
  <si>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</si>
  <si>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</si>
  <si>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</si>
  <si>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</si>
  <si>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</si>
  <si>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</si>
  <si>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</si>
  <si>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</si>
  <si>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</si>
  <si>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</si>
  <si>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</si>
  <si>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</si>
  <si>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</si>
  <si>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</si>
  <si>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</si>
  <si>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</si>
  <si>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</si>
  <si>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</si>
  <si>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</si>
  <si>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</si>
  <si>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</si>
  <si>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</si>
  <si>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</si>
  <si>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</si>
  <si>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</si>
  <si>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</si>
  <si>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</si>
  <si>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</si>
  <si>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</si>
  <si>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</si>
  <si>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</si>
  <si>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</si>
  <si>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</si>
  <si>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</si>
  <si>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</si>
  <si>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</si>
  <si>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</si>
  <si>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</si>
  <si>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</si>
  <si>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</si>
  <si>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</si>
  <si>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</si>
  <si>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</si>
  <si>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</si>
  <si>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</si>
  <si>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</si>
  <si>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</si>
  <si>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</si>
  <si>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</si>
  <si>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</si>
  <si>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</si>
  <si>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</si>
  <si>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</si>
  <si>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</si>
  <si>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</si>
  <si>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</si>
  <si>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</si>
  <si>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</si>
  <si>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</si>
  <si>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</si>
  <si>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</si>
  <si>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</si>
  <si>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</si>
  <si>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</si>
  <si>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</si>
  <si>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</si>
  <si>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</si>
  <si>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</si>
  <si>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</si>
  <si>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</si>
  <si>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</si>
  <si>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</si>
  <si>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</si>
  <si>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</si>
  <si>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</si>
  <si>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</si>
  <si>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</si>
  <si>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</si>
  <si>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</si>
  <si>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</si>
  <si>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</si>
  <si>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</si>
  <si>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</si>
  <si>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</si>
  <si>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</si>
  <si>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</si>
  <si>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</si>
  <si>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</si>
  <si>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</si>
  <si>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</si>
  <si>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</si>
  <si>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</si>
  <si>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</si>
  <si>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</si>
  <si>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</si>
  <si>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</si>
  <si>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</si>
  <si>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</si>
  <si>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</si>
  <si>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</si>
  <si>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</si>
  <si>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</si>
  <si>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</si>
  <si>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</si>
  <si>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</si>
  <si>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</si>
  <si>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</si>
  <si>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</si>
  <si>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</si>
  <si>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</si>
  <si>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</si>
  <si>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</si>
  <si>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</si>
  <si>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</si>
  <si>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</si>
  <si>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</si>
  <si>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</si>
  <si>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</si>
  <si>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</si>
  <si>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</si>
  <si>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</si>
  <si>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</si>
  <si>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</si>
  <si>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</si>
  <si>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</si>
  <si>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</si>
  <si>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</si>
  <si>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</si>
  <si>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</si>
  <si>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</si>
  <si>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</si>
  <si>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</si>
  <si>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</si>
  <si>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</si>
  <si>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</si>
  <si>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</si>
  <si>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</si>
  <si>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</si>
  <si>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</si>
  <si>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</si>
  <si>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</si>
  <si>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</si>
  <si>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</si>
  <si>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</si>
  <si>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</si>
  <si>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</si>
  <si>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</si>
  <si>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</si>
  <si>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</si>
  <si>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</si>
  <si>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</si>
  <si>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</si>
  <si>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</si>
  <si>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</si>
  <si>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</si>
  <si>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</si>
  <si>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</si>
  <si>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</si>
  <si>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</si>
  <si>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</si>
  <si>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</si>
  <si>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</si>
  <si>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</si>
  <si>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</si>
  <si>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</si>
  <si>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</si>
  <si>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</si>
  <si>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</si>
  <si>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</si>
  <si>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</si>
  <si>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</si>
  <si>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</si>
  <si>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</si>
  <si>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</si>
  <si>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</si>
  <si>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</si>
  <si>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</si>
  <si>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</si>
  <si>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</si>
  <si>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</si>
  <si>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</si>
  <si>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</si>
  <si>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</si>
  <si>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</si>
  <si>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</si>
  <si>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</si>
  <si>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</si>
  <si>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</si>
  <si>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</si>
  <si>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</si>
  <si>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</si>
  <si>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</si>
  <si>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</si>
  <si>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</si>
  <si>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</si>
  <si>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</si>
  <si>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</si>
  <si>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</si>
  <si>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</si>
  <si>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</si>
  <si>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</si>
  <si>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</si>
  <si>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</si>
  <si>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</si>
  <si>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</si>
  <si>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</si>
  <si>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</si>
  <si>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</si>
  <si>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</si>
  <si>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</si>
  <si>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</si>
  <si>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</si>
  <si>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</si>
  <si>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</si>
  <si>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</si>
  <si>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</si>
  <si>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</si>
  <si>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</si>
  <si>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</si>
  <si>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</si>
  <si>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</si>
  <si>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</si>
  <si>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</si>
  <si>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</si>
  <si>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</si>
  <si>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</si>
  <si>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</si>
  <si>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</si>
  <si>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</si>
  <si>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</si>
  <si>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</si>
  <si>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</si>
  <si>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</si>
  <si>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</si>
  <si>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</si>
  <si>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</si>
  <si>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</si>
  <si>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</si>
  <si>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</si>
  <si>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</si>
  <si>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</si>
  <si>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</si>
  <si>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</si>
  <si>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</si>
  <si>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</si>
  <si>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</si>
  <si>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</si>
  <si>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</si>
  <si>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</si>
  <si>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</si>
  <si>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</si>
  <si>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</si>
  <si>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</si>
  <si>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</si>
  <si>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</si>
  <si>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</si>
  <si>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</si>
  <si>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</si>
  <si>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</si>
  <si>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</si>
  <si>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</si>
  <si>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</si>
  <si>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</si>
  <si>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</si>
  <si>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</si>
  <si>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</si>
  <si>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</si>
  <si>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</si>
  <si>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</si>
  <si>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</si>
  <si>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</si>
  <si>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</si>
  <si>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</si>
  <si>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</si>
  <si>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</si>
  <si>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</si>
  <si>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</si>
  <si>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</si>
  <si>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</si>
  <si>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</si>
  <si>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</si>
  <si>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</si>
  <si>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</si>
  <si>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</si>
  <si>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</si>
  <si>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</si>
  <si>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</si>
  <si>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</si>
  <si>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</si>
  <si>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</si>
  <si>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</si>
  <si>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</si>
  <si>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</si>
  <si>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</si>
  <si>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</si>
  <si>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</si>
  <si>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</si>
  <si>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</si>
  <si>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</si>
  <si>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</si>
  <si>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</si>
  <si>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</si>
  <si>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</si>
  <si>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</si>
  <si>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</si>
  <si>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</si>
  <si>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</si>
  <si>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</si>
  <si>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</si>
  <si>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</si>
  <si>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</si>
  <si>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</si>
  <si>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</si>
  <si>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</si>
  <si>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</si>
  <si>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</si>
  <si>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</si>
  <si>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</si>
  <si>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</si>
  <si>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</si>
  <si>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</si>
  <si>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</si>
  <si>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</si>
  <si>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</si>
  <si>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</si>
  <si>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</si>
  <si>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</si>
  <si>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</si>
  <si>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</si>
  <si>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</si>
  <si>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</si>
  <si>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</si>
  <si>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</si>
  <si>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</si>
  <si>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</si>
  <si>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</si>
  <si>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</si>
  <si>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</si>
  <si>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</si>
  <si>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</si>
  <si>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</si>
  <si>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</si>
  <si>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</si>
  <si>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</si>
  <si>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</si>
  <si>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</si>
  <si>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</si>
  <si>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</si>
  <si>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</si>
  <si>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</si>
  <si>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</si>
  <si>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</si>
  <si>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</si>
  <si>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</si>
  <si>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</si>
  <si>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</si>
  <si>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</si>
  <si>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</si>
  <si>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</si>
  <si>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</si>
  <si>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</si>
  <si>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</si>
  <si>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</si>
  <si>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</si>
  <si>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</si>
  <si>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</si>
  <si>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</si>
  <si>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</si>
  <si>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</si>
  <si>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</si>
  <si>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</si>
  <si>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</si>
  <si>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</si>
  <si>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</si>
  <si>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</si>
  <si>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</si>
  <si>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</si>
  <si>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</si>
  <si>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</si>
  <si>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</si>
  <si>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</si>
  <si>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</si>
  <si>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</si>
  <si>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</si>
  <si>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</si>
  <si>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</si>
  <si>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</si>
  <si>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</si>
  <si>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</si>
  <si>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</si>
  <si>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</si>
  <si>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</si>
  <si>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</si>
  <si>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</si>
  <si>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</si>
  <si>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</si>
  <si>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</si>
  <si>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</si>
  <si>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</si>
  <si>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</si>
  <si>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</si>
  <si>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</si>
  <si>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</si>
  <si>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</si>
  <si>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</si>
  <si>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</si>
  <si>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</si>
  <si>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</si>
  <si>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</si>
  <si>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</si>
  <si>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</si>
  <si>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</si>
  <si>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</si>
  <si>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</si>
  <si>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</si>
  <si>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</si>
  <si>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</si>
  <si>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</si>
  <si>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</si>
  <si>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</si>
  <si>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</si>
  <si>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</si>
  <si>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</si>
  <si>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</si>
  <si>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</si>
  <si>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</si>
  <si>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</si>
  <si>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</si>
  <si>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</si>
  <si>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</si>
  <si>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</si>
  <si>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</si>
  <si>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</si>
  <si>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</si>
  <si>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</si>
  <si>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</si>
  <si>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</si>
  <si>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</si>
  <si>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</si>
  <si>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</si>
  <si>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</si>
  <si>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</si>
  <si>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</si>
  <si>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</si>
  <si>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</si>
  <si>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</si>
  <si>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</si>
  <si>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</si>
  <si>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</si>
  <si>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</si>
  <si>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</si>
  <si>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</si>
  <si>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</si>
  <si>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</si>
  <si>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</si>
  <si>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</si>
  <si>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</si>
  <si>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</si>
  <si>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</si>
  <si>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</si>
  <si>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</si>
  <si>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</si>
  <si>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</si>
  <si>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</si>
  <si>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</si>
  <si>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</si>
  <si>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</si>
  <si>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</si>
  <si>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</si>
  <si>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</si>
  <si>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</si>
  <si>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</si>
  <si>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</si>
  <si>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</si>
  <si>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</si>
  <si>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</si>
  <si>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</si>
  <si>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</si>
  <si>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</si>
  <si>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</si>
  <si>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</si>
  <si>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</si>
  <si>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</si>
  <si>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</si>
  <si>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</si>
  <si>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</si>
  <si>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</si>
  <si>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</si>
  <si>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</si>
  <si>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</si>
  <si>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</si>
  <si>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</si>
  <si>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</si>
  <si>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</si>
  <si>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</si>
  <si>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</si>
  <si>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</si>
  <si>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</si>
  <si>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</si>
  <si>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</si>
  <si>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</si>
  <si>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</si>
  <si>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</si>
  <si>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</si>
  <si>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</si>
  <si>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</si>
  <si>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</si>
  <si>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</si>
  <si>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</si>
  <si>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</si>
  <si>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</si>
  <si>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</si>
  <si>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</si>
  <si>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</si>
  <si>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</si>
  <si>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</si>
  <si>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</si>
  <si>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</si>
  <si>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</si>
  <si>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</si>
  <si>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</si>
  <si>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</si>
  <si>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</si>
  <si>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</si>
  <si>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</si>
  <si>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</si>
  <si>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</si>
  <si>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</si>
  <si>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</si>
  <si>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</si>
  <si>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</si>
  <si>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</si>
  <si>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</si>
  <si>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</si>
  <si>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</si>
  <si>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</si>
  <si>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</si>
  <si>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</si>
  <si>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</si>
  <si>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</si>
  <si>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</si>
  <si>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</si>
  <si>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</si>
  <si>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</si>
  <si>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</si>
  <si>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</si>
  <si>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</si>
  <si>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</si>
  <si>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</si>
  <si>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</si>
  <si>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</si>
  <si>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</si>
  <si>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</si>
  <si>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</si>
  <si>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</si>
  <si>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</si>
  <si>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</si>
  <si>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</si>
  <si>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</si>
  <si>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</si>
  <si>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</si>
  <si>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</si>
  <si>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</si>
  <si>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</si>
  <si>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</si>
  <si>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</si>
  <si>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</si>
  <si>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</si>
  <si>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</si>
  <si>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</si>
  <si>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</si>
  <si>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</si>
  <si>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</si>
  <si>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</si>
  <si>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</si>
  <si>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</si>
  <si>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</si>
  <si>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</si>
  <si>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</si>
  <si>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</si>
  <si>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</si>
  <si>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</si>
  <si>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</si>
  <si>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</si>
  <si>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</si>
  <si>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</si>
  <si>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</si>
  <si>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</si>
  <si>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</si>
  <si>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</si>
  <si>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</si>
  <si>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</si>
  <si>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</si>
  <si>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</si>
  <si>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</si>
  <si>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</si>
  <si>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</si>
  <si>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</si>
  <si>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</si>
  <si>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</si>
  <si>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</si>
  <si>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</si>
  <si>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</si>
  <si>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</si>
  <si>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</si>
  <si>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</si>
  <si>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</si>
  <si>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</si>
  <si>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</si>
  <si>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</si>
  <si>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</si>
  <si>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</si>
  <si>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</si>
  <si>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</si>
  <si>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</si>
  <si>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</si>
  <si>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</si>
  <si>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</si>
  <si>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</si>
  <si>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</si>
  <si>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</si>
  <si>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</si>
  <si>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</si>
  <si>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</si>
  <si>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</si>
  <si>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</si>
  <si>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</si>
  <si>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</si>
  <si>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</si>
  <si>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</si>
  <si>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</si>
  <si>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</si>
  <si>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</si>
  <si>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</si>
  <si>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</si>
  <si>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</si>
  <si>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</si>
  <si>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</si>
  <si>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</si>
  <si>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</si>
  <si>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</si>
  <si>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</si>
  <si>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</si>
  <si>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</si>
  <si>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</si>
  <si>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</si>
  <si>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</si>
  <si>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</si>
  <si>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</si>
  <si>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</si>
  <si>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</si>
  <si>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</si>
  <si>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</si>
  <si>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</si>
  <si>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</si>
  <si>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</si>
  <si>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</si>
  <si>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</si>
  <si>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</si>
  <si>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</si>
  <si>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</si>
  <si>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</si>
  <si>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</si>
  <si>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</si>
  <si>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</si>
  <si>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</si>
  <si>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</si>
  <si>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</si>
  <si>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</si>
  <si>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</si>
  <si>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</si>
  <si>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</si>
  <si>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</si>
  <si>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</si>
  <si>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</si>
  <si>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</si>
  <si>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</si>
  <si>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</si>
  <si>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</si>
  <si>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</si>
  <si>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</si>
  <si>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</si>
  <si>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</si>
  <si>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</si>
  <si>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</si>
  <si>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</si>
  <si>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</si>
  <si>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</si>
  <si>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</si>
  <si>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</si>
  <si>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</si>
  <si>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</si>
  <si>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</si>
  <si>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</si>
  <si>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</si>
  <si>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</si>
  <si>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</si>
  <si>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</si>
  <si>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</si>
  <si>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</si>
  <si>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</si>
  <si>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</si>
  <si>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</si>
  <si>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</si>
  <si>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</si>
  <si>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</si>
  <si>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</si>
  <si>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</si>
  <si>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</si>
  <si>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</si>
  <si>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</si>
  <si>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</si>
  <si>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</si>
  <si>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</si>
  <si>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</si>
  <si>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</si>
  <si>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</si>
  <si>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</si>
  <si>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</si>
  <si>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</si>
  <si>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</si>
  <si>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</si>
  <si>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</si>
  <si>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</si>
  <si>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</si>
  <si>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</si>
  <si>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</si>
  <si>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</si>
  <si>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</si>
  <si>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</si>
  <si>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</si>
  <si>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</si>
  <si>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</si>
  <si>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</si>
  <si>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</si>
  <si>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</si>
  <si>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</si>
  <si>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</si>
  <si>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</si>
  <si>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</si>
  <si>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</si>
  <si>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</si>
  <si>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</si>
  <si>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</si>
  <si>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</si>
  <si>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</si>
  <si>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</si>
  <si>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</si>
  <si>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</si>
  <si>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</si>
  <si>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</si>
  <si>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</si>
  <si>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</si>
  <si>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</si>
  <si>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</si>
  <si>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</si>
  <si>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</si>
  <si>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</si>
  <si>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</si>
  <si>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</si>
  <si>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</si>
  <si>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</si>
  <si>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</si>
  <si>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</si>
  <si>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</si>
  <si>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</si>
  <si>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</si>
  <si>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</si>
  <si>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</si>
  <si>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</si>
  <si>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</si>
  <si>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</si>
  <si>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</si>
  <si>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</si>
  <si>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</si>
  <si>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</si>
  <si>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</si>
  <si>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</si>
  <si>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</si>
  <si>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</si>
  <si>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</si>
  <si>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</si>
  <si>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</si>
  <si>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</si>
  <si>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</si>
  <si>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</si>
  <si>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</si>
  <si>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</si>
  <si>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</si>
  <si>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</si>
  <si>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</si>
  <si>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</si>
  <si>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</si>
  <si>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</si>
  <si>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</si>
  <si>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</si>
  <si>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</si>
  <si>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</si>
  <si>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</si>
  <si>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</si>
  <si>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</si>
  <si>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</si>
  <si>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</si>
  <si>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</si>
  <si>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</si>
  <si>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</si>
  <si>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</si>
  <si>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</si>
  <si>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</si>
  <si>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</si>
  <si>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</si>
  <si>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</si>
  <si>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</si>
  <si>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</si>
  <si>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</si>
  <si>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</si>
  <si>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</si>
  <si>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</si>
  <si>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</si>
  <si>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</si>
  <si>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</si>
  <si>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</si>
  <si>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</si>
  <si>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</si>
  <si>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</si>
  <si>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</si>
  <si>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</si>
  <si>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</si>
  <si>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</si>
  <si>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</si>
  <si>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</si>
  <si>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</si>
  <si>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</si>
  <si>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</si>
  <si>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</si>
  <si>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</si>
  <si>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</si>
  <si>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</si>
  <si>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</si>
  <si>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</si>
  <si>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</si>
  <si>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</si>
  <si>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</si>
  <si>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</si>
  <si>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</si>
  <si>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</si>
  <si>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</si>
  <si>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</si>
  <si>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</si>
  <si>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</si>
  <si>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</si>
  <si>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</si>
  <si>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</si>
  <si>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</si>
  <si>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</si>
  <si>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</si>
  <si>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</si>
  <si>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</si>
  <si>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</si>
  <si>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</si>
  <si>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</si>
  <si>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</si>
  <si>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</si>
  <si>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</si>
  <si>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</si>
  <si>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</si>
  <si>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</si>
  <si>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</si>
  <si>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</si>
  <si>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</si>
  <si>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</si>
  <si>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</si>
  <si>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</si>
  <si>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</si>
  <si>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</si>
  <si>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</si>
  <si>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</si>
  <si>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</si>
  <si>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</si>
  <si>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</si>
  <si>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</si>
  <si>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</si>
  <si>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</si>
  <si>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</si>
  <si>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</si>
  <si>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</si>
  <si>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</si>
  <si>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</si>
  <si>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</si>
  <si>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</si>
  <si>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</si>
  <si>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</si>
  <si>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</si>
  <si>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</si>
  <si>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</si>
  <si>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</si>
  <si>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</si>
  <si>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</si>
  <si>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</si>
  <si>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</si>
  <si>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</si>
  <si>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</si>
  <si>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</si>
  <si>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</si>
  <si>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</si>
  <si>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</si>
  <si>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</si>
  <si>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</si>
  <si>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</si>
  <si>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</si>
  <si>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</si>
  <si>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</si>
  <si>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</si>
  <si>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</si>
  <si>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</si>
  <si>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</si>
  <si>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</si>
  <si>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</si>
  <si>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</si>
  <si>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</si>
  <si>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</si>
  <si>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</si>
  <si>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</si>
  <si>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</si>
  <si>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</si>
  <si>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</si>
  <si>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</si>
  <si>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</si>
  <si>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</si>
  <si>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</si>
  <si>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</si>
  <si>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</si>
  <si>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</si>
  <si>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</si>
  <si>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</si>
  <si>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</si>
  <si>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</si>
  <si>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</si>
  <si>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</si>
  <si>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</si>
  <si>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</si>
  <si>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</si>
  <si>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</si>
  <si>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</si>
  <si>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</si>
  <si>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</si>
  <si>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</si>
  <si>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</si>
  <si>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</si>
  <si>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</si>
  <si>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</si>
  <si>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</si>
  <si>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</si>
  <si>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</si>
  <si>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</si>
  <si>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</si>
  <si>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</si>
  <si>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</si>
  <si>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</si>
  <si>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</si>
  <si>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</si>
  <si>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</si>
  <si>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</si>
  <si>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</si>
  <si>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</si>
  <si>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</si>
  <si>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</si>
  <si>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</si>
  <si>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</si>
  <si>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</si>
  <si>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</si>
  <si>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</si>
  <si>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</si>
  <si>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</si>
  <si>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</si>
  <si>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</si>
  <si>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</si>
  <si>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</si>
  <si>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</si>
  <si>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</si>
  <si>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</si>
  <si>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</si>
  <si>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</si>
  <si>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</si>
  <si>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</si>
  <si>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</si>
  <si>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</si>
  <si>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</si>
  <si>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</si>
  <si>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</si>
  <si>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</si>
  <si>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</si>
  <si>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</si>
  <si>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</si>
  <si>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</si>
  <si>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</si>
  <si>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</si>
  <si>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</si>
  <si>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</si>
  <si>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</si>
  <si>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</si>
  <si>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</si>
  <si>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</si>
  <si>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</si>
  <si>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</si>
  <si>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</si>
  <si>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</si>
  <si>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</si>
  <si>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</si>
  <si>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</si>
  <si>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</si>
  <si>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</si>
  <si>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</si>
  <si>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</si>
  <si>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</si>
  <si>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</si>
  <si>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</si>
  <si>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</si>
  <si>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</si>
  <si>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</si>
  <si>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</si>
  <si>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</si>
  <si>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</si>
  <si>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</si>
  <si>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</si>
  <si>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</si>
  <si>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</si>
  <si>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</si>
  <si>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</si>
  <si>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</si>
  <si>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</si>
  <si>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</si>
  <si>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</si>
  <si>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</si>
  <si>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</si>
  <si>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</si>
  <si>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</si>
  <si>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</si>
  <si>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</si>
  <si>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</si>
  <si>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</si>
  <si>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</si>
  <si>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</si>
  <si>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</si>
  <si>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</si>
  <si>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</si>
  <si>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</si>
  <si>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</si>
  <si>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</si>
  <si>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</si>
  <si>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</si>
  <si>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</si>
  <si>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</si>
  <si>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</si>
  <si>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</si>
  <si>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</si>
  <si>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</si>
  <si>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</si>
  <si>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</si>
  <si>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</si>
  <si>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</si>
  <si>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</si>
  <si>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</si>
  <si>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</si>
  <si>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</si>
  <si>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</si>
  <si>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</si>
  <si>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</si>
  <si>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</si>
  <si>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</si>
  <si>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</si>
  <si>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</si>
  <si>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</si>
  <si>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</si>
  <si>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</si>
  <si>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</si>
  <si>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</si>
  <si>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</si>
  <si>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</si>
  <si>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</si>
  <si>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</si>
  <si>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</si>
  <si>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</si>
  <si>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</si>
  <si>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</si>
  <si>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</si>
  <si>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</si>
  <si>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</si>
  <si>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</si>
  <si>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</si>
  <si>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</si>
  <si>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</si>
  <si>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</si>
  <si>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</si>
  <si>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</si>
  <si>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</si>
  <si>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</si>
  <si>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</si>
  <si>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</si>
  <si>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</si>
  <si>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</si>
  <si>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</si>
  <si>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</si>
  <si>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</si>
  <si>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</si>
  <si>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</si>
  <si>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</si>
  <si>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</si>
  <si>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</si>
  <si>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</si>
  <si>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</si>
  <si>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</si>
  <si>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</si>
  <si>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</si>
  <si>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</si>
  <si>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</si>
  <si>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</si>
  <si>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</si>
  <si>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</si>
  <si>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</si>
  <si>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</si>
  <si>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</si>
  <si>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</si>
  <si>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</si>
  <si>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</si>
  <si>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</si>
  <si>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</si>
  <si>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</si>
  <si>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</si>
  <si>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</si>
  <si>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</si>
  <si>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</si>
  <si>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</si>
  <si>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</si>
  <si>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</si>
  <si>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</si>
  <si>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</si>
  <si>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</si>
  <si>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</si>
  <si>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</si>
  <si>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</si>
  <si>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</si>
  <si>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</si>
  <si>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</si>
  <si>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</si>
  <si>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</si>
  <si>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</si>
  <si>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</si>
  <si>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</si>
  <si>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</si>
  <si>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</si>
  <si>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</si>
  <si>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</si>
  <si>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</si>
  <si>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</si>
  <si>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</si>
  <si>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</si>
  <si>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</si>
  <si>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</si>
  <si>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</si>
  <si>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</si>
  <si>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</si>
  <si>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</si>
  <si>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</si>
  <si>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</si>
  <si>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</si>
  <si>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</si>
  <si>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</si>
  <si>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</si>
  <si>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</si>
  <si>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</si>
  <si>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</si>
  <si>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</si>
  <si>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</si>
  <si>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</si>
  <si>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</si>
  <si>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</si>
  <si>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</si>
  <si>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</si>
  <si>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</si>
  <si>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</si>
  <si>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</si>
  <si>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</si>
  <si>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</si>
  <si>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</si>
  <si>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</si>
  <si>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</si>
  <si>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</si>
  <si>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</si>
  <si>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</si>
  <si>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</si>
  <si>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</si>
  <si>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</si>
  <si>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</si>
  <si>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</si>
  <si>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</si>
  <si>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</si>
  <si>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</si>
  <si>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</si>
  <si>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</si>
  <si>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</si>
  <si>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</si>
  <si>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</si>
  <si>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</si>
  <si>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</si>
  <si>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</si>
  <si>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</si>
  <si>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</si>
  <si>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</si>
  <si>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</si>
  <si>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</si>
  <si>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</si>
  <si>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</si>
  <si>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</si>
  <si>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</si>
  <si>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</si>
  <si>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</si>
  <si>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</si>
  <si>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</si>
  <si>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</si>
  <si>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</si>
  <si>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</si>
  <si>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</si>
  <si>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</si>
  <si>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</si>
  <si>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</si>
  <si>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</si>
  <si>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</si>
  <si>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</si>
  <si>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</si>
  <si>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</si>
  <si>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</si>
  <si>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</si>
  <si>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</si>
  <si>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</si>
  <si>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</si>
  <si>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</si>
  <si>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</si>
  <si>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</si>
  <si>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</si>
  <si>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</si>
  <si>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</si>
  <si>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</si>
  <si>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</si>
  <si>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</si>
  <si>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</si>
  <si>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</si>
  <si>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</si>
  <si>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</si>
  <si>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</si>
  <si>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</si>
  <si>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</si>
  <si>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</si>
  <si>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</si>
  <si>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</si>
  <si>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</si>
  <si>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</si>
  <si>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</si>
  <si>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</si>
  <si>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</si>
  <si>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</si>
  <si>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</si>
  <si>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</si>
  <si>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</si>
  <si>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</si>
  <si>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</si>
  <si>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</si>
  <si>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</si>
  <si>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</si>
  <si>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</si>
  <si>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</si>
  <si>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</si>
  <si>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</si>
  <si>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</si>
  <si>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</si>
  <si>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</si>
  <si>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</si>
  <si>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</si>
  <si>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</si>
  <si>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</si>
  <si>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</si>
  <si>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</si>
  <si>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</si>
  <si>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</si>
  <si>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</si>
  <si>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</si>
  <si>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</si>
  <si>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</si>
  <si>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</si>
  <si>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</si>
  <si>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</si>
  <si>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</si>
  <si>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</si>
  <si>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</si>
  <si>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</si>
  <si>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</si>
  <si>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</si>
  <si>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</si>
  <si>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</si>
  <si>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</si>
  <si>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</si>
  <si>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</si>
  <si>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</si>
  <si>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</si>
  <si>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</si>
  <si>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</si>
  <si>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</si>
  <si>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</si>
  <si>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</si>
  <si>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</si>
  <si>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</si>
  <si>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</si>
  <si>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</si>
  <si>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</si>
  <si>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</si>
  <si>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</si>
  <si>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</si>
  <si>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</si>
  <si>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</si>
  <si>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</si>
  <si>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</si>
  <si>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</si>
  <si>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</si>
  <si>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</si>
  <si>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</si>
  <si>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</si>
  <si>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</si>
  <si>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</si>
  <si>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</si>
  <si>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</si>
  <si>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</si>
  <si>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</si>
  <si>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</si>
  <si>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</si>
  <si>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</si>
  <si>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</si>
  <si>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</si>
  <si>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</si>
  <si>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</si>
  <si>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</si>
  <si>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</si>
  <si>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</si>
  <si>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</si>
  <si>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</si>
  <si>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</si>
  <si>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</si>
  <si>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</si>
  <si>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</si>
  <si>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</si>
  <si>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</si>
  <si>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</si>
  <si>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</si>
  <si>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</si>
  <si>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</si>
  <si>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</si>
  <si>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</si>
  <si>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</si>
  <si>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</si>
  <si>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</si>
  <si>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</si>
  <si>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</si>
  <si>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</si>
  <si>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</si>
  <si>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</si>
  <si>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</si>
  <si>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</si>
  <si>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</si>
  <si>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</si>
  <si>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</si>
  <si>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</si>
  <si>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</si>
  <si>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</si>
  <si>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</si>
  <si>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</si>
  <si>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</si>
  <si>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</si>
  <si>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</si>
  <si>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</si>
  <si>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</si>
  <si>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</si>
  <si>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</si>
  <si>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</si>
  <si>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</si>
  <si>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</si>
  <si>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</si>
  <si>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</si>
  <si>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</si>
  <si>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</si>
  <si>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</si>
  <si>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</si>
  <si>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</si>
  <si>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</si>
  <si>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</si>
  <si>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</si>
  <si>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</si>
  <si>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</si>
  <si>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</si>
  <si>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</si>
  <si>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</si>
  <si>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</si>
  <si>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</si>
  <si>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</si>
  <si>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</si>
  <si>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</si>
  <si>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</si>
  <si>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</si>
  <si>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</si>
  <si>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</si>
  <si>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</si>
  <si>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</si>
  <si>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</si>
  <si>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</si>
  <si>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</si>
  <si>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</si>
  <si>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</si>
  <si>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</si>
  <si>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</si>
  <si>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</si>
  <si>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</si>
  <si>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</si>
  <si>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</si>
  <si>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</si>
  <si>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</si>
  <si>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</si>
  <si>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</si>
  <si>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</si>
  <si>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</si>
  <si>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</si>
  <si>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</si>
  <si>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</si>
  <si>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</si>
  <si>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</si>
  <si>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</si>
  <si>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</si>
  <si>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</si>
  <si>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</si>
  <si>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</si>
  <si>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</si>
  <si>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</si>
  <si>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</si>
  <si>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</si>
  <si>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</si>
  <si>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</si>
  <si>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</si>
  <si>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</si>
  <si>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</si>
  <si>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</si>
  <si>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</si>
  <si>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</si>
  <si>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</si>
  <si>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</si>
  <si>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</si>
  <si>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</si>
  <si>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</si>
  <si>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</si>
  <si>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</si>
  <si>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</si>
  <si>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</si>
  <si>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</si>
  <si>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</si>
  <si>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</si>
  <si>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</si>
  <si>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</si>
  <si>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</si>
  <si>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</si>
  <si>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</si>
  <si>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</si>
  <si>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</si>
  <si>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</si>
  <si>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</si>
  <si>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</si>
  <si>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</si>
  <si>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</si>
  <si>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</si>
  <si>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</si>
  <si>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</si>
  <si>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</si>
  <si>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</si>
  <si>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</si>
  <si>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</si>
  <si>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</si>
  <si>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</si>
  <si>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</si>
  <si>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</si>
  <si>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</si>
  <si>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</si>
  <si>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</si>
  <si>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</si>
  <si>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</si>
  <si>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</si>
  <si>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</si>
  <si>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</si>
  <si>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</si>
  <si>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</si>
  <si>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</si>
  <si>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</si>
  <si>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</si>
  <si>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</si>
  <si>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</si>
  <si>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</si>
  <si>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</si>
  <si>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</si>
  <si>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</si>
  <si>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</si>
  <si>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</si>
  <si>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</si>
  <si>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</si>
  <si>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</si>
  <si>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</si>
  <si>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</si>
  <si>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</si>
  <si>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</si>
  <si>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</si>
  <si>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</si>
  <si>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</si>
  <si>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</si>
  <si>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</si>
  <si>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</si>
  <si>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</si>
  <si>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</si>
  <si>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</si>
  <si>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</si>
  <si>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</si>
  <si>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</si>
  <si>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</si>
  <si>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</si>
  <si>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</si>
  <si>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</si>
  <si>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</si>
  <si>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</si>
  <si>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</si>
  <si>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</si>
  <si>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</si>
  <si>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</si>
  <si>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</si>
  <si>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</si>
  <si>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</si>
  <si>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</si>
  <si>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</si>
  <si>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</si>
  <si>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</si>
  <si>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</si>
  <si>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</si>
  <si>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</si>
  <si>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</si>
  <si>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</si>
  <si>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</si>
  <si>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</si>
  <si>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</si>
  <si>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</si>
  <si>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</si>
  <si>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</si>
  <si>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</si>
  <si>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</si>
  <si>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</si>
  <si>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</si>
  <si>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</si>
  <si>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</si>
  <si>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</si>
  <si>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</si>
  <si>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</si>
  <si>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</si>
  <si>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</si>
  <si>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</si>
  <si>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</si>
  <si>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</si>
  <si>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</si>
  <si>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</si>
  <si>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</si>
  <si>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</si>
  <si>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</si>
  <si>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</si>
  <si>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</si>
  <si>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</si>
  <si>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</si>
  <si>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</si>
  <si>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</si>
  <si>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</si>
  <si>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</si>
  <si>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</si>
  <si>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</si>
  <si>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</si>
  <si>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</si>
  <si>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</si>
  <si>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</si>
  <si>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</si>
  <si>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</si>
  <si>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</si>
  <si>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</si>
  <si>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</si>
  <si>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</si>
  <si>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</si>
  <si>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</si>
  <si>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</si>
  <si>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</si>
  <si>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</si>
  <si>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</si>
  <si>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</si>
  <si>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</si>
  <si>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</si>
  <si>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</si>
  <si>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</si>
  <si>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</si>
  <si>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</si>
  <si>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</si>
  <si>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</si>
  <si>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</si>
  <si>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</si>
  <si>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</si>
  <si>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</si>
  <si>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</si>
  <si>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</si>
  <si>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</si>
  <si>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</si>
  <si>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</si>
  <si>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</si>
  <si>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</si>
  <si>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</si>
  <si>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</si>
  <si>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</si>
  <si>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</si>
  <si>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</si>
  <si>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</si>
  <si>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</si>
  <si>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</si>
  <si>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</si>
  <si>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</si>
  <si>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</si>
  <si>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</si>
  <si>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</si>
  <si>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</si>
  <si>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</si>
  <si>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</si>
  <si>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</si>
  <si>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</si>
  <si>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</si>
  <si>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</si>
  <si>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</si>
  <si>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</si>
  <si>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</si>
  <si>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</si>
  <si>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</si>
  <si>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</si>
  <si>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</si>
  <si>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</si>
  <si>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</si>
  <si>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</si>
  <si>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</si>
  <si>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</si>
  <si>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</si>
  <si>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</si>
  <si>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</si>
  <si>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</si>
  <si>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</si>
  <si>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</si>
  <si>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</si>
  <si>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</si>
  <si>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</si>
  <si>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</si>
  <si>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</si>
  <si>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</si>
  <si>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</si>
  <si>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</si>
  <si>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</si>
  <si>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</si>
  <si>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</si>
  <si>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</si>
  <si>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</si>
  <si>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</si>
  <si>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</si>
  <si>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</si>
  <si>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</si>
  <si>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</si>
  <si>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</si>
  <si>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</si>
  <si>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</si>
  <si>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</si>
  <si>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</si>
  <si>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</si>
  <si>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</si>
  <si>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</si>
  <si>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</si>
  <si>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</si>
  <si>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</si>
  <si>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</si>
  <si>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</si>
  <si>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</si>
  <si>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</si>
  <si>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</si>
  <si>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</si>
  <si>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</si>
  <si>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</si>
  <si>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</si>
  <si>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</si>
  <si>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</si>
  <si>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</si>
  <si>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</si>
  <si>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</si>
  <si>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</si>
  <si>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</si>
  <si>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</si>
  <si>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</si>
  <si>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</si>
  <si>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</si>
  <si>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</si>
  <si>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</si>
  <si>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</si>
  <si>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</si>
  <si>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</si>
  <si>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</si>
  <si>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</si>
  <si>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</si>
  <si>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</si>
  <si>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</si>
  <si>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</si>
  <si>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</si>
  <si>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</si>
  <si>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</si>
  <si>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</si>
  <si>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</si>
  <si>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</si>
  <si>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</si>
  <si>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</si>
  <si>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</si>
  <si>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</si>
  <si>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</si>
  <si>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</si>
  <si>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</si>
  <si>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</si>
  <si>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</si>
  <si>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</si>
  <si>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</si>
  <si>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</si>
  <si>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</si>
  <si>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</si>
  <si>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</si>
  <si>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</si>
  <si>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</si>
  <si>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</si>
  <si>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</si>
  <si>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</si>
  <si>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</si>
  <si>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</si>
  <si>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</si>
  <si>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</si>
  <si>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</si>
  <si>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</si>
  <si>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</si>
  <si>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</si>
  <si>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</si>
  <si>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</si>
  <si>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</si>
  <si>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</si>
  <si>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</si>
  <si>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</si>
  <si>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</si>
  <si>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</si>
  <si>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</si>
  <si>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</si>
  <si>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</si>
  <si>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</si>
  <si>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</si>
  <si>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</si>
  <si>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</si>
  <si>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</si>
  <si>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</si>
  <si>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</si>
  <si>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</si>
  <si>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</si>
  <si>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</si>
  <si>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</si>
  <si>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</si>
  <si>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</si>
  <si>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</si>
  <si>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</si>
  <si>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</si>
  <si>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</si>
  <si>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</si>
  <si>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</si>
  <si>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</si>
  <si>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</si>
  <si>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</si>
  <si>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</si>
  <si>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</si>
  <si>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</si>
  <si>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</si>
  <si>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</si>
  <si>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</si>
  <si>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</si>
  <si>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</si>
  <si>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</si>
  <si>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</si>
  <si>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</si>
  <si>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</si>
  <si>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</si>
  <si>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</si>
  <si>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</si>
  <si>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</si>
  <si>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</si>
  <si>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</si>
  <si>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</si>
  <si>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</si>
  <si>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</si>
  <si>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</si>
  <si>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</si>
  <si>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</si>
  <si>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</si>
  <si>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</si>
  <si>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</si>
  <si>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</si>
  <si>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</si>
  <si>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</si>
  <si>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</si>
  <si>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</si>
  <si>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</si>
  <si>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</si>
  <si>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</si>
  <si>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</si>
  <si>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</si>
  <si>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</si>
  <si>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</si>
  <si>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</si>
  <si>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</si>
  <si>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</si>
  <si>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</si>
  <si>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</si>
  <si>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</si>
  <si>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</si>
  <si>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</si>
  <si>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</si>
  <si>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</si>
  <si>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</si>
  <si>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</si>
  <si>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</si>
  <si>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</si>
  <si>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</si>
  <si>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</si>
  <si>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</si>
  <si>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</si>
  <si>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</si>
  <si>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</si>
  <si>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</si>
  <si>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</si>
  <si>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</si>
  <si>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</si>
  <si>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</si>
  <si>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</si>
  <si>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</si>
  <si>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</si>
  <si>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</si>
  <si>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</si>
  <si>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</si>
  <si>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</si>
  <si>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</si>
  <si>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</si>
  <si>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</si>
  <si>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</si>
  <si>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</si>
  <si>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</si>
  <si>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</si>
  <si>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</si>
  <si>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</si>
  <si>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</si>
  <si>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</si>
  <si>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</si>
  <si>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</si>
  <si>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</si>
  <si>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</si>
  <si>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</si>
  <si>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</si>
  <si>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</si>
  <si>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</si>
  <si>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</si>
  <si>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</si>
  <si>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</si>
  <si>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</si>
  <si>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</si>
  <si>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</si>
  <si>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</si>
  <si>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</si>
  <si>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</si>
  <si>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</si>
  <si>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</si>
  <si>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</si>
  <si>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</si>
  <si>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</si>
  <si>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</si>
  <si>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</si>
  <si>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</si>
  <si>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</si>
  <si>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</si>
  <si>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</si>
  <si>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</si>
  <si>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</si>
  <si>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</si>
  <si>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</si>
  <si>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</si>
  <si>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</si>
  <si>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</si>
  <si>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</si>
  <si>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</si>
  <si>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</si>
  <si>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</si>
  <si>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</si>
  <si>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</si>
  <si>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</si>
  <si>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</si>
  <si>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</si>
  <si>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</si>
  <si>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</si>
  <si>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</si>
  <si>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</si>
  <si>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</si>
  <si>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</si>
  <si>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</si>
  <si>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</si>
  <si>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</si>
  <si>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</si>
  <si>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</si>
  <si>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</si>
  <si>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</si>
  <si>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</si>
  <si>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</si>
  <si>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</si>
  <si>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</si>
  <si>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</si>
  <si>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</si>
  <si>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</si>
  <si>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</si>
  <si>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</si>
  <si>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</si>
  <si>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</si>
  <si>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</si>
  <si>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</si>
  <si>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</si>
  <si>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</si>
  <si>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</si>
  <si>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</si>
  <si>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</si>
  <si>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</si>
  <si>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</si>
  <si>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</si>
  <si>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</si>
  <si>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</si>
  <si>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</si>
  <si>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</si>
  <si>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</si>
  <si>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</si>
  <si>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</si>
  <si>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</si>
  <si>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</si>
  <si>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</si>
  <si>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</si>
  <si>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</si>
  <si>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</si>
  <si>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</si>
  <si>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</si>
  <si>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</si>
  <si>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</si>
  <si>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</si>
  <si>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</si>
  <si>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</si>
  <si>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</si>
  <si>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</si>
  <si>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</si>
  <si>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</si>
  <si>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</si>
  <si>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</si>
  <si>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</si>
  <si>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</si>
  <si>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</si>
  <si>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</si>
  <si>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</si>
  <si>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</si>
  <si>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</si>
  <si>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</si>
  <si>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</si>
  <si>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</si>
  <si>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</si>
  <si>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</si>
  <si>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</si>
  <si>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</si>
  <si>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</si>
  <si>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</si>
  <si>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</si>
  <si>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</si>
  <si>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</si>
  <si>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</si>
  <si>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</si>
  <si>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</si>
  <si>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</si>
  <si>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</si>
  <si>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</si>
  <si>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</si>
  <si>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</si>
  <si>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</si>
  <si>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</si>
  <si>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</si>
  <si>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</si>
  <si>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</si>
  <si>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</si>
  <si>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</si>
  <si>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</si>
  <si>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</si>
  <si>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</si>
  <si>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</si>
  <si>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</si>
  <si>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</si>
  <si>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</si>
  <si>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</si>
  <si>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</si>
  <si>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</si>
  <si>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</si>
  <si>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</si>
  <si>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</si>
  <si>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</si>
  <si>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</si>
  <si>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</si>
  <si>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</si>
  <si>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</si>
  <si>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</si>
  <si>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</si>
  <si>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</si>
  <si>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</si>
  <si>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</si>
  <si>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</si>
  <si>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</si>
  <si>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</si>
  <si>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</si>
  <si>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</si>
  <si>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</si>
  <si>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</si>
  <si>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</si>
  <si>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</si>
  <si>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</si>
  <si>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</si>
  <si>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</si>
  <si>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</si>
  <si>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</si>
  <si>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</si>
  <si>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</si>
  <si>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</si>
  <si>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</si>
  <si>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</si>
  <si>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</si>
  <si>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</si>
  <si>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</si>
  <si>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</si>
  <si>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</si>
  <si>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</si>
  <si>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</si>
  <si>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</si>
  <si>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</si>
  <si>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</si>
  <si>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</si>
  <si>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</si>
  <si>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</si>
  <si>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</si>
  <si>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</si>
  <si>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</si>
  <si>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</si>
  <si>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</si>
  <si>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</si>
  <si>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</si>
  <si>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</si>
  <si>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</si>
  <si>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</si>
  <si>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</si>
  <si>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</si>
  <si>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</si>
  <si>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</si>
  <si>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</si>
  <si>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</si>
  <si>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</si>
  <si>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</si>
  <si>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</si>
  <si>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</si>
  <si>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</si>
  <si>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</si>
  <si>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</si>
  <si>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</si>
  <si>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</si>
  <si>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</si>
  <si>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</si>
  <si>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</si>
  <si>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</si>
  <si>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</si>
  <si>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</si>
  <si>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</si>
  <si>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</si>
  <si>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</si>
  <si>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</si>
  <si>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</si>
  <si>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</si>
  <si>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</si>
  <si>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</si>
  <si>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</si>
  <si>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</si>
  <si>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</si>
  <si>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</si>
  <si>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</si>
  <si>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</si>
  <si>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</si>
  <si>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</si>
  <si>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</si>
  <si>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</si>
  <si>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</si>
  <si>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</si>
  <si>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</si>
  <si>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</si>
  <si>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</si>
  <si>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</si>
  <si>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</si>
  <si>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</si>
  <si>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</si>
  <si>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</si>
  <si>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</si>
  <si>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</si>
  <si>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</si>
  <si>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</si>
  <si>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</si>
  <si>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</si>
  <si>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</si>
  <si>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</si>
  <si>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</si>
  <si>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</si>
  <si>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</si>
  <si>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</si>
  <si>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</si>
  <si>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</si>
  <si>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</si>
  <si>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</si>
  <si>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</si>
  <si>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</si>
  <si>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</si>
  <si>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</si>
  <si>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</si>
  <si>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</si>
  <si>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</si>
  <si>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</si>
  <si>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</si>
  <si>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</si>
  <si>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</si>
  <si>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</si>
  <si>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</si>
  <si>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</si>
  <si>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</si>
  <si>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</si>
  <si>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</si>
  <si>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</si>
  <si>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</si>
  <si>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</si>
  <si>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</si>
  <si>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</si>
  <si>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</si>
  <si>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</si>
  <si>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</si>
  <si>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</si>
  <si>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</si>
  <si>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</si>
  <si>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</si>
  <si>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</si>
  <si>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</si>
  <si>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</si>
  <si>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</si>
  <si>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</si>
  <si>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</si>
  <si>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</si>
  <si>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</si>
  <si>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</si>
  <si>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</si>
  <si>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</si>
  <si>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</si>
  <si>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</si>
  <si>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</si>
  <si>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</si>
  <si>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</si>
  <si>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</si>
  <si>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</si>
  <si>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</si>
  <si>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</si>
  <si>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</si>
  <si>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</si>
  <si>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</si>
  <si>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</si>
  <si>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</si>
  <si>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</si>
  <si>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</si>
  <si>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</si>
  <si>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</si>
  <si>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</si>
  <si>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</si>
  <si>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</si>
  <si>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</si>
  <si>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</si>
  <si>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</si>
  <si>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</si>
  <si>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</si>
  <si>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</si>
  <si>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</si>
  <si>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</si>
  <si>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</si>
  <si>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</si>
  <si>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</si>
  <si>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</si>
  <si>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</si>
  <si>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</si>
  <si>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</si>
  <si>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</si>
  <si>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</si>
  <si>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</si>
  <si>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</si>
  <si>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</si>
  <si>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</si>
  <si>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</si>
  <si>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</si>
  <si>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</si>
  <si>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</si>
  <si>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</si>
  <si>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</si>
  <si>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</si>
  <si>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</si>
  <si>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</si>
  <si>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</si>
  <si>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</si>
  <si>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</si>
  <si>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</si>
  <si>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</si>
  <si>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</si>
  <si>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</si>
  <si>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</si>
  <si>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</si>
  <si>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</si>
  <si>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</si>
  <si>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</si>
  <si>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</si>
  <si>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</si>
  <si>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</si>
  <si>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</si>
  <si>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</si>
  <si>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</si>
  <si>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</si>
  <si>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</si>
  <si>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</si>
  <si>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</si>
  <si>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</si>
  <si>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</si>
  <si>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</si>
  <si>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</si>
  <si>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</si>
  <si>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</si>
  <si>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</si>
  <si>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</si>
  <si>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</si>
  <si>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</si>
  <si>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</si>
  <si>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</si>
  <si>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</si>
  <si>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</si>
  <si>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</si>
  <si>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</si>
  <si>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</si>
  <si>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</si>
  <si>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</si>
  <si>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</si>
  <si>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</si>
  <si>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</si>
  <si>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</si>
  <si>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</si>
  <si>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</si>
  <si>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</si>
  <si>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</si>
  <si>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</si>
  <si>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</si>
  <si>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</si>
  <si>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</si>
  <si>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</si>
  <si>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</si>
  <si>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</si>
  <si>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</si>
  <si>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</si>
  <si>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</si>
  <si>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</si>
  <si>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</si>
  <si>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</si>
  <si>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</si>
  <si>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</si>
  <si>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</si>
  <si>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</si>
  <si>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</si>
  <si>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</si>
  <si>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</si>
  <si>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</si>
  <si>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</si>
  <si>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</si>
  <si>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</si>
  <si>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</si>
  <si>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</si>
  <si>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</si>
  <si>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</si>
  <si>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</si>
  <si>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</si>
  <si>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</si>
  <si>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</si>
  <si>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</si>
  <si>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</si>
  <si>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</si>
  <si>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</si>
  <si>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</si>
  <si>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</si>
  <si>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</si>
  <si>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</si>
  <si>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</si>
  <si>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</si>
  <si>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</si>
  <si>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</si>
  <si>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</si>
  <si>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</si>
  <si>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</si>
  <si>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</si>
  <si>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</si>
  <si>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</si>
  <si>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</si>
  <si>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</si>
  <si>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</si>
  <si>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</si>
  <si>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</si>
  <si>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</si>
  <si>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</si>
  <si>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</si>
  <si>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</si>
  <si>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</si>
  <si>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</si>
  <si>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</si>
  <si>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</si>
  <si>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</si>
  <si>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</si>
  <si>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</si>
  <si>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</si>
  <si>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</si>
  <si>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</si>
  <si>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</si>
  <si>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</si>
  <si>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</si>
  <si>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</si>
  <si>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</si>
  <si>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</si>
  <si>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</si>
  <si>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</si>
  <si>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</si>
  <si>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</si>
  <si>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</si>
  <si>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</si>
  <si>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</si>
  <si>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</si>
  <si>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</si>
  <si>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</si>
  <si>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</si>
  <si>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</si>
  <si>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</si>
  <si>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</si>
  <si>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</si>
  <si>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</si>
  <si>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</si>
  <si>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</si>
  <si>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</si>
  <si>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</si>
  <si>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</si>
  <si>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</si>
  <si>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</si>
  <si>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</si>
  <si>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</si>
  <si>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</si>
  <si>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</si>
  <si>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</si>
  <si>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</si>
  <si>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</si>
  <si>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</si>
  <si>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</si>
  <si>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</si>
  <si>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</si>
  <si>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</si>
  <si>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</si>
  <si>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</si>
  <si>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</si>
  <si>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</si>
  <si>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</si>
  <si>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</si>
  <si>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</si>
  <si>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</si>
  <si>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</si>
  <si>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</si>
  <si>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</si>
  <si>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</si>
  <si>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</si>
  <si>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</si>
  <si>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</si>
  <si>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</si>
  <si>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</si>
  <si>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</si>
  <si>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</si>
  <si>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</si>
  <si>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</si>
  <si>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</si>
  <si>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</si>
  <si>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</si>
  <si>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</si>
  <si>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</si>
  <si>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</si>
  <si>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</si>
  <si>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</si>
  <si>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</si>
  <si>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</si>
  <si>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</si>
  <si>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</si>
  <si>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</si>
  <si>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</si>
  <si>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</si>
  <si>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</si>
  <si>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</si>
  <si>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</si>
  <si>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</si>
  <si>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</si>
  <si>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</si>
  <si>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</si>
  <si>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</si>
  <si>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</si>
  <si>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</si>
  <si>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</si>
  <si>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</si>
  <si>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</si>
  <si>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</si>
  <si>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</si>
  <si>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</si>
  <si>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</si>
  <si>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</si>
  <si>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</si>
  <si>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</si>
  <si>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</si>
  <si>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</si>
  <si>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</si>
  <si>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</si>
  <si>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</si>
  <si>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</si>
  <si>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</si>
  <si>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</si>
  <si>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</si>
  <si>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</si>
  <si>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</si>
  <si>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</si>
  <si>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</si>
  <si>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</si>
  <si>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</si>
  <si>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</si>
  <si>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</si>
  <si>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</si>
  <si>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</si>
  <si>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</si>
  <si>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</si>
  <si>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</si>
  <si>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</si>
  <si>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</si>
  <si>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</si>
  <si>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</si>
  <si>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</si>
  <si>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</si>
  <si>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</si>
  <si>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</si>
  <si>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</si>
  <si>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</si>
  <si>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</si>
  <si>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</si>
  <si>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</si>
  <si>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</si>
  <si>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</si>
  <si>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</si>
  <si>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</si>
  <si>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</si>
  <si>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</si>
  <si>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</si>
  <si>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</si>
  <si>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</si>
  <si>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</si>
  <si>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</si>
  <si>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</si>
  <si>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</si>
  <si>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</si>
  <si>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</si>
  <si>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</si>
  <si>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</si>
  <si>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</si>
  <si>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</si>
  <si>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</si>
  <si>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</si>
  <si>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</si>
  <si>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</si>
  <si>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</si>
  <si>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</si>
  <si>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</si>
  <si>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</si>
  <si>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</si>
  <si>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</si>
  <si>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</si>
  <si>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</si>
  <si>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</si>
  <si>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</si>
  <si>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</si>
  <si>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</si>
  <si>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</si>
  <si>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</si>
  <si>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</si>
  <si>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</si>
  <si>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</si>
  <si>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</si>
  <si>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</si>
  <si>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</si>
  <si>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</si>
  <si>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</si>
  <si>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</si>
  <si>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</si>
  <si>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</si>
  <si>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</si>
  <si>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</si>
  <si>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</si>
  <si>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</si>
  <si>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</si>
  <si>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</si>
  <si>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</si>
  <si>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</si>
  <si>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</si>
  <si>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</si>
  <si>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</si>
  <si>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</si>
  <si>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</si>
  <si>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</si>
  <si>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</si>
  <si>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</si>
  <si>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</si>
  <si>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</si>
  <si>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</si>
  <si>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</si>
  <si>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</si>
  <si>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</si>
  <si>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</si>
  <si>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</si>
  <si>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</si>
  <si>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</si>
  <si>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</si>
  <si>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</si>
  <si>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</si>
  <si>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</si>
  <si>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</si>
  <si>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</si>
  <si>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</si>
  <si>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</si>
  <si>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</si>
  <si>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</si>
  <si>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</si>
  <si>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</si>
  <si>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</si>
  <si>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</si>
  <si>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</si>
  <si>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</si>
  <si>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</si>
  <si>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</si>
  <si>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</si>
  <si>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</si>
  <si>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</si>
  <si>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</si>
  <si>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</si>
  <si>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</si>
  <si>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</si>
  <si>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</si>
  <si>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</si>
  <si>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</si>
  <si>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</si>
  <si>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</si>
  <si>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</si>
  <si>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</si>
  <si>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</si>
  <si>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</si>
  <si>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</si>
  <si>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</si>
  <si>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</si>
  <si>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</si>
  <si>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</si>
  <si>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</si>
  <si>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</si>
  <si>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</si>
  <si>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</si>
  <si>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</si>
  <si>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</si>
  <si>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</si>
  <si>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</si>
  <si>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</si>
  <si>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</si>
  <si>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</si>
  <si>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</si>
  <si>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</si>
  <si>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</si>
  <si>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</si>
  <si>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</si>
  <si>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</si>
  <si>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</si>
  <si>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</si>
  <si>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</si>
  <si>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</si>
  <si>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</si>
  <si>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</si>
  <si>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</si>
  <si>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</si>
  <si>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</si>
  <si>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</si>
  <si>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</si>
  <si>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</si>
  <si>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</si>
  <si>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</si>
  <si>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</si>
  <si>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</si>
  <si>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</si>
  <si>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</si>
  <si>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</si>
  <si>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</si>
  <si>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</si>
  <si>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</si>
  <si>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</si>
  <si>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</si>
  <si>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</si>
  <si>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</si>
  <si>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</si>
  <si>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</si>
  <si>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</si>
  <si>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</si>
  <si>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</si>
  <si>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</si>
  <si>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</si>
  <si>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</si>
  <si>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</si>
  <si>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</si>
  <si>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</si>
  <si>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</si>
  <si>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</si>
  <si>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</si>
  <si>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</si>
  <si>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</si>
  <si>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</si>
  <si>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</si>
  <si>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</si>
  <si>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</si>
  <si>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</si>
  <si>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</si>
  <si>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</si>
  <si>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</si>
  <si>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</si>
  <si>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</si>
  <si>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</si>
  <si>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</si>
  <si>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</si>
  <si>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</si>
  <si>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</si>
  <si>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</si>
  <si>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</si>
  <si>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</si>
  <si>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</si>
  <si>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</si>
  <si>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</si>
  <si>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</si>
  <si>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</si>
  <si>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</si>
  <si>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</si>
  <si>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</si>
  <si>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</si>
  <si>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</si>
  <si>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</si>
  <si>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</si>
  <si>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</si>
  <si>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</si>
  <si>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</si>
  <si>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</si>
  <si>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</si>
  <si>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</si>
  <si>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</si>
  <si>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</si>
  <si>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</si>
  <si>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</si>
  <si>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</si>
  <si>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</si>
  <si>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</si>
  <si>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</si>
  <si>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</si>
  <si>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</si>
  <si>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</si>
  <si>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</si>
  <si>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</si>
  <si>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</si>
  <si>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</si>
  <si>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</si>
  <si>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</si>
  <si>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</si>
  <si>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</si>
  <si>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</si>
  <si>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</si>
  <si>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</si>
  <si>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</si>
  <si>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</si>
  <si>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</si>
  <si>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</si>
  <si>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</si>
  <si>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</si>
  <si>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</si>
  <si>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</si>
  <si>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</si>
  <si>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</si>
  <si>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</si>
  <si>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</si>
  <si>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</si>
  <si>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</si>
  <si>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</si>
  <si>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</si>
  <si>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</si>
  <si>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</si>
  <si>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</si>
  <si>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</si>
  <si>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</si>
  <si>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</si>
  <si>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</si>
  <si>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</si>
  <si>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</si>
  <si>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</si>
  <si>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</si>
  <si>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</si>
  <si>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</si>
  <si>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</si>
  <si>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</si>
  <si>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</si>
  <si>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</si>
  <si>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</si>
  <si>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</si>
  <si>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</si>
  <si>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</si>
  <si>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</si>
  <si>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</si>
  <si>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</si>
  <si>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</si>
  <si>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</si>
  <si>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</si>
  <si>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</si>
  <si>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</si>
  <si>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</si>
  <si>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</si>
  <si>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</si>
  <si>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</si>
  <si>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</si>
  <si>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</si>
  <si>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</si>
  <si>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</si>
  <si>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</si>
  <si>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</si>
  <si>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</si>
  <si>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</si>
  <si>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</si>
  <si>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</si>
  <si>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</si>
  <si>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</si>
  <si>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</si>
  <si>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</si>
  <si>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</si>
  <si>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</si>
  <si>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</si>
  <si>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</si>
  <si>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</si>
  <si>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</si>
  <si>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</si>
  <si>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</si>
  <si>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</si>
  <si>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</si>
  <si>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</si>
  <si>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</si>
  <si>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</si>
  <si>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</si>
  <si>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</si>
  <si>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</si>
  <si>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</si>
  <si>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</si>
  <si>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</si>
  <si>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</si>
  <si>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</si>
  <si>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</si>
  <si>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</si>
  <si>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</si>
  <si>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</si>
  <si>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</si>
  <si>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</si>
  <si>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</si>
  <si>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</si>
  <si>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</si>
  <si>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</si>
  <si>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</si>
  <si>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</si>
  <si>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</si>
  <si>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</si>
  <si>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</si>
  <si>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</si>
  <si>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</si>
  <si>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</si>
  <si>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</si>
  <si>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</si>
  <si>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</si>
  <si>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</si>
  <si>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</si>
  <si>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</si>
  <si>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</si>
  <si>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</si>
  <si>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</si>
  <si>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</si>
  <si>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</si>
  <si>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</si>
  <si>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</si>
  <si>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</si>
  <si>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</si>
  <si>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</si>
  <si>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</si>
  <si>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</si>
  <si>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</si>
  <si>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</si>
  <si>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</si>
  <si>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</si>
  <si>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</si>
  <si>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</si>
  <si>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</si>
  <si>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</si>
  <si>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</si>
  <si>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</si>
  <si>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</si>
  <si>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</si>
  <si>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</si>
  <si>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</si>
  <si>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</si>
  <si>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</si>
  <si>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</si>
  <si>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</si>
  <si>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</si>
  <si>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</si>
  <si>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</si>
  <si>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</si>
  <si>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</si>
  <si>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</si>
  <si>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</si>
  <si>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</si>
  <si>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</si>
  <si>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</si>
  <si>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</si>
  <si>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</si>
  <si>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</si>
  <si>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</si>
  <si>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</si>
  <si>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</si>
  <si>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</si>
  <si>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</si>
  <si>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</si>
  <si>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</si>
  <si>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</si>
  <si>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</si>
  <si>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</si>
  <si>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</si>
  <si>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</si>
  <si>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</si>
  <si>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</si>
  <si>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</si>
  <si>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</si>
  <si>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</si>
  <si>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</si>
  <si>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</si>
  <si>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</si>
  <si>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</si>
  <si>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</si>
  <si>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</si>
  <si>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</si>
  <si>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</si>
  <si>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</si>
  <si>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</si>
  <si>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</si>
  <si>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</si>
  <si>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</si>
  <si>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</si>
  <si>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</si>
  <si>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</si>
  <si>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</si>
  <si>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</si>
  <si>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</si>
  <si>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</si>
  <si>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</si>
  <si>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</si>
  <si>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</si>
  <si>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</si>
  <si>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</si>
  <si>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</si>
  <si>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</si>
  <si>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</si>
  <si>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</si>
  <si>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</si>
  <si>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</si>
  <si>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</si>
  <si>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</si>
  <si>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</si>
  <si>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</si>
  <si>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</si>
  <si>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</si>
  <si>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</si>
  <si>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</si>
  <si>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</si>
  <si>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</si>
  <si>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</si>
  <si>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</si>
  <si>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</si>
  <si>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</si>
  <si>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</si>
  <si>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</si>
  <si>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</si>
  <si>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</si>
  <si>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</si>
  <si>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</si>
  <si>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</si>
  <si>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</si>
  <si>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</si>
  <si>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</si>
  <si>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</si>
  <si>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</si>
  <si>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</si>
  <si>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</si>
  <si>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</si>
  <si>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</si>
  <si>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</si>
  <si>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</si>
  <si>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</si>
  <si>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</si>
  <si>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</si>
  <si>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</si>
  <si>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</si>
  <si>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</si>
  <si>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</si>
  <si>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</si>
  <si>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</si>
  <si>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</si>
  <si>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</si>
  <si>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</si>
  <si>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</si>
  <si>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</si>
  <si>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</si>
  <si>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</si>
  <si>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</si>
  <si>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</si>
  <si>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</si>
  <si>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</si>
  <si>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</si>
  <si>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</si>
  <si>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</si>
  <si>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</si>
  <si>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</si>
  <si>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</si>
  <si>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</si>
  <si>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</si>
  <si>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</si>
  <si>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</si>
  <si>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</si>
  <si>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</si>
  <si>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</si>
  <si>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</si>
  <si>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</si>
  <si>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</si>
  <si>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</si>
  <si>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</si>
  <si>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</si>
  <si>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</si>
  <si>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</si>
  <si>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</si>
  <si>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</si>
  <si>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</si>
  <si>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</si>
  <si>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</si>
  <si>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</si>
  <si>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</si>
  <si>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</si>
  <si>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</si>
  <si>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</si>
  <si>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</si>
  <si>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</si>
  <si>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</si>
  <si>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</si>
  <si>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</si>
  <si>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</si>
  <si>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</si>
  <si>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</si>
  <si>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</si>
  <si>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</si>
  <si>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</si>
  <si>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</si>
  <si>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</si>
  <si>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</si>
  <si>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</si>
  <si>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</si>
  <si>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</si>
  <si>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</si>
  <si>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</si>
  <si>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</si>
  <si>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</si>
  <si>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</si>
  <si>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</si>
  <si>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</si>
  <si>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</si>
  <si>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</si>
  <si>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</si>
  <si>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</si>
  <si>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</si>
  <si>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</si>
  <si>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</si>
  <si>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</si>
  <si>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</si>
  <si>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</si>
  <si>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</si>
  <si>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</si>
  <si>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</si>
  <si>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</si>
  <si>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</si>
  <si>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</si>
  <si>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</si>
  <si>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</si>
  <si>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</si>
  <si>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</si>
  <si>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</si>
  <si>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</si>
  <si>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</si>
  <si>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</si>
  <si>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</si>
  <si>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</si>
  <si>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</si>
  <si>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</si>
  <si>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</si>
  <si>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</si>
  <si>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</si>
  <si>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</si>
  <si>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</si>
  <si>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</si>
  <si>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</si>
  <si>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</si>
  <si>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</si>
  <si>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</si>
  <si>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</si>
  <si>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</si>
  <si>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</si>
  <si>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</si>
  <si>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</si>
  <si>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</si>
  <si>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</si>
  <si>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</si>
  <si>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</si>
  <si>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</si>
  <si>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</si>
  <si>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</si>
  <si>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</si>
  <si>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</si>
  <si>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</si>
  <si>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</si>
  <si>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</si>
  <si>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</si>
  <si>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</si>
  <si>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</si>
  <si>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</si>
  <si>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</si>
  <si>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</si>
  <si>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</si>
  <si>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</si>
  <si>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</si>
  <si>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</si>
  <si>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</si>
  <si>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</si>
  <si>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</si>
  <si>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</si>
  <si>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</si>
  <si>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</si>
  <si>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</si>
  <si>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</si>
  <si>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</si>
  <si>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</si>
  <si>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</si>
  <si>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</si>
  <si>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</si>
  <si>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</si>
  <si>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</si>
  <si>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</si>
  <si>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</si>
  <si>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</si>
  <si>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</si>
  <si>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</si>
  <si>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</si>
  <si>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</si>
  <si>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</si>
  <si>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</si>
  <si>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</si>
  <si>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</si>
  <si>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</si>
  <si>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</si>
  <si>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</si>
  <si>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</si>
  <si>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</si>
  <si>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</si>
  <si>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</si>
  <si>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</si>
  <si>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</si>
  <si>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</si>
  <si>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</si>
  <si>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</si>
  <si>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</si>
  <si>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</si>
  <si>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</si>
  <si>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</si>
  <si>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</si>
  <si>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</si>
  <si>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</si>
  <si>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</si>
  <si>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</si>
  <si>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</si>
  <si>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</si>
  <si>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</si>
  <si>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</si>
  <si>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</si>
  <si>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</si>
  <si>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</si>
  <si>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</si>
  <si>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</si>
  <si>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</si>
  <si>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</si>
  <si>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</si>
  <si>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</si>
  <si>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</si>
  <si>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</si>
  <si>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</si>
  <si>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</si>
  <si>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</si>
  <si>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</si>
  <si>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</si>
  <si>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</si>
  <si>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</si>
  <si>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</si>
  <si>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</si>
  <si>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</si>
  <si>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</si>
  <si>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</si>
  <si>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</si>
  <si>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</si>
  <si>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</si>
  <si>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</si>
  <si>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</si>
  <si>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</si>
  <si>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</si>
  <si>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</si>
  <si>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</si>
  <si>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</si>
  <si>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</si>
  <si>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</si>
  <si>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</si>
  <si>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</si>
  <si>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</si>
  <si>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</si>
  <si>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</si>
  <si>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</si>
  <si>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</si>
  <si>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</si>
  <si>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</si>
  <si>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</si>
  <si>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</si>
  <si>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</si>
  <si>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</si>
  <si>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</si>
  <si>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</si>
  <si>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</si>
  <si>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</si>
  <si>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</si>
  <si>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</si>
  <si>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</si>
  <si>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</si>
  <si>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</si>
  <si>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</si>
  <si>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</si>
  <si>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</si>
  <si>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</si>
  <si>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</si>
  <si>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</si>
  <si>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</si>
  <si>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</si>
  <si>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</si>
  <si>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</si>
  <si>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</si>
  <si>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</si>
  <si>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</si>
  <si>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</si>
  <si>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</si>
  <si>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</si>
  <si>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</si>
  <si>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</si>
  <si>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</si>
  <si>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</si>
  <si>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</si>
  <si>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</si>
  <si>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</si>
  <si>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</si>
  <si>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</si>
  <si>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</si>
  <si>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</si>
  <si>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</si>
  <si>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</si>
  <si>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</si>
  <si>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</si>
  <si>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</si>
  <si>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</si>
  <si>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</si>
  <si>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</si>
  <si>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</si>
  <si>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</si>
  <si>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</si>
  <si>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</si>
  <si>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</si>
  <si>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</si>
  <si>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</si>
  <si>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</si>
  <si>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</si>
  <si>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</si>
  <si>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</si>
  <si>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</si>
  <si>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</si>
  <si>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</si>
  <si>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</si>
  <si>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</si>
  <si>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</si>
  <si>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</si>
  <si>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</si>
  <si>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</si>
  <si>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</si>
  <si>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</si>
  <si>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</si>
  <si>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</si>
  <si>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</si>
  <si>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</si>
  <si>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</si>
  <si>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</si>
  <si>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</si>
  <si>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</si>
  <si>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</si>
  <si>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</si>
  <si>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</si>
  <si>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</si>
  <si>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</si>
  <si>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</si>
  <si>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</si>
  <si>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</si>
  <si>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</si>
  <si>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</si>
  <si>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</si>
  <si>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</si>
  <si>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</si>
  <si>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</si>
  <si>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</si>
  <si>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</si>
  <si>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</si>
  <si>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</si>
  <si>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</si>
  <si>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</si>
  <si>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</si>
  <si>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</si>
  <si>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</si>
  <si>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</si>
  <si>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</si>
  <si>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</si>
  <si>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</si>
  <si>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</si>
  <si>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</si>
  <si>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</si>
  <si>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</si>
  <si>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</si>
  <si>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</si>
  <si>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</si>
  <si>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</si>
  <si>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</si>
  <si>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</si>
  <si>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</si>
  <si>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</si>
  <si>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</si>
  <si>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</si>
  <si>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</si>
  <si>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</si>
  <si>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</si>
  <si>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</si>
  <si>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</si>
  <si>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</si>
  <si>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</si>
  <si>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</si>
  <si>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</si>
  <si>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</si>
  <si>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</si>
  <si>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</si>
  <si>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</si>
  <si>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</si>
  <si>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</si>
  <si>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</si>
  <si>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</si>
  <si>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</si>
  <si>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</si>
  <si>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</si>
  <si>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</si>
  <si>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</si>
  <si>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</si>
  <si>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</si>
  <si>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</si>
  <si>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</si>
  <si>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</si>
  <si>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</si>
  <si>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</si>
  <si>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</si>
  <si>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</si>
  <si>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</si>
  <si>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</si>
  <si>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</si>
  <si>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</si>
  <si>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</si>
  <si>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</si>
  <si>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</si>
  <si>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</si>
  <si>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</si>
  <si>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</si>
  <si>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</si>
  <si>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</si>
  <si>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</si>
  <si>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</si>
  <si>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</si>
  <si>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</si>
  <si>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</si>
  <si>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</si>
  <si>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</si>
  <si>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</si>
  <si>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</si>
  <si>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</si>
  <si>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</si>
  <si>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</si>
  <si>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</si>
  <si>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</si>
  <si>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</si>
  <si>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</si>
  <si>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</si>
  <si>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</si>
  <si>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</si>
  <si>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</si>
  <si>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</si>
  <si>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</si>
  <si>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</si>
  <si>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</si>
  <si>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</si>
  <si>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</si>
  <si>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</si>
  <si>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</si>
  <si>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</si>
  <si>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</si>
  <si>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</si>
  <si>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</si>
  <si>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</si>
  <si>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</si>
  <si>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</si>
  <si>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</si>
  <si>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</si>
  <si>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</si>
  <si>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</si>
  <si>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</si>
  <si>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</si>
  <si>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</si>
  <si>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</si>
  <si>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</si>
  <si>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</si>
  <si>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</si>
  <si>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</si>
  <si>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</si>
  <si>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</si>
  <si>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</si>
  <si>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</si>
  <si>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</si>
  <si>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</si>
  <si>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</si>
  <si>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</si>
  <si>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</si>
  <si>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</si>
  <si>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</si>
  <si>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</si>
  <si>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</si>
  <si>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</si>
  <si>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</si>
  <si>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</si>
  <si>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</si>
  <si>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</si>
  <si>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</si>
  <si>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</si>
  <si>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</si>
  <si>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</si>
  <si>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</si>
  <si>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</si>
  <si>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</si>
  <si>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</si>
  <si>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</si>
  <si>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</si>
  <si>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</si>
  <si>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</si>
  <si>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</si>
  <si>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</si>
  <si>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</si>
  <si>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</si>
  <si>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</si>
  <si>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</si>
  <si>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</si>
  <si>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</si>
  <si>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</si>
  <si>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</si>
  <si>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</si>
  <si>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</si>
  <si>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</si>
  <si>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</si>
  <si>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</si>
  <si>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</si>
  <si>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</si>
  <si>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</si>
  <si>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</si>
  <si>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</si>
  <si>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</si>
  <si>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</si>
  <si>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</si>
  <si>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</si>
  <si>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</si>
  <si>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</si>
  <si>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</si>
  <si>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</si>
  <si>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</si>
  <si>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</si>
  <si>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</si>
  <si>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</si>
  <si>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</si>
  <si>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</si>
  <si>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</si>
  <si>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</si>
  <si>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</si>
  <si>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</si>
  <si>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</si>
  <si>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</si>
  <si>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</si>
  <si>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</si>
  <si>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</si>
  <si>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</si>
  <si>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</si>
  <si>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</si>
  <si>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</si>
  <si>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</si>
  <si>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</si>
  <si>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</si>
  <si>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</si>
  <si>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</si>
  <si>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</si>
  <si>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</si>
  <si>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</si>
  <si>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</si>
  <si>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</si>
  <si>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</si>
  <si>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</si>
  <si>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</si>
  <si>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</si>
  <si>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</si>
  <si>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</si>
  <si>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</si>
  <si>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</si>
  <si>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</si>
  <si>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</si>
  <si>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</si>
  <si>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</si>
  <si>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</si>
  <si>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</si>
  <si>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</si>
  <si>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</si>
  <si>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</si>
  <si>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</si>
  <si>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</si>
  <si>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</si>
  <si>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</si>
  <si>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</si>
  <si>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</si>
  <si>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</si>
  <si>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</si>
  <si>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</si>
  <si>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</si>
  <si>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</si>
  <si>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</si>
  <si>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</si>
  <si>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</si>
  <si>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</si>
  <si>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</si>
  <si>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</si>
  <si>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</si>
  <si>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</si>
  <si>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</si>
  <si>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</si>
  <si>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</si>
  <si>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</si>
  <si>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</si>
  <si>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</si>
  <si>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</si>
  <si>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</si>
  <si>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</si>
  <si>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</si>
  <si>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</si>
  <si>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</si>
  <si>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</si>
  <si>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</si>
  <si>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</si>
  <si>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</si>
  <si>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</si>
  <si>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</si>
  <si>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</si>
  <si>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</si>
  <si>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</si>
  <si>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</si>
  <si>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</si>
  <si>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</si>
  <si>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</si>
  <si>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</si>
  <si>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</si>
  <si>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</si>
  <si>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</si>
  <si>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</si>
  <si>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</si>
  <si>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</si>
  <si>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</si>
  <si>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</si>
  <si>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</si>
  <si>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</si>
  <si>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</si>
  <si>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</si>
  <si>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</si>
  <si>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</si>
  <si>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</si>
  <si>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</si>
  <si>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</si>
  <si>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</si>
  <si>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</si>
  <si>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</si>
  <si>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</si>
  <si>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</si>
  <si>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</si>
  <si>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</si>
  <si>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</si>
  <si>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</si>
  <si>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</si>
  <si>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</si>
  <si>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</si>
  <si>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</si>
  <si>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</si>
  <si>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</si>
  <si>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</si>
  <si>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</si>
  <si>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</si>
  <si>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</si>
  <si>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</si>
  <si>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</si>
  <si>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</si>
  <si>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</si>
  <si>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</si>
  <si>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</si>
  <si>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</si>
  <si>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</si>
  <si>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</si>
  <si>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</si>
  <si>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</si>
  <si>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</si>
  <si>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</si>
  <si>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</si>
  <si>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</si>
  <si>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</si>
  <si>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</si>
  <si>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</si>
  <si>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</si>
  <si>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</si>
  <si>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</si>
  <si>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</si>
  <si>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</si>
  <si>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</si>
  <si>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</si>
  <si>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</si>
  <si>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</si>
  <si>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</si>
  <si>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</si>
  <si>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</si>
  <si>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</si>
  <si>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</si>
  <si>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</si>
  <si>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</si>
  <si>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</si>
  <si>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</si>
  <si>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</si>
  <si>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</si>
  <si>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</si>
  <si>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</si>
  <si>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</si>
  <si>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</si>
  <si>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</si>
  <si>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</si>
  <si>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</si>
  <si>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</si>
  <si>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</si>
  <si>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</si>
  <si>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</si>
  <si>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</si>
  <si>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</si>
  <si>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</si>
  <si>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</si>
  <si>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</si>
  <si>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</si>
  <si>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</si>
  <si>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</si>
  <si>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</si>
  <si>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</si>
  <si>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</si>
  <si>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</si>
  <si>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</si>
  <si>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</si>
  <si>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</si>
  <si>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</si>
  <si>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</si>
  <si>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</si>
  <si>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</si>
  <si>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</si>
  <si>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</si>
  <si>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</si>
  <si>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</si>
  <si>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</si>
  <si>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</si>
  <si>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</si>
  <si>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</si>
  <si>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</si>
  <si>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</si>
  <si>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</si>
  <si>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</si>
  <si>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</si>
  <si>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</si>
  <si>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</si>
  <si>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</si>
  <si>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</si>
  <si>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</si>
  <si>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</si>
  <si>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</si>
  <si>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</si>
  <si>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</si>
  <si>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</si>
  <si>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</si>
  <si>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</si>
  <si>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</si>
  <si>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</si>
  <si>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</si>
  <si>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</si>
  <si>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</si>
  <si>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</si>
  <si>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</si>
  <si>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</si>
  <si>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</si>
  <si>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</si>
  <si>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</si>
  <si>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</si>
  <si>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</si>
  <si>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</si>
  <si>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</si>
  <si>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</si>
  <si>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</si>
  <si>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</si>
  <si>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</si>
  <si>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</si>
  <si>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</si>
  <si>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</si>
  <si>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</si>
  <si>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</si>
  <si>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</si>
  <si>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</si>
  <si>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</si>
  <si>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</si>
  <si>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</si>
  <si>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</si>
  <si>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</si>
  <si>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</si>
  <si>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</si>
  <si>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</si>
  <si>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</si>
  <si>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</si>
  <si>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</si>
  <si>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</si>
  <si>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</si>
  <si>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</si>
  <si>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</si>
  <si>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</si>
  <si>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</si>
  <si>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</si>
  <si>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</si>
  <si>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</si>
  <si>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</si>
  <si>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</si>
  <si>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</si>
  <si>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</si>
  <si>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</si>
  <si>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</si>
  <si>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</si>
  <si>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</si>
  <si>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</si>
  <si>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</si>
  <si>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</si>
  <si>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</si>
  <si>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</si>
  <si>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</si>
  <si>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</si>
  <si>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</si>
  <si>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</si>
  <si>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</si>
  <si>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</si>
  <si>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</si>
  <si>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</si>
  <si>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</si>
  <si>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</si>
  <si>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</si>
  <si>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</si>
  <si>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</si>
  <si>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</si>
  <si>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</si>
  <si>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</si>
  <si>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</si>
  <si>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</si>
  <si>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</si>
  <si>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</si>
  <si>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</si>
  <si>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</si>
  <si>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</si>
  <si>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</si>
  <si>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</si>
  <si>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</si>
  <si>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</si>
  <si>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</si>
  <si>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</si>
  <si>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</si>
  <si>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</si>
  <si>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</si>
  <si>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</si>
  <si>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</si>
  <si>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</si>
  <si>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</si>
  <si>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</si>
  <si>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</si>
  <si>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</si>
  <si>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</si>
  <si>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</si>
  <si>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</si>
  <si>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</si>
  <si>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</si>
  <si>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</si>
  <si>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</si>
  <si>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</si>
  <si>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</si>
  <si>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</si>
  <si>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</si>
  <si>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</si>
  <si>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</si>
  <si>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</si>
  <si>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</si>
  <si>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</si>
  <si>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</si>
  <si>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</si>
  <si>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</si>
  <si>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</si>
  <si>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</si>
  <si>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</si>
  <si>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</si>
  <si>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</si>
  <si>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</si>
  <si>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</si>
  <si>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</si>
  <si>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</si>
  <si>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</si>
  <si>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</si>
  <si>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</si>
  <si>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</si>
  <si>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</si>
  <si>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</si>
  <si>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</si>
  <si>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</si>
  <si>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</si>
  <si>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</si>
  <si>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</si>
  <si>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</si>
  <si>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</si>
  <si>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</si>
  <si>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</si>
  <si>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</si>
  <si>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</si>
  <si>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</si>
  <si>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</si>
  <si>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</si>
  <si>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</si>
  <si>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</si>
  <si>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</si>
  <si>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</si>
  <si>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</si>
  <si>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</si>
  <si>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</si>
  <si>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</si>
  <si>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</si>
  <si>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</si>
  <si>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</si>
  <si>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</si>
  <si>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</si>
  <si>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</si>
  <si>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</si>
  <si>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</si>
  <si>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</si>
  <si>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</si>
  <si>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</si>
  <si>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</si>
  <si>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</si>
  <si>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</si>
  <si>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</si>
  <si>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</si>
  <si>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</si>
  <si>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</si>
  <si>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</si>
  <si>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</si>
  <si>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</si>
  <si>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</si>
  <si>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</si>
  <si>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</si>
  <si>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</si>
  <si>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</si>
  <si>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</si>
  <si>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</si>
  <si>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</si>
  <si>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</si>
  <si>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</si>
  <si>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</si>
  <si>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</si>
  <si>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</si>
  <si>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</si>
  <si>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</si>
  <si>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</si>
  <si>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</si>
  <si>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</si>
  <si>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</si>
  <si>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</si>
  <si>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</si>
  <si>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</si>
  <si>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</si>
  <si>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</si>
  <si>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</si>
  <si>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</si>
  <si>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</si>
  <si>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</si>
  <si>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</si>
  <si>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</si>
  <si>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</si>
  <si>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</si>
  <si>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</si>
  <si>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</si>
  <si>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</si>
  <si>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</si>
  <si>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</si>
  <si>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</si>
  <si>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</si>
  <si>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</si>
  <si>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</si>
  <si>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</si>
  <si>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</si>
  <si>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</si>
  <si>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</si>
  <si>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</si>
  <si>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</si>
  <si>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</si>
  <si>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</si>
  <si>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</si>
  <si>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</si>
  <si>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</si>
  <si>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</si>
  <si>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</si>
  <si>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</si>
  <si>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</si>
  <si>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</si>
  <si>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</si>
  <si>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</si>
  <si>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</si>
  <si>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</si>
  <si>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</si>
  <si>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</si>
  <si>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</si>
  <si>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</si>
  <si>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</si>
  <si>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</si>
  <si>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</si>
  <si>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</si>
  <si>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</si>
  <si>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</si>
  <si>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</si>
  <si>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</si>
  <si>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</si>
  <si>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</si>
  <si>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</si>
  <si>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</si>
  <si>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</si>
  <si>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</si>
  <si>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</si>
  <si>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</si>
  <si>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</si>
  <si>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</si>
  <si>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</si>
  <si>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</si>
  <si>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</si>
  <si>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</si>
  <si>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</si>
  <si>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</si>
  <si>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</si>
  <si>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</si>
  <si>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</si>
  <si>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</si>
  <si>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</si>
  <si>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</si>
  <si>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</si>
  <si>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</si>
  <si>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</si>
  <si>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</si>
  <si>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</si>
  <si>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</si>
  <si>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</si>
  <si>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</si>
  <si>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</si>
  <si>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</si>
  <si>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</si>
  <si>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</si>
  <si>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</si>
  <si>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</si>
  <si>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</si>
  <si>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</si>
  <si>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</si>
  <si>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</si>
  <si>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</si>
  <si>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</si>
  <si>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</si>
  <si>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</si>
  <si>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</si>
  <si>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</si>
  <si>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</si>
  <si>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</si>
  <si>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</si>
  <si>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</si>
  <si>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</si>
  <si>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</si>
  <si>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</si>
  <si>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</si>
  <si>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</si>
  <si>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</si>
  <si>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</si>
  <si>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</si>
  <si>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</si>
  <si>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</si>
  <si>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</si>
  <si>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</si>
  <si>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</si>
  <si>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</si>
  <si>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</si>
  <si>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</si>
  <si>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</si>
  <si>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</si>
  <si>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</si>
  <si>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</si>
  <si>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</si>
  <si>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</si>
  <si>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</si>
  <si>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</si>
  <si>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</si>
  <si>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</si>
  <si>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</si>
  <si>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</si>
  <si>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</si>
  <si>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</si>
  <si>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</si>
  <si>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</si>
  <si>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</si>
  <si>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</si>
  <si>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</si>
  <si>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</si>
  <si>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</si>
  <si>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</si>
  <si>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</si>
  <si>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</si>
  <si>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</si>
  <si>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</si>
  <si>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</si>
  <si>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</si>
  <si>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</si>
  <si>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</si>
  <si>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</si>
  <si>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</si>
  <si>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</si>
  <si>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</si>
  <si>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</si>
  <si>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</si>
  <si>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</si>
  <si>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</si>
  <si>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</si>
  <si>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</si>
  <si>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</si>
  <si>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</si>
  <si>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</si>
  <si>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</si>
  <si>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</si>
  <si>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</si>
  <si>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</si>
  <si>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</si>
  <si>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</si>
  <si>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</si>
  <si>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</si>
  <si>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</si>
  <si>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</si>
  <si>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</si>
  <si>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</si>
  <si>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</si>
  <si>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</si>
  <si>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</si>
  <si>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</si>
  <si>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</si>
  <si>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</si>
  <si>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</si>
  <si>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</si>
  <si>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</si>
  <si>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</si>
  <si>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</si>
  <si>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</si>
  <si>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</si>
  <si>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</si>
  <si>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</si>
  <si>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</si>
  <si>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</si>
  <si>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</si>
  <si>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</si>
  <si>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</si>
  <si>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</si>
  <si>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</si>
  <si>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</si>
  <si>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</si>
  <si>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</si>
  <si>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</si>
  <si>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</si>
  <si>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</si>
  <si>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</si>
  <si>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</si>
  <si>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</si>
  <si>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</si>
  <si>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</si>
  <si>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</si>
  <si>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</si>
  <si>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</si>
  <si>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</si>
  <si>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</si>
  <si>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</si>
  <si>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</si>
  <si>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</si>
  <si>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</si>
  <si>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</si>
  <si>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</si>
  <si>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</si>
  <si>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</si>
  <si>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</si>
  <si>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</si>
  <si>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</si>
  <si>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</si>
  <si>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</si>
  <si>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</si>
  <si>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</si>
  <si>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</si>
  <si>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</si>
  <si>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</si>
  <si>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</si>
  <si>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</si>
  <si>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</si>
  <si>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</si>
  <si>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</si>
  <si>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</si>
  <si>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</si>
  <si>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</si>
  <si>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</si>
  <si>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</si>
  <si>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</si>
  <si>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</si>
  <si>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</si>
  <si>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</si>
  <si>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</si>
  <si>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</si>
  <si>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</si>
  <si>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</si>
  <si>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</si>
  <si>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</si>
  <si>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</si>
  <si>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</si>
  <si>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</si>
  <si>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</si>
  <si>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</si>
  <si>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</si>
  <si>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</si>
  <si>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</si>
  <si>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</si>
  <si>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</si>
  <si>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</si>
  <si>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</si>
  <si>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</si>
  <si>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</si>
  <si>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</si>
  <si>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</si>
  <si>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</si>
  <si>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</si>
  <si>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</si>
  <si>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</si>
  <si>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</si>
  <si>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</si>
  <si>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</si>
  <si>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</si>
  <si>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</si>
  <si>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</si>
  <si>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</si>
  <si>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</si>
  <si>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</si>
  <si>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</si>
  <si>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</si>
  <si>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</si>
  <si>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</si>
  <si>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</si>
  <si>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</si>
  <si>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</si>
  <si>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</si>
  <si>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</si>
  <si>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</si>
  <si>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</si>
  <si>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</si>
  <si>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</si>
  <si>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</si>
  <si>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</si>
  <si>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</si>
  <si>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</si>
  <si>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</si>
  <si>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</si>
  <si>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</si>
  <si>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</si>
  <si>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</si>
  <si>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</si>
  <si>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</si>
  <si>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</si>
  <si>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</si>
  <si>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</si>
  <si>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</si>
  <si>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</si>
  <si>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</si>
  <si>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</si>
  <si>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</si>
  <si>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</si>
  <si>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</si>
  <si>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</si>
  <si>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</si>
  <si>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</si>
  <si>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</si>
  <si>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</si>
  <si>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</si>
  <si>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</si>
  <si>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</si>
  <si>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</si>
  <si>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</si>
  <si>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</si>
  <si>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</si>
  <si>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</si>
  <si>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</si>
  <si>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</si>
  <si>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</si>
  <si>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</si>
  <si>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</si>
  <si>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</si>
  <si>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</si>
  <si>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</si>
  <si>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</si>
  <si>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</si>
  <si>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</si>
  <si>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</si>
  <si>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</si>
  <si>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</si>
  <si>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</si>
  <si>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</si>
  <si>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</si>
  <si>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</si>
  <si>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</si>
  <si>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</si>
  <si>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</si>
  <si>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</si>
  <si>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</si>
  <si>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</si>
  <si>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</si>
  <si>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</si>
  <si>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</si>
  <si>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</si>
  <si>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</si>
  <si>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</si>
  <si>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</si>
  <si>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</si>
  <si>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</si>
  <si>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</si>
  <si>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</si>
  <si>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</si>
  <si>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</si>
  <si>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</si>
  <si>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</si>
  <si>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</si>
  <si>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</si>
  <si>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</si>
  <si>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</si>
  <si>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</si>
  <si>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</si>
  <si>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</si>
  <si>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</si>
  <si>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</si>
  <si>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</si>
  <si>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</si>
  <si>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</si>
  <si>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</si>
  <si>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</si>
  <si>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</si>
  <si>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</si>
  <si>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</si>
  <si>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</si>
  <si>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</si>
  <si>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</si>
  <si>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</si>
  <si>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</si>
  <si>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</si>
  <si>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</si>
  <si>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</si>
  <si>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</si>
  <si>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</si>
  <si>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</si>
  <si>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</si>
  <si>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</si>
  <si>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</si>
  <si>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</si>
  <si>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</si>
  <si>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</si>
  <si>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</si>
  <si>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</si>
  <si>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</si>
  <si>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</si>
  <si>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</si>
  <si>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</si>
  <si>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</si>
  <si>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</si>
  <si>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</si>
  <si>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</si>
  <si>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</si>
  <si>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</si>
  <si>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</si>
  <si>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</si>
  <si>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</si>
  <si>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</si>
  <si>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</si>
  <si>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</si>
  <si>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</si>
  <si>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</si>
  <si>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</si>
  <si>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</si>
  <si>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</si>
  <si>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</si>
  <si>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</si>
  <si>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</si>
  <si>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</si>
  <si>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</si>
  <si>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</si>
  <si>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</si>
  <si>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</si>
  <si>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</si>
  <si>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</si>
  <si>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</si>
  <si>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</si>
  <si>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</si>
  <si>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</si>
  <si>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</si>
  <si>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</si>
  <si>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</si>
  <si>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</si>
  <si>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</si>
  <si>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</si>
  <si>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</si>
  <si>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</si>
  <si>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</si>
  <si>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</si>
  <si>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</si>
  <si>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</si>
  <si>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</si>
  <si>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</si>
  <si>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</si>
  <si>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</si>
  <si>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</si>
  <si>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</si>
  <si>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</si>
  <si>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</si>
  <si>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</si>
  <si>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</si>
  <si>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</si>
  <si>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</si>
  <si>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</si>
  <si>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</si>
  <si>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</si>
  <si>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</si>
  <si>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</si>
  <si>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</si>
  <si>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</si>
  <si>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</si>
  <si>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</si>
  <si>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</si>
  <si>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</si>
  <si>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</si>
  <si>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</si>
  <si>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</si>
  <si>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</si>
  <si>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</si>
  <si>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</si>
  <si>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</si>
  <si>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</si>
  <si>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</si>
  <si>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</si>
  <si>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</si>
  <si>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</si>
  <si>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</si>
  <si>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</si>
  <si>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</si>
  <si>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</si>
  <si>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</si>
  <si>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</si>
  <si>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</si>
  <si>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</si>
  <si>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</si>
  <si>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</si>
  <si>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</si>
  <si>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</si>
  <si>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</si>
  <si>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</si>
  <si>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</si>
  <si>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</si>
  <si>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</si>
  <si>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</si>
  <si>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</si>
  <si>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</si>
  <si>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</si>
  <si>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</si>
  <si>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</si>
  <si>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</si>
  <si>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</si>
  <si>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</si>
  <si>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</si>
  <si>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</si>
  <si>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</si>
  <si>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</si>
  <si>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</si>
  <si>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</si>
  <si>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</si>
  <si>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</si>
  <si>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</si>
  <si>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</si>
  <si>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</si>
  <si>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</si>
  <si>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</si>
  <si>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</si>
  <si>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</si>
  <si>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</si>
  <si>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</si>
  <si>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</si>
  <si>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</si>
  <si>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</si>
  <si>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</si>
  <si>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</si>
  <si>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</si>
  <si>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</si>
  <si>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</si>
  <si>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</si>
  <si>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</si>
  <si>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</si>
  <si>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</si>
  <si>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</si>
  <si>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</si>
  <si>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</si>
  <si>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</si>
  <si>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</si>
  <si>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</si>
  <si>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</si>
  <si>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</si>
  <si>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</si>
  <si>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</si>
  <si>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</si>
  <si>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</si>
  <si>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</si>
  <si>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</si>
  <si>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</si>
  <si>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</si>
  <si>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</si>
  <si>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</si>
  <si>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</si>
  <si>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</si>
  <si>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</si>
  <si>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</si>
  <si>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</si>
  <si>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</si>
  <si>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</si>
  <si>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</si>
  <si>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</si>
  <si>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</si>
  <si>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</si>
  <si>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</si>
  <si>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</si>
  <si>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</si>
  <si>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</si>
  <si>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</si>
  <si>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</si>
  <si>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</si>
  <si>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</si>
  <si>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</si>
  <si>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</si>
  <si>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</si>
  <si>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</si>
  <si>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</si>
  <si>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</si>
  <si>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</si>
  <si>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</si>
  <si>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</si>
  <si>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</si>
  <si>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</si>
  <si>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</si>
  <si>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</si>
  <si>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</si>
  <si>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</si>
  <si>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</si>
  <si>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</si>
  <si>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</si>
  <si>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</si>
  <si>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</si>
  <si>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</si>
  <si>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</si>
  <si>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</si>
  <si>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</si>
  <si>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</si>
  <si>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</si>
  <si>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</si>
  <si>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</si>
  <si>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</si>
  <si>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</si>
  <si>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</si>
  <si>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</si>
  <si>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</si>
  <si>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</si>
  <si>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</si>
  <si>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</si>
  <si>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</si>
  <si>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</si>
  <si>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</si>
  <si>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</si>
  <si>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</si>
  <si>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</si>
  <si>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</si>
  <si>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</si>
  <si>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</si>
  <si>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</si>
  <si>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</si>
  <si>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</si>
  <si>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</si>
  <si>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</si>
  <si>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</si>
  <si>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</si>
  <si>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</si>
  <si>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</si>
  <si>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</si>
  <si>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</si>
  <si>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</si>
  <si>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</si>
  <si>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</si>
  <si>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</si>
  <si>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</si>
  <si>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</si>
  <si>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</si>
  <si>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</si>
  <si>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</si>
  <si>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</si>
  <si>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</si>
  <si>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</si>
  <si>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</si>
  <si>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</si>
  <si>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</si>
  <si>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</si>
  <si>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</si>
  <si>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</si>
  <si>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</si>
  <si>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</si>
  <si>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</si>
  <si>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</si>
  <si>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</si>
  <si>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</si>
  <si>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</si>
  <si>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</si>
  <si>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</si>
  <si>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</si>
  <si>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</si>
  <si>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</si>
  <si>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</si>
  <si>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</si>
  <si>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</si>
  <si>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</si>
  <si>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</si>
  <si>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</si>
  <si>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</si>
  <si>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</si>
  <si>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</si>
  <si>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</si>
  <si>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</si>
  <si>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</si>
  <si>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</si>
  <si>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</si>
  <si>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</si>
  <si>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</si>
  <si>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</si>
  <si>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</si>
  <si>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</si>
  <si>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</si>
  <si>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</si>
  <si>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</si>
  <si>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</si>
  <si>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</si>
  <si>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</si>
  <si>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</si>
  <si>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</si>
  <si>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</si>
  <si>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</si>
  <si>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</si>
  <si>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</si>
  <si>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</si>
  <si>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</si>
  <si>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</si>
  <si>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</si>
  <si>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</si>
  <si>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</si>
  <si>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</si>
  <si>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</si>
  <si>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</si>
  <si>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</si>
  <si>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</si>
  <si>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</si>
  <si>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</si>
  <si>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</si>
  <si>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</si>
  <si>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</si>
  <si>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</si>
  <si>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</si>
  <si>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</si>
  <si>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</si>
  <si>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</si>
  <si>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</si>
  <si>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</si>
  <si>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</si>
  <si>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</si>
  <si>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</si>
  <si>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</si>
  <si>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</si>
  <si>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</si>
  <si>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</si>
  <si>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</si>
  <si>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</si>
  <si>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</si>
  <si>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</si>
  <si>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</si>
  <si>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</si>
  <si>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</si>
  <si>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</si>
  <si>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</si>
  <si>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</si>
  <si>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</si>
  <si>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</si>
  <si>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</si>
  <si>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</si>
  <si>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</si>
  <si>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</si>
  <si>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</si>
  <si>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</si>
  <si>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</si>
  <si>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</si>
  <si>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</si>
  <si>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</si>
  <si>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</si>
  <si>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</si>
  <si>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</si>
  <si>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</si>
  <si>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</si>
  <si>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</si>
  <si>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</si>
  <si>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</si>
  <si>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</si>
  <si>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</si>
  <si>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</si>
  <si>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</si>
  <si>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</si>
  <si>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</si>
  <si>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</si>
  <si>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</si>
  <si>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</si>
  <si>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</si>
  <si>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</si>
  <si>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</si>
  <si>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</si>
  <si>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</si>
  <si>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</si>
  <si>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</si>
  <si>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</si>
  <si>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</si>
  <si>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</si>
  <si>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</si>
  <si>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</si>
  <si>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</si>
  <si>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</si>
  <si>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</si>
  <si>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</si>
  <si>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</si>
  <si>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</si>
  <si>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</si>
  <si>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</si>
  <si>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</si>
  <si>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</si>
  <si>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</si>
  <si>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</si>
  <si>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</si>
  <si>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</si>
  <si>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</si>
  <si>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</si>
  <si>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</si>
  <si>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</si>
  <si>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</si>
  <si>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</si>
  <si>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</si>
  <si>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</si>
  <si>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</si>
  <si>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</si>
  <si>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</si>
  <si>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</si>
  <si>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</si>
  <si>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</si>
  <si>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</si>
  <si>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</si>
  <si>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</si>
  <si>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</si>
  <si>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</si>
  <si>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</si>
  <si>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</si>
  <si>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</si>
  <si>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</si>
  <si>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</si>
  <si>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</si>
  <si>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</si>
  <si>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</si>
  <si>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</si>
  <si>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</si>
  <si>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</si>
  <si>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</si>
  <si>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</si>
  <si>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</si>
  <si>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</si>
  <si>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</si>
  <si>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</si>
  <si>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</si>
  <si>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</si>
  <si>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</si>
  <si>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</si>
  <si>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</si>
  <si>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</si>
  <si>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</si>
  <si>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</si>
  <si>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</si>
  <si>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</si>
  <si>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</si>
  <si>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</si>
  <si>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</si>
  <si>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</si>
  <si>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</si>
  <si>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</si>
  <si>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</si>
  <si>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</si>
  <si>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</si>
  <si>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</si>
  <si>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</si>
  <si>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</si>
  <si>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</si>
  <si>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</si>
  <si>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</si>
  <si>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</si>
  <si>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</si>
  <si>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</si>
  <si>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</si>
  <si>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</si>
  <si>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</si>
  <si>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</si>
  <si>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</si>
  <si>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</si>
  <si>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</si>
  <si>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</si>
  <si>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</si>
  <si>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</si>
  <si>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</si>
  <si>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</si>
  <si>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</si>
  <si>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</si>
  <si>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</si>
  <si>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</si>
  <si>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</si>
  <si>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</si>
  <si>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</si>
  <si>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</si>
  <si>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</si>
  <si>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</si>
  <si>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</si>
  <si>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</si>
  <si>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</si>
  <si>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</si>
  <si>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</si>
  <si>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</si>
  <si>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</si>
  <si>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</si>
  <si>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</si>
  <si>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</si>
  <si>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</si>
  <si>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</si>
  <si>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</si>
  <si>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</si>
  <si>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</si>
  <si>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</si>
  <si>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</si>
  <si>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</si>
  <si>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</si>
  <si>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</si>
  <si>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</si>
  <si>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</si>
  <si>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</si>
  <si>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</si>
  <si>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</si>
  <si>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</si>
  <si>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</si>
  <si>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</si>
  <si>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</si>
  <si>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</si>
  <si>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</si>
  <si>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</si>
  <si>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</si>
  <si>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</si>
  <si>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</si>
  <si>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</si>
  <si>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</si>
  <si>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</si>
  <si>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</si>
  <si>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</si>
  <si>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</si>
  <si>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</si>
  <si>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</si>
  <si>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</si>
  <si>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</si>
  <si>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</si>
  <si>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</si>
  <si>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</si>
  <si>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</si>
  <si>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</si>
  <si>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</si>
  <si>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</si>
  <si>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</si>
  <si>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</si>
  <si>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</si>
  <si>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</si>
  <si>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</si>
  <si>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</si>
  <si>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</si>
  <si>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</si>
  <si>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</si>
  <si>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</si>
  <si>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</si>
  <si>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</si>
  <si>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</si>
  <si>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</si>
  <si>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</si>
  <si>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</si>
  <si>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</si>
  <si>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</si>
  <si>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</si>
  <si>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</si>
  <si>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</si>
  <si>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</si>
  <si>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</si>
  <si>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</si>
  <si>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</si>
  <si>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</si>
  <si>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</si>
  <si>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</si>
  <si>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</si>
  <si>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</si>
  <si>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</si>
  <si>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</si>
  <si>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</si>
  <si>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</si>
  <si>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</si>
  <si>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</si>
  <si>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</si>
  <si>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</si>
  <si>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</si>
  <si>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</si>
  <si>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</si>
  <si>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</si>
  <si>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</si>
  <si>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</si>
  <si>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</si>
  <si>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</si>
  <si>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</si>
  <si>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</si>
  <si>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</si>
  <si>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</si>
  <si>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</si>
  <si>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</si>
  <si>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</si>
  <si>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</si>
  <si>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</si>
  <si>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</si>
  <si>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</si>
  <si>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</si>
  <si>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</si>
  <si>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</si>
  <si>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</si>
  <si>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</si>
  <si>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</si>
  <si>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</si>
  <si>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</si>
  <si>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</si>
  <si>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</si>
  <si>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</si>
  <si>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</si>
  <si>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</si>
  <si>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</si>
  <si>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</si>
  <si>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</si>
  <si>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</si>
  <si>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</si>
  <si>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</si>
  <si>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</si>
  <si>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</si>
  <si>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</si>
  <si>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</si>
  <si>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</si>
  <si>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</si>
  <si>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</si>
  <si>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</si>
  <si>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</si>
  <si>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</si>
  <si>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</si>
  <si>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</si>
  <si>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</si>
  <si>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</si>
  <si>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</si>
  <si>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</si>
  <si>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</si>
  <si>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</si>
  <si>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</si>
  <si>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</si>
  <si>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</si>
  <si>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</si>
  <si>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</si>
  <si>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</si>
  <si>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</si>
  <si>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</si>
  <si>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</si>
  <si>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</si>
  <si>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</si>
  <si>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</si>
  <si>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</si>
  <si>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</si>
  <si>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</si>
  <si>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</si>
  <si>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</si>
  <si>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</si>
  <si>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</si>
  <si>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</si>
  <si>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</si>
  <si>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</si>
  <si>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</si>
  <si>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</si>
  <si>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</si>
  <si>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</si>
  <si>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</si>
  <si>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</si>
  <si>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</si>
  <si>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</si>
  <si>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</si>
  <si>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</si>
  <si>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</si>
  <si>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</si>
  <si>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</si>
  <si>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</si>
  <si>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</si>
  <si>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</si>
  <si>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</si>
  <si>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</si>
  <si>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</si>
  <si>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</si>
  <si>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</si>
  <si>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</si>
  <si>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</si>
  <si>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</si>
  <si>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</si>
  <si>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</si>
  <si>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</si>
  <si>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</si>
  <si>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</si>
  <si>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</si>
  <si>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</si>
  <si>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</si>
  <si>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</si>
  <si>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</si>
  <si>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</si>
  <si>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</si>
  <si>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</si>
  <si>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</si>
  <si>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</si>
  <si>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</si>
  <si>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</si>
  <si>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</si>
  <si>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</si>
  <si>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</si>
  <si>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</si>
  <si>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</si>
  <si>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</si>
  <si>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</si>
  <si>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</si>
  <si>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</si>
  <si>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</si>
  <si>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</si>
  <si>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</si>
  <si>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</si>
  <si>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</si>
  <si>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</si>
  <si>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</si>
  <si>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</si>
  <si>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</si>
  <si>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</si>
  <si>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</si>
  <si>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</si>
  <si>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</si>
  <si>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</si>
  <si>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</si>
  <si>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</si>
  <si>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</si>
  <si>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</si>
  <si>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</si>
  <si>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</si>
  <si>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</si>
  <si>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</si>
  <si>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</si>
  <si>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</si>
  <si>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</si>
  <si>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</si>
  <si>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</si>
  <si>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</si>
  <si>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</si>
  <si>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</si>
  <si>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</si>
  <si>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</si>
  <si>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</si>
  <si>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</si>
  <si>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</si>
  <si>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</si>
  <si>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</si>
  <si>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</si>
  <si>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</si>
  <si>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</si>
  <si>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</si>
  <si>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</si>
  <si>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</si>
  <si>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</si>
  <si>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</si>
  <si>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</si>
  <si>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</si>
  <si>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</si>
  <si>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</si>
  <si>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</si>
  <si>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</si>
  <si>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</si>
  <si>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</si>
  <si>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</si>
  <si>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</si>
  <si>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</si>
  <si>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</si>
  <si>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</si>
  <si>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</si>
  <si>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</si>
  <si>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</si>
  <si>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</si>
  <si>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</si>
  <si>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</si>
  <si>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</si>
  <si>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</si>
  <si>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</si>
  <si>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</si>
  <si>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</si>
  <si>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</si>
  <si>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</si>
  <si>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</si>
  <si>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</si>
  <si>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</si>
  <si>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</si>
  <si>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</si>
  <si>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</si>
  <si>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</si>
  <si>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</si>
  <si>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</si>
  <si>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</si>
  <si>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</si>
  <si>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</si>
  <si>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</si>
  <si>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</si>
  <si>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</si>
  <si>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</si>
  <si>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</si>
  <si>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</si>
  <si>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</si>
  <si>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</si>
  <si>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</si>
  <si>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</si>
  <si>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</si>
  <si>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</si>
  <si>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</si>
  <si>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</si>
  <si>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</si>
  <si>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</si>
  <si>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</si>
  <si>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</si>
  <si>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</si>
  <si>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</si>
  <si>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</si>
  <si>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</si>
  <si>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</si>
  <si>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</si>
  <si>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</si>
  <si>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</si>
  <si>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</si>
  <si>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</si>
  <si>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</si>
  <si>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</si>
  <si>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</si>
  <si>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</si>
  <si>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</si>
  <si>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</si>
  <si>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</si>
  <si>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</si>
  <si>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</si>
  <si>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</si>
  <si>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</si>
  <si>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</si>
  <si>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</si>
  <si>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</si>
  <si>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</si>
  <si>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</si>
  <si>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</si>
  <si>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</si>
  <si>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</si>
  <si>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</si>
  <si>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</si>
  <si>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</si>
  <si>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</si>
  <si>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</si>
  <si>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</si>
  <si>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</si>
  <si>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</si>
  <si>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</si>
  <si>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</si>
  <si>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</si>
  <si>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</si>
  <si>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</si>
  <si>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</si>
  <si>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</si>
  <si>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</si>
  <si>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</si>
  <si>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</si>
  <si>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</si>
  <si>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</si>
  <si>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</si>
  <si>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</si>
  <si>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</si>
  <si>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</si>
  <si>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</si>
  <si>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</si>
  <si>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</si>
  <si>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</si>
  <si>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</si>
  <si>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</si>
  <si>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</si>
  <si>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</si>
  <si>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</si>
  <si>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</si>
  <si>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</si>
  <si>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</si>
  <si>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</si>
  <si>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</si>
  <si>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</si>
  <si>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</si>
  <si>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</si>
  <si>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</si>
  <si>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</si>
  <si>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</si>
  <si>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</si>
  <si>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</si>
  <si>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</si>
  <si>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</si>
  <si>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</si>
  <si>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</si>
  <si>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</si>
  <si>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</si>
  <si>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</si>
  <si>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</si>
  <si>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</si>
  <si>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</si>
  <si>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</si>
  <si>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</si>
  <si>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</si>
  <si>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</si>
  <si>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</si>
  <si>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</si>
  <si>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</si>
  <si>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</si>
  <si>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</si>
  <si>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</si>
  <si>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</si>
  <si>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</si>
  <si>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</si>
  <si>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</si>
  <si>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</si>
  <si>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</si>
  <si>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</si>
  <si>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</si>
  <si>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</si>
  <si>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</si>
  <si>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</si>
  <si>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</si>
  <si>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</si>
  <si>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</si>
  <si>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</si>
  <si>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</si>
  <si>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</si>
  <si>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</si>
  <si>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</si>
  <si>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</si>
  <si>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</si>
  <si>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</si>
  <si>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</si>
  <si>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</si>
  <si>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</si>
  <si>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</si>
  <si>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</si>
  <si>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</si>
  <si>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</si>
  <si>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</si>
  <si>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</si>
  <si>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</si>
  <si>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</si>
  <si>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</si>
  <si>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</si>
  <si>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</si>
  <si>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</si>
  <si>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</si>
  <si>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</si>
  <si>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</si>
  <si>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</si>
  <si>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</si>
  <si>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</si>
  <si>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</si>
  <si>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</si>
  <si>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</si>
  <si>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</si>
  <si>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</si>
  <si>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</si>
  <si>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</si>
  <si>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</si>
  <si>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</si>
  <si>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</si>
  <si>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</si>
  <si>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</si>
  <si>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</si>
  <si>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</si>
  <si>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</si>
  <si>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</si>
  <si>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</si>
  <si>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</si>
  <si>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</si>
  <si>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</si>
  <si>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</si>
  <si>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</si>
  <si>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</si>
  <si>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</si>
  <si>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</si>
  <si>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</si>
  <si>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</si>
  <si>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</si>
  <si>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</si>
  <si>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</si>
  <si>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</si>
  <si>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</si>
  <si>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</si>
  <si>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</si>
  <si>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</si>
  <si>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</si>
  <si>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</si>
  <si>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</si>
  <si>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</si>
  <si>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</si>
  <si>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</si>
  <si>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</si>
  <si>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</si>
  <si>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</si>
  <si>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</si>
  <si>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</si>
  <si>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</si>
  <si>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</si>
  <si>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</si>
  <si>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</si>
  <si>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</si>
  <si>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</si>
  <si>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</si>
  <si>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</si>
  <si>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</si>
  <si>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</si>
  <si>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</si>
  <si>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</si>
  <si>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</si>
  <si>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</si>
  <si>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</si>
  <si>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</si>
  <si>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</si>
  <si>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</si>
  <si>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</si>
  <si>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</si>
  <si>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</si>
  <si>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</si>
  <si>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</si>
  <si>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</si>
  <si>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</si>
  <si>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</si>
  <si>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</si>
  <si>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</si>
  <si>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</si>
  <si>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</si>
  <si>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</si>
  <si>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</si>
  <si>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</si>
  <si>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</si>
  <si>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</si>
  <si>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</si>
  <si>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</si>
  <si>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</si>
  <si>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</si>
  <si>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</si>
  <si>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</si>
  <si>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</si>
  <si>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</si>
  <si>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</si>
  <si>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</si>
  <si>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</si>
  <si>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</si>
  <si>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</si>
  <si>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</si>
  <si>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</si>
  <si>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</si>
  <si>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</si>
  <si>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</si>
  <si>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</si>
  <si>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</si>
  <si>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</si>
  <si>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</si>
  <si>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</si>
  <si>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</si>
  <si>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</si>
  <si>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</si>
  <si>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</si>
  <si>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</si>
  <si>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</si>
  <si>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</si>
  <si>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</si>
  <si>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</si>
  <si>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</si>
  <si>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</si>
  <si>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</si>
  <si>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</si>
  <si>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</si>
  <si>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</si>
  <si>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</si>
  <si>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</si>
  <si>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</si>
  <si>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</si>
  <si>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</si>
  <si>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</si>
  <si>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</si>
  <si>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</si>
  <si>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</si>
  <si>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</si>
  <si>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</si>
  <si>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</si>
  <si>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</si>
  <si>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</si>
  <si>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</si>
  <si>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</si>
  <si>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</si>
  <si>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</si>
  <si>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</si>
  <si>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</si>
  <si>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</si>
  <si>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</si>
  <si>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</si>
  <si>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</si>
  <si>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</si>
  <si>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</si>
  <si>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</si>
  <si>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</si>
  <si>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</si>
  <si>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</si>
  <si>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</si>
  <si>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</si>
  <si>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</si>
  <si>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</si>
  <si>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</si>
  <si>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</si>
  <si>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</si>
  <si>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</si>
  <si>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</si>
  <si>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</si>
  <si>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</si>
  <si>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</si>
  <si>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</si>
  <si>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</si>
  <si>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</si>
  <si>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</si>
  <si>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</si>
  <si>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</si>
  <si>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</si>
  <si>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</si>
  <si>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</si>
  <si>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</si>
  <si>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</si>
  <si>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</si>
  <si>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</si>
  <si>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</si>
  <si>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</si>
  <si>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</si>
  <si>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</si>
  <si>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</si>
  <si>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</si>
  <si>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</si>
  <si>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</si>
  <si>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</si>
  <si>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</si>
  <si>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</si>
  <si>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</si>
  <si>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</si>
  <si>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</si>
  <si>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</si>
  <si>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</si>
  <si>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</si>
  <si>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</si>
  <si>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</si>
  <si>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</si>
  <si>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</si>
  <si>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</si>
  <si>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</si>
  <si>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</si>
  <si>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</si>
  <si>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</si>
  <si>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</si>
  <si>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</si>
  <si>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</si>
  <si>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</si>
  <si>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</si>
  <si>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</si>
  <si>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</si>
  <si>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</si>
  <si>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</si>
  <si>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</si>
  <si>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</si>
  <si>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</si>
  <si>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</si>
  <si>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</si>
  <si>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</si>
  <si>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</si>
  <si>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</si>
  <si>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</si>
  <si>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</si>
  <si>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</si>
  <si>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</si>
  <si>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</si>
  <si>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</si>
  <si>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</si>
  <si>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</si>
  <si>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</si>
  <si>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</si>
  <si>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</si>
  <si>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</si>
  <si>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</si>
  <si>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</si>
  <si>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</si>
  <si>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</si>
  <si>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</si>
  <si>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</si>
  <si>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</si>
  <si>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</si>
  <si>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</si>
  <si>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</si>
  <si>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</si>
  <si>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</si>
  <si>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</si>
  <si>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</si>
  <si>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</si>
  <si>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</si>
  <si>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</si>
  <si>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</si>
  <si>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</si>
  <si>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</si>
  <si>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</si>
  <si>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</si>
  <si>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</si>
  <si>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</si>
  <si>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</si>
  <si>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</si>
  <si>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</si>
  <si>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</si>
  <si>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</si>
  <si>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</si>
  <si>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</si>
  <si>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</si>
  <si>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</si>
  <si>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</si>
  <si>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</si>
  <si>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</si>
  <si>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</si>
  <si>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</si>
  <si>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</si>
  <si>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</si>
  <si>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</si>
  <si>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</si>
  <si>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</si>
  <si>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</si>
  <si>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</si>
  <si>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</si>
  <si>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</si>
  <si>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</si>
  <si>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</si>
  <si>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</si>
  <si>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</si>
  <si>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</si>
  <si>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</si>
  <si>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</si>
  <si>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</si>
  <si>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</si>
  <si>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</si>
  <si>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</si>
  <si>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</si>
  <si>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</si>
  <si>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</si>
  <si>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</si>
  <si>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</si>
  <si>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</si>
  <si>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</si>
  <si>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</si>
  <si>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</si>
  <si>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</si>
  <si>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</si>
  <si>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</si>
  <si>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</si>
  <si>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</si>
  <si>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</si>
  <si>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</si>
  <si>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</si>
  <si>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</si>
  <si>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</si>
  <si>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</si>
  <si>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</si>
  <si>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</si>
  <si>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</si>
  <si>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</si>
  <si>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</si>
  <si>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</si>
  <si>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</si>
  <si>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</si>
  <si>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</si>
  <si>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</si>
  <si>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</si>
  <si>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</si>
  <si>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</si>
  <si>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</si>
  <si>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</si>
  <si>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</si>
  <si>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</si>
  <si>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</si>
  <si>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</si>
  <si>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</si>
  <si>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</si>
  <si>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</si>
  <si>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</si>
  <si>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</si>
  <si>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</si>
  <si>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</si>
  <si>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</si>
  <si>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</si>
  <si>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</si>
  <si>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</si>
  <si>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</si>
  <si>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</si>
  <si>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</si>
  <si>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</si>
  <si>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</si>
  <si>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</si>
  <si>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</si>
  <si>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</si>
  <si>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</si>
  <si>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</si>
  <si>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</si>
  <si>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</si>
  <si>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</si>
  <si>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</si>
  <si>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</si>
  <si>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</si>
  <si>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</si>
  <si>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</si>
  <si>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</si>
  <si>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</si>
  <si>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</si>
  <si>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</si>
  <si>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</si>
  <si>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</si>
  <si>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</si>
  <si>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</si>
  <si>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</si>
  <si>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</si>
  <si>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</si>
  <si>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</si>
  <si>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</si>
  <si>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</si>
  <si>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</si>
  <si>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</si>
  <si>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</si>
  <si>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</si>
  <si>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</si>
  <si>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</si>
  <si>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</si>
  <si>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</si>
  <si>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</si>
  <si>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</si>
  <si>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</si>
  <si>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</si>
  <si>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</si>
  <si>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</si>
  <si>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</si>
  <si>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</si>
  <si>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</si>
  <si>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</si>
  <si>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</si>
  <si>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</si>
  <si>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</si>
  <si>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</si>
  <si>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</si>
  <si>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</si>
  <si>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</si>
  <si>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</si>
  <si>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</si>
  <si>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</si>
  <si>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</si>
  <si>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</si>
  <si>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</si>
  <si>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</si>
  <si>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</si>
  <si>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</si>
  <si>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</si>
  <si>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</si>
  <si>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</si>
  <si>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</si>
  <si>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</si>
  <si>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</si>
  <si>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</si>
  <si>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</si>
  <si>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</si>
  <si>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</si>
  <si>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</si>
  <si>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</si>
  <si>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</si>
  <si>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</si>
  <si>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</si>
  <si>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</si>
  <si>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</si>
  <si>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</si>
  <si>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</si>
  <si>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</si>
  <si>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</si>
  <si>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</si>
  <si>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</si>
  <si>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</si>
  <si>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</si>
  <si>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</si>
  <si>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</si>
  <si>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</si>
  <si>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</si>
  <si>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</si>
  <si>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</si>
  <si>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</si>
  <si>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</si>
  <si>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</si>
  <si>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</si>
  <si>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</si>
  <si>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</si>
  <si>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</si>
  <si>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</si>
  <si>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</si>
  <si>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</si>
  <si>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</si>
  <si>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</si>
  <si>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</si>
  <si>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</si>
  <si>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</si>
  <si>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</si>
  <si>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</si>
  <si>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</si>
  <si>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</si>
  <si>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</si>
  <si>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</si>
  <si>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</si>
  <si>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</si>
  <si>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</si>
  <si>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</si>
  <si>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</si>
  <si>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</si>
  <si>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</si>
  <si>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</si>
  <si>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</si>
  <si>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</si>
  <si>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</si>
  <si>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</si>
  <si>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</si>
  <si>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</si>
  <si>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</si>
  <si>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</si>
  <si>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</si>
  <si>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</si>
  <si>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</si>
  <si>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</si>
  <si>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</si>
  <si>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</si>
  <si>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</si>
  <si>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</si>
  <si>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</si>
  <si>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</si>
  <si>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</si>
  <si>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</si>
  <si>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</si>
  <si>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</si>
  <si>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</si>
  <si>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</si>
  <si>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</si>
  <si>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</si>
  <si>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</si>
  <si>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</si>
  <si>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</si>
  <si>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</si>
  <si>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</si>
  <si>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</si>
  <si>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</si>
  <si>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</si>
  <si>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</si>
  <si>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</si>
  <si>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</si>
  <si>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</si>
  <si>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</si>
  <si>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</si>
  <si>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</si>
  <si>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</si>
  <si>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</si>
  <si>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</si>
  <si>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</si>
  <si>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</si>
  <si>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</si>
  <si>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</si>
  <si>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</si>
  <si>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</si>
  <si>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</si>
  <si>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</si>
  <si>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</si>
  <si>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</si>
  <si>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</si>
  <si>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</si>
  <si>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</si>
  <si>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</si>
  <si>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</si>
  <si>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</si>
  <si>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</si>
  <si>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</si>
  <si>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</si>
  <si>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</si>
  <si>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</si>
  <si>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</si>
  <si>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</si>
  <si>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</si>
  <si>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</si>
  <si>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</si>
  <si>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</si>
  <si>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</si>
  <si>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</si>
  <si>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</si>
  <si>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</si>
  <si>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</si>
  <si>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</si>
  <si>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</si>
  <si>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</si>
  <si>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</si>
  <si>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</si>
  <si>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</si>
  <si>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</si>
  <si>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</si>
  <si>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</si>
  <si>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</si>
  <si>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</si>
  <si>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</si>
  <si>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</si>
  <si>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</si>
  <si>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</si>
  <si>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</si>
  <si>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</si>
  <si>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</si>
  <si>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</si>
  <si>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</si>
  <si>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</si>
  <si>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</si>
  <si>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</si>
  <si>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</si>
  <si>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</si>
  <si>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</si>
  <si>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</si>
  <si>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</si>
  <si>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</si>
  <si>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</si>
  <si>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</si>
  <si>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</si>
  <si>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</si>
  <si>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</si>
  <si>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</si>
  <si>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</si>
  <si>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</si>
  <si>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</si>
  <si>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</si>
  <si>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</si>
  <si>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</si>
  <si>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</si>
  <si>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</si>
  <si>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</si>
  <si>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</si>
  <si>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</si>
  <si>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</si>
  <si>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</si>
  <si>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</si>
  <si>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</si>
  <si>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</si>
  <si>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</si>
  <si>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</si>
  <si>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</si>
  <si>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</si>
  <si>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</si>
  <si>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</si>
  <si>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</si>
  <si>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</si>
  <si>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</si>
  <si>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</si>
  <si>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</si>
  <si>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</si>
  <si>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</si>
  <si>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</si>
  <si>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</si>
  <si>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</si>
  <si>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</si>
  <si>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</si>
  <si>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</si>
  <si>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</si>
  <si>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</si>
  <si>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</si>
  <si>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</si>
  <si>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</si>
  <si>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</si>
  <si>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</si>
  <si>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</si>
  <si>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</si>
  <si>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</si>
  <si>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</si>
  <si>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</si>
  <si>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</si>
  <si>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</si>
  <si>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</si>
  <si>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</si>
  <si>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</si>
  <si>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</si>
  <si>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</si>
  <si>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</si>
  <si>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</si>
  <si>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</si>
  <si>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</si>
  <si>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</si>
  <si>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</si>
  <si>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</si>
  <si>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</si>
  <si>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</si>
  <si>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</si>
  <si>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</si>
  <si>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</si>
  <si>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</si>
  <si>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</si>
  <si>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</si>
  <si>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</si>
  <si>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</si>
  <si>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</si>
  <si>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</si>
  <si>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</si>
  <si>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</si>
  <si>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</si>
  <si>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</si>
  <si>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</si>
  <si>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</si>
  <si>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</si>
  <si>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</si>
  <si>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</si>
  <si>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</si>
  <si>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</si>
  <si>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</si>
  <si>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</si>
  <si>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</si>
  <si>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</si>
  <si>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</si>
  <si>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</si>
  <si>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</si>
  <si>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</si>
  <si>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</si>
  <si>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</si>
  <si>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</si>
  <si>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</si>
  <si>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</si>
  <si>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</si>
  <si>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</si>
  <si>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</si>
  <si>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</si>
  <si>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</si>
  <si>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</si>
  <si>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</si>
  <si>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</si>
  <si>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</si>
  <si>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</si>
  <si>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</si>
  <si>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</si>
  <si>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</si>
  <si>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</si>
  <si>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</si>
  <si>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</si>
  <si>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</si>
  <si>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</si>
  <si>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</si>
  <si>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</si>
  <si>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</si>
  <si>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</si>
  <si>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</si>
  <si>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</si>
  <si>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</si>
  <si>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</si>
  <si>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</si>
  <si>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</si>
  <si>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</si>
  <si>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</si>
  <si>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</si>
  <si>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</si>
  <si>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</si>
  <si>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</si>
  <si>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</si>
  <si>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</si>
  <si>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</si>
  <si>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</si>
  <si>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</si>
  <si>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</si>
  <si>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</si>
  <si>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</si>
  <si>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</si>
  <si>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</si>
  <si>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</si>
  <si>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</si>
  <si>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</si>
  <si>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</si>
  <si>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</si>
  <si>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</si>
  <si>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</si>
  <si>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</si>
  <si>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</si>
  <si>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</si>
  <si>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</si>
  <si>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</si>
  <si>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</si>
  <si>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</si>
  <si>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</si>
  <si>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</si>
  <si>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</si>
  <si>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</si>
  <si>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</si>
  <si>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</si>
  <si>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</si>
  <si>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</si>
  <si>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</si>
  <si>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</si>
  <si>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</si>
  <si>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</si>
  <si>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</si>
  <si>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</si>
  <si>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</si>
  <si>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</si>
  <si>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</si>
  <si>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</si>
  <si>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</si>
  <si>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</si>
  <si>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</si>
  <si>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</si>
  <si>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</si>
  <si>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</si>
  <si>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</si>
  <si>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</si>
  <si>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</si>
  <si>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</si>
  <si>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</si>
  <si>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</si>
  <si>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</si>
  <si>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</si>
  <si>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</si>
  <si>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</si>
  <si>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</si>
  <si>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</si>
  <si>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</si>
  <si>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</si>
  <si>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</si>
  <si>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</si>
  <si>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</si>
  <si>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</si>
  <si>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</si>
  <si>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</si>
  <si>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</si>
  <si>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</si>
  <si>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</si>
  <si>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</si>
  <si>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</si>
  <si>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</si>
  <si>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</si>
  <si>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</si>
  <si>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</si>
  <si>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</si>
  <si>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</si>
  <si>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</si>
  <si>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</si>
  <si>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</si>
  <si>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</si>
  <si>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</si>
  <si>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</si>
  <si>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</si>
  <si>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</si>
  <si>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</si>
  <si>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</si>
  <si>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</si>
  <si>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</si>
  <si>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</si>
  <si>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</si>
  <si>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</si>
  <si>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</si>
  <si>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</si>
  <si>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</si>
  <si>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</si>
  <si>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</si>
  <si>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</si>
  <si>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</si>
  <si>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</si>
  <si>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</si>
  <si>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</si>
  <si>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</si>
  <si>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</si>
  <si>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</si>
  <si>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</si>
  <si>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</si>
  <si>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</si>
  <si>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</si>
  <si>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</si>
  <si>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</si>
  <si>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</si>
  <si>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</si>
  <si>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</si>
  <si>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</si>
  <si>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</si>
  <si>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</si>
  <si>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</si>
  <si>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</si>
  <si>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</si>
  <si>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</si>
  <si>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</si>
  <si>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</si>
  <si>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</si>
  <si>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</si>
  <si>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</si>
  <si>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</si>
  <si>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</si>
  <si>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</si>
  <si>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</si>
  <si>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</si>
  <si>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</si>
  <si>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</si>
  <si>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</si>
  <si>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</si>
  <si>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</si>
  <si>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</si>
  <si>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</si>
  <si>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</si>
  <si>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</si>
  <si>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</si>
  <si>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</si>
  <si>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</si>
  <si>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</si>
  <si>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</si>
  <si>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</si>
  <si>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</si>
  <si>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</si>
  <si>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</si>
  <si>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</si>
  <si>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</si>
  <si>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</si>
  <si>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</si>
  <si>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</si>
  <si>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</si>
  <si>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</si>
  <si>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</si>
  <si>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</si>
  <si>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</si>
  <si>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</si>
  <si>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</si>
  <si>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</si>
  <si>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</si>
  <si>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</si>
  <si>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</si>
  <si>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</si>
  <si>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</si>
  <si>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</si>
  <si>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</si>
  <si>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</si>
  <si>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</si>
  <si>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</si>
  <si>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</si>
  <si>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</si>
  <si>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</si>
  <si>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</si>
  <si>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</si>
  <si>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</si>
  <si>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</si>
  <si>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</si>
  <si>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</si>
  <si>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</si>
  <si>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</si>
  <si>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</si>
  <si>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</si>
  <si>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</si>
  <si>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</si>
  <si>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</si>
  <si>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</si>
  <si>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</si>
  <si>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</si>
  <si>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</si>
  <si>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</si>
  <si>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</si>
  <si>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</si>
  <si>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</si>
  <si>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</si>
  <si>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</si>
  <si>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</si>
  <si>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</si>
  <si>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</si>
  <si>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</si>
  <si>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</si>
  <si>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</si>
  <si>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</si>
  <si>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</si>
  <si>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</si>
  <si>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</si>
  <si>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</si>
  <si>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</si>
  <si>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</si>
  <si>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</si>
  <si>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</si>
  <si>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</si>
  <si>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</si>
  <si>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</si>
  <si>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</si>
  <si>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</si>
  <si>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</si>
  <si>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</si>
  <si>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</si>
  <si>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</si>
  <si>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</si>
  <si>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</si>
  <si>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</si>
  <si>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</si>
  <si>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</si>
  <si>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</si>
  <si>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</si>
  <si>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</si>
  <si>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</si>
  <si>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</si>
  <si>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</si>
  <si>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</si>
  <si>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</si>
  <si>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</si>
  <si>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</si>
  <si>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</si>
  <si>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</si>
  <si>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</si>
  <si>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</si>
  <si>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</si>
  <si>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</si>
  <si>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</si>
  <si>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</si>
  <si>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</si>
  <si>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</si>
  <si>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</si>
  <si>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</si>
  <si>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</si>
  <si>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</si>
  <si>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</si>
  <si>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</si>
  <si>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</si>
  <si>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</si>
  <si>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</si>
  <si>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</si>
  <si>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</si>
  <si>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</si>
  <si>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</si>
  <si>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</si>
  <si>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</si>
  <si>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</si>
  <si>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</si>
  <si>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</si>
  <si>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</si>
  <si>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</si>
  <si>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</si>
  <si>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</si>
  <si>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</si>
  <si>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</si>
  <si>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</si>
  <si>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</si>
  <si>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</si>
  <si>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</si>
  <si>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</si>
  <si>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</si>
  <si>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</si>
  <si>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</si>
  <si>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</si>
  <si>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</si>
  <si>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</si>
  <si>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</si>
  <si>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</si>
  <si>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</si>
  <si>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</si>
  <si>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</si>
  <si>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</si>
  <si>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</si>
  <si>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</si>
  <si>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</si>
  <si>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</si>
  <si>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</si>
  <si>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</si>
  <si>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</si>
  <si>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</si>
  <si>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</si>
  <si>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</si>
  <si>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</si>
  <si>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</si>
  <si>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</si>
  <si>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</si>
  <si>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</si>
  <si>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</si>
  <si>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</si>
  <si>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</si>
  <si>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</si>
  <si>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</si>
  <si>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</si>
  <si>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</si>
  <si>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</si>
  <si>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</si>
  <si>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</si>
  <si>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</si>
  <si>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</si>
  <si>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</si>
  <si>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</si>
  <si>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</si>
  <si>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</si>
  <si>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</si>
  <si>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</si>
  <si>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</si>
  <si>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</si>
  <si>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</si>
  <si>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</si>
  <si>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</si>
  <si>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</si>
  <si>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</si>
  <si>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</si>
  <si>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</si>
  <si>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</si>
  <si>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</si>
  <si>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</si>
  <si>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</si>
  <si>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</si>
  <si>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</si>
  <si>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</si>
  <si>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</si>
  <si>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</si>
  <si>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</si>
  <si>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</si>
  <si>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</si>
  <si>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</si>
  <si>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</si>
  <si>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</si>
  <si>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</si>
  <si>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</si>
  <si>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</si>
  <si>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</si>
  <si>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</si>
  <si>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</si>
  <si>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</si>
  <si>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</si>
  <si>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</si>
  <si>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</si>
  <si>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</si>
  <si>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</si>
  <si>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</si>
  <si>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</si>
  <si>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</si>
  <si>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</si>
  <si>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</si>
  <si>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</si>
  <si>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</si>
  <si>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</si>
  <si>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</si>
  <si>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</si>
  <si>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</si>
  <si>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</si>
  <si>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</si>
  <si>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</si>
  <si>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</si>
  <si>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</si>
  <si>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</si>
  <si>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</si>
  <si>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</si>
  <si>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</si>
  <si>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</si>
  <si>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</si>
  <si>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</si>
  <si>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</si>
  <si>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</si>
  <si>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</si>
  <si>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</si>
  <si>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</si>
  <si>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</si>
  <si>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</si>
  <si>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</si>
  <si>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</si>
  <si>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</si>
  <si>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</si>
  <si>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</si>
  <si>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</si>
  <si>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</si>
  <si>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</si>
  <si>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</si>
  <si>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</si>
  <si>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</si>
  <si>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</si>
  <si>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</si>
  <si>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</si>
  <si>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</si>
  <si>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</si>
  <si>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</si>
  <si>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</si>
  <si>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</si>
  <si>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</si>
  <si>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</si>
  <si>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</si>
  <si>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</si>
  <si>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</si>
  <si>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</si>
  <si>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</si>
  <si>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</si>
  <si>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</si>
  <si>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</si>
  <si>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</si>
  <si>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</si>
  <si>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</si>
  <si>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</si>
  <si>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</si>
  <si>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</si>
  <si>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</si>
  <si>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</si>
  <si>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</si>
  <si>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</si>
  <si>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</si>
  <si>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</si>
  <si>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</si>
  <si>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</si>
  <si>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</si>
  <si>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</si>
  <si>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</si>
  <si>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</si>
  <si>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</si>
  <si>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</si>
  <si>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</si>
  <si>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</si>
  <si>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</si>
  <si>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</si>
  <si>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</si>
  <si>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</si>
  <si>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</si>
  <si>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</si>
  <si>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</si>
  <si>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</si>
  <si>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</si>
  <si>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</si>
  <si>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</si>
  <si>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</si>
  <si>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</si>
  <si>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</si>
  <si>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</si>
  <si>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</si>
  <si>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</si>
  <si>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</si>
  <si>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</si>
  <si>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</si>
  <si>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</si>
  <si>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</si>
  <si>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</si>
  <si>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</si>
  <si>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</si>
  <si>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</si>
  <si>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</si>
  <si>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</si>
  <si>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</si>
  <si>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</si>
  <si>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</si>
  <si>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</si>
  <si>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</si>
  <si>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</si>
  <si>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</si>
  <si>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</si>
  <si>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</si>
  <si>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</si>
  <si>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</si>
  <si>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</si>
  <si>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</si>
  <si>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</si>
  <si>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</si>
  <si>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</si>
  <si>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</si>
  <si>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</si>
  <si>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</si>
  <si>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</si>
  <si>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</si>
  <si>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</si>
  <si>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</si>
  <si>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</si>
  <si>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</si>
  <si>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</si>
  <si>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</si>
  <si>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</si>
  <si>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</si>
  <si>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</si>
  <si>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</si>
  <si>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</si>
  <si>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</si>
  <si>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</si>
  <si>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</si>
  <si>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</si>
  <si>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</si>
  <si>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</si>
  <si>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</si>
  <si>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</si>
  <si>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</si>
  <si>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</si>
  <si>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</si>
  <si>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</si>
  <si>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</si>
  <si>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</si>
  <si>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</si>
  <si>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</si>
  <si>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</si>
  <si>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</si>
  <si>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</si>
  <si>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</si>
  <si>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</si>
  <si>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</si>
  <si>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</si>
  <si>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</si>
  <si>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</si>
  <si>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</si>
  <si>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</si>
  <si>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</si>
  <si>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</si>
  <si>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</si>
  <si>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</si>
  <si>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</si>
  <si>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</si>
  <si>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</si>
  <si>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</si>
  <si>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</si>
  <si>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</si>
  <si>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</si>
  <si>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</si>
  <si>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</si>
  <si>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</si>
  <si>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</si>
  <si>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</si>
  <si>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</si>
  <si>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</si>
  <si>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</si>
  <si>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</si>
  <si>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</si>
  <si>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</si>
  <si>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</si>
  <si>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</si>
  <si>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</si>
  <si>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</si>
  <si>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</si>
  <si>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</si>
  <si>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</si>
  <si>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</si>
  <si>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</si>
  <si>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</si>
  <si>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</si>
  <si>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</si>
  <si>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</si>
  <si>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</si>
  <si>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</si>
  <si>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</si>
  <si>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</si>
  <si>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</si>
  <si>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</si>
  <si>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</si>
  <si>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</si>
  <si>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</si>
  <si>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</si>
  <si>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</si>
  <si>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</si>
  <si>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</si>
  <si>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</si>
  <si>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</si>
  <si>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</si>
  <si>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</si>
  <si>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</si>
  <si>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</si>
  <si>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</si>
  <si>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</si>
  <si>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</si>
  <si>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</si>
  <si>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</si>
  <si>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</si>
  <si>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</si>
  <si>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</si>
  <si>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</si>
  <si>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</si>
  <si>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</si>
  <si>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</si>
  <si>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</si>
  <si>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</si>
  <si>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</si>
  <si>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</si>
  <si>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</si>
  <si>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</si>
  <si>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</si>
  <si>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</si>
  <si>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</si>
  <si>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</si>
  <si>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</si>
  <si>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</si>
  <si>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</si>
  <si>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</si>
  <si>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</si>
  <si>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</si>
  <si>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</si>
  <si>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</si>
  <si>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</si>
  <si>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</si>
  <si>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</si>
  <si>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</si>
  <si>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</si>
  <si>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</si>
  <si>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</si>
  <si>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</si>
  <si>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</si>
  <si>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</si>
  <si>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</si>
  <si>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</si>
  <si>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</si>
  <si>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</si>
  <si>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</si>
  <si>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</si>
  <si>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</si>
  <si>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</si>
  <si>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</si>
  <si>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</si>
  <si>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</si>
  <si>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</si>
  <si>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</si>
  <si>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</si>
  <si>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</si>
  <si>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</si>
  <si>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</si>
  <si>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</si>
  <si>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</si>
  <si>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</si>
  <si>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</si>
  <si>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</si>
  <si>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</si>
  <si>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</si>
  <si>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</si>
  <si>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</si>
  <si>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</si>
  <si>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</si>
  <si>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</si>
  <si>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</si>
  <si>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</si>
  <si>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</si>
  <si>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</si>
  <si>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</si>
  <si>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</si>
  <si>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</si>
  <si>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</si>
  <si>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</si>
  <si>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</si>
  <si>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</si>
  <si>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</si>
  <si>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</si>
  <si>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</si>
  <si>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</si>
  <si>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</si>
  <si>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</si>
  <si>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</si>
  <si>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</si>
  <si>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</si>
  <si>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</si>
  <si>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</si>
  <si>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</si>
  <si>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</si>
  <si>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</si>
  <si>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</si>
  <si>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</si>
  <si>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</si>
  <si>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</si>
  <si>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</si>
  <si>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</si>
  <si>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</si>
  <si>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</si>
  <si>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</si>
  <si>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</si>
  <si>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</si>
  <si>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</si>
  <si>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</si>
  <si>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</si>
  <si>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</si>
  <si>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</si>
  <si>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</si>
  <si>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</si>
  <si>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</si>
  <si>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</si>
  <si>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</si>
  <si>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</si>
  <si>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</si>
  <si>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</si>
  <si>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</si>
  <si>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</si>
  <si>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</si>
  <si>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</si>
  <si>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</si>
  <si>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</si>
  <si>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</si>
  <si>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</si>
  <si>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</si>
  <si>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</si>
  <si>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</si>
  <si>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</si>
  <si>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</si>
  <si>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</si>
  <si>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</si>
  <si>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</si>
  <si>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</si>
  <si>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</si>
  <si>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</si>
  <si>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</si>
  <si>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</si>
  <si>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</si>
  <si>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</si>
  <si>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</si>
  <si>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</si>
  <si>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</si>
  <si>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</si>
  <si>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</si>
  <si>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</si>
  <si>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</si>
  <si>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</si>
  <si>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</si>
  <si>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</si>
  <si>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</si>
  <si>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</si>
  <si>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</si>
  <si>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</si>
  <si>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</si>
  <si>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</si>
  <si>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</si>
  <si>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</si>
  <si>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</si>
  <si>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</si>
  <si>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</si>
  <si>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</si>
  <si>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</si>
  <si>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</si>
  <si>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</si>
  <si>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</si>
  <si>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</si>
  <si>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</si>
  <si>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</si>
  <si>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</si>
  <si>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</si>
  <si>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</si>
  <si>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</si>
  <si>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</si>
  <si>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</si>
  <si>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</si>
  <si>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</si>
  <si>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</si>
  <si>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</si>
  <si>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</si>
  <si>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</si>
  <si>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</si>
  <si>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</si>
  <si>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</si>
  <si>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</si>
  <si>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</si>
  <si>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</si>
  <si>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</si>
  <si>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</si>
  <si>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</si>
  <si>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</si>
  <si>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</si>
  <si>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</si>
  <si>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</si>
  <si>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</si>
  <si>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</si>
  <si>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</si>
  <si>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</si>
  <si>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</si>
  <si>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</si>
  <si>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</si>
  <si>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</si>
  <si>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</si>
  <si>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</si>
  <si>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</si>
  <si>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</si>
  <si>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</si>
  <si>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</si>
  <si>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</si>
  <si>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</si>
  <si>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</si>
  <si>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</si>
  <si>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</si>
  <si>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</si>
  <si>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</si>
  <si>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</si>
  <si>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</si>
  <si>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</si>
  <si>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</si>
  <si>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</si>
  <si>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</si>
  <si>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</si>
  <si>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</si>
  <si>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</si>
  <si>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</si>
  <si>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</si>
  <si>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</si>
  <si>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</si>
  <si>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</si>
  <si>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</si>
  <si>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</si>
  <si>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</si>
  <si>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</si>
  <si>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</si>
  <si>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</si>
  <si>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</si>
  <si>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</si>
  <si>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</si>
  <si>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</si>
  <si>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</si>
  <si>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</si>
  <si>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</si>
  <si>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</si>
  <si>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</si>
  <si>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</si>
  <si>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</si>
  <si>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</si>
  <si>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</si>
  <si>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</si>
  <si>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</si>
  <si>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</si>
  <si>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</si>
  <si>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</si>
  <si>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</si>
  <si>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</si>
  <si>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</si>
  <si>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</si>
  <si>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</si>
  <si>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</si>
  <si>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</si>
  <si>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</si>
  <si>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</si>
  <si>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</si>
  <si>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</si>
  <si>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</si>
  <si>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</si>
  <si>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</si>
  <si>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</si>
  <si>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</si>
  <si>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</si>
  <si>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</si>
  <si>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</si>
  <si>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</si>
  <si>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</si>
  <si>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</si>
  <si>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</si>
  <si>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</si>
  <si>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</si>
  <si>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</si>
  <si>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</si>
  <si>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</si>
  <si>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</si>
  <si>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</si>
  <si>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</si>
  <si>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</si>
  <si>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</si>
  <si>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</si>
  <si>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</si>
  <si>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</si>
  <si>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</si>
  <si>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</si>
  <si>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</si>
  <si>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</si>
  <si>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</si>
  <si>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</si>
  <si>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</si>
  <si>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</si>
  <si>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</si>
  <si>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</si>
  <si>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</si>
  <si>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</si>
  <si>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</si>
  <si>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</si>
  <si>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</si>
  <si>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</si>
  <si>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</si>
  <si>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</si>
  <si>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</si>
  <si>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</si>
  <si>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</si>
  <si>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</si>
  <si>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</si>
  <si>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</si>
  <si>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</si>
  <si>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</si>
  <si>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</si>
  <si>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</si>
  <si>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</si>
  <si>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</si>
  <si>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</si>
  <si>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</si>
  <si>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</si>
  <si>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</si>
  <si>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</si>
  <si>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</si>
  <si>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</si>
  <si>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</si>
  <si>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</si>
  <si>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</si>
  <si>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</si>
  <si>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</si>
  <si>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</si>
  <si>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</si>
  <si>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</si>
  <si>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</si>
  <si>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</si>
  <si>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</si>
  <si>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</si>
  <si>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</si>
  <si>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</si>
  <si>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</si>
  <si>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</si>
  <si>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</si>
  <si>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</si>
  <si>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</si>
  <si>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</si>
  <si>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</si>
  <si>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</si>
  <si>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</si>
  <si>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</si>
  <si>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</si>
  <si>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</si>
  <si>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</si>
  <si>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</si>
  <si>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</si>
  <si>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</si>
  <si>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</si>
  <si>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</si>
  <si>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</si>
  <si>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</si>
  <si>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</si>
  <si>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</si>
  <si>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</si>
  <si>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</si>
  <si>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</si>
  <si>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</si>
  <si>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</si>
  <si>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</si>
  <si>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</si>
  <si>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</si>
  <si>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</si>
  <si>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</si>
  <si>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</si>
  <si>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</si>
  <si>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</si>
  <si>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</si>
  <si>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</si>
  <si>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</si>
  <si>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</si>
  <si>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</si>
  <si>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</si>
  <si>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</si>
  <si>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</si>
  <si>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</si>
  <si>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</si>
  <si>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</si>
  <si>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</si>
  <si>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</si>
  <si>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</si>
  <si>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</si>
  <si>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</si>
  <si>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</si>
  <si>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</si>
  <si>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</si>
  <si>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</si>
  <si>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</si>
  <si>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</si>
  <si>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</si>
  <si>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</si>
  <si>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</si>
  <si>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</si>
  <si>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</si>
  <si>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</si>
  <si>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</si>
  <si>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</si>
  <si>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</si>
  <si>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</si>
  <si>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</si>
  <si>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</si>
  <si>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</si>
  <si>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</si>
  <si>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</si>
  <si>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</si>
  <si>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</si>
  <si>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</si>
  <si>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</si>
  <si>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</si>
  <si>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</si>
  <si>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</si>
  <si>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</si>
  <si>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</si>
  <si>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</si>
  <si>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</si>
  <si>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</si>
  <si>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</si>
  <si>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</si>
  <si>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</si>
  <si>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</si>
  <si>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</si>
  <si>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</si>
  <si>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</si>
  <si>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</si>
  <si>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</si>
  <si>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</si>
  <si>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</si>
  <si>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</si>
  <si>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</si>
  <si>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</si>
  <si>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</si>
  <si>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</si>
  <si>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</si>
  <si>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</si>
  <si>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</si>
  <si>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</si>
  <si>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</si>
  <si>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</si>
  <si>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</si>
  <si>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</si>
  <si>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</si>
  <si>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</si>
  <si>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</si>
  <si>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</si>
  <si>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</si>
  <si>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</si>
  <si>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</si>
  <si>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</si>
  <si>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</si>
  <si>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</si>
  <si>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</si>
  <si>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</si>
  <si>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</si>
  <si>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</si>
  <si>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</si>
  <si>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</si>
  <si>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</si>
  <si>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</si>
  <si>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</si>
  <si>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</si>
  <si>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</si>
  <si>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</si>
  <si>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</si>
  <si>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</si>
  <si>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</si>
  <si>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</si>
  <si>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</si>
  <si>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</si>
  <si>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</si>
  <si>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</si>
  <si>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</si>
  <si>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</si>
  <si>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</si>
  <si>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</si>
  <si>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</si>
  <si>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</si>
  <si>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</si>
  <si>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</si>
  <si>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</si>
  <si>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</si>
  <si>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</si>
  <si>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</si>
  <si>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</si>
  <si>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</si>
  <si>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</si>
  <si>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</si>
  <si>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</si>
  <si>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</si>
  <si>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</si>
  <si>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</si>
  <si>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</si>
  <si>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</si>
  <si>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</si>
  <si>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</si>
  <si>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</si>
  <si>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</si>
  <si>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</si>
  <si>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</si>
  <si>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</si>
  <si>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</si>
  <si>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</si>
  <si>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</si>
  <si>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</si>
  <si>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</si>
  <si>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</si>
  <si>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</si>
  <si>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</si>
  <si>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</si>
  <si>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</si>
  <si>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</si>
  <si>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</si>
  <si>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</si>
  <si>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</si>
  <si>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</si>
  <si>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</si>
  <si>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</si>
  <si>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</si>
  <si>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</si>
  <si>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</si>
  <si>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</si>
  <si>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</si>
  <si>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</si>
  <si>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</si>
  <si>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</si>
  <si>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</si>
  <si>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</si>
  <si>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</si>
  <si>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</si>
  <si>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</si>
  <si>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</si>
  <si>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</si>
  <si>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</si>
  <si>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</si>
  <si>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</si>
  <si>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</si>
  <si>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</si>
  <si>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</si>
  <si>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</si>
  <si>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</si>
  <si>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</si>
  <si>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</si>
  <si>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</si>
  <si>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</si>
  <si>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</si>
  <si>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</si>
  <si>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</si>
  <si>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</si>
  <si>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</si>
  <si>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</si>
  <si>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</si>
  <si>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</si>
  <si>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</si>
  <si>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</si>
  <si>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</si>
  <si>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</si>
  <si>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</si>
  <si>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</si>
  <si>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</si>
  <si>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</si>
  <si>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</si>
  <si>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</si>
  <si>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</si>
  <si>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</si>
  <si>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</si>
  <si>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</si>
  <si>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</si>
  <si>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</si>
  <si>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</si>
  <si>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</si>
  <si>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</si>
  <si>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</si>
  <si>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</si>
  <si>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</si>
  <si>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</si>
  <si>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</si>
  <si>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</si>
  <si>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</si>
  <si>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</si>
  <si>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</si>
  <si>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</si>
  <si>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</si>
  <si>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</si>
  <si>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</si>
  <si>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</si>
  <si>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</si>
  <si>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</si>
  <si>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</si>
  <si>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</si>
  <si>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</si>
  <si>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</si>
  <si>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</si>
  <si>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</si>
  <si>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</si>
  <si>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</si>
  <si>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</si>
  <si>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</si>
  <si>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</si>
  <si>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</si>
  <si>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</si>
  <si>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</si>
  <si>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</si>
  <si>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</si>
  <si>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</si>
  <si>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</si>
  <si>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</si>
  <si>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</si>
  <si>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</si>
  <si>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</si>
  <si>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</si>
  <si>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</si>
  <si>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</si>
  <si>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</si>
  <si>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</si>
  <si>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</si>
  <si>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</si>
  <si>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</si>
  <si>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</si>
  <si>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</si>
  <si>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</si>
  <si>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</si>
  <si>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</si>
  <si>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</si>
  <si>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</si>
  <si>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</si>
  <si>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</si>
  <si>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</si>
  <si>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</si>
  <si>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</si>
  <si>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</si>
  <si>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</si>
  <si>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</si>
  <si>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</si>
  <si>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</si>
  <si>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</si>
  <si>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</si>
  <si>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</si>
  <si>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</si>
  <si>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</si>
  <si>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</si>
  <si>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</si>
  <si>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</si>
  <si>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</si>
  <si>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</si>
  <si>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</si>
  <si>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</si>
  <si>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</si>
  <si>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</si>
  <si>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</si>
  <si>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</si>
  <si>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</si>
  <si>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</si>
  <si>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</si>
  <si>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</si>
  <si>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</si>
  <si>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</si>
  <si>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</si>
  <si>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</si>
  <si>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</si>
  <si>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</si>
  <si>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</si>
  <si>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</si>
  <si>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</si>
  <si>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</si>
  <si>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</si>
  <si>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</si>
  <si>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</si>
  <si>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</si>
  <si>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</si>
  <si>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</si>
  <si>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</si>
  <si>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</si>
  <si>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</si>
  <si>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</si>
  <si>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</si>
  <si>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</si>
  <si>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</si>
  <si>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</si>
  <si>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</si>
  <si>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</si>
  <si>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</si>
  <si>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</si>
  <si>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</si>
  <si>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</si>
  <si>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</si>
  <si>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</si>
  <si>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</si>
  <si>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</si>
  <si>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</si>
  <si>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</si>
  <si>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</si>
  <si>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</si>
  <si>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</si>
  <si>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</si>
  <si>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</si>
  <si>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</si>
  <si>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</si>
  <si>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</si>
  <si>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</si>
  <si>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</si>
  <si>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</si>
  <si>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</si>
  <si>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</si>
  <si>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</si>
  <si>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</si>
  <si>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</si>
  <si>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</si>
  <si>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</si>
  <si>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</si>
  <si>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</si>
  <si>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</si>
  <si>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</si>
  <si>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</si>
  <si>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</si>
  <si>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</si>
  <si>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</si>
  <si>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</si>
  <si>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</si>
  <si>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</si>
  <si>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</si>
  <si>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</si>
  <si>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</si>
  <si>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</si>
  <si>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</si>
  <si>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</si>
  <si>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</si>
  <si>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</si>
  <si>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</si>
  <si>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</si>
  <si>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</si>
  <si>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</si>
  <si>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</si>
  <si>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</si>
  <si>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</si>
  <si>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</si>
  <si>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</si>
  <si>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</si>
  <si>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</si>
  <si>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</si>
  <si>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</si>
  <si>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</si>
  <si>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</si>
  <si>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</si>
  <si>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</si>
  <si>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</si>
  <si>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</si>
  <si>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</si>
  <si>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</si>
  <si>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</si>
  <si>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</si>
  <si>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</si>
  <si>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</si>
  <si>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</si>
  <si>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</si>
  <si>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</si>
  <si>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</si>
  <si>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</si>
  <si>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</si>
  <si>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</si>
  <si>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</si>
  <si>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</si>
  <si>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</si>
  <si>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</si>
  <si>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</si>
  <si>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</si>
  <si>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</si>
  <si>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</si>
  <si>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</si>
  <si>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</si>
  <si>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</si>
  <si>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</si>
  <si>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</si>
  <si>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</si>
  <si>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</si>
  <si>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</si>
  <si>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</si>
  <si>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</si>
  <si>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</si>
  <si>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</si>
  <si>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</si>
  <si>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</si>
  <si>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</si>
  <si>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</si>
  <si>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</si>
  <si>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</si>
  <si>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</si>
  <si>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</si>
  <si>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</si>
  <si>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</si>
  <si>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</si>
  <si>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</si>
  <si>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</si>
  <si>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</si>
  <si>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</si>
  <si>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</si>
  <si>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</si>
  <si>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</si>
  <si>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</si>
  <si>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</si>
  <si>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</si>
  <si>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</si>
  <si>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</si>
  <si>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</si>
  <si>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</si>
  <si>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</si>
  <si>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</si>
  <si>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</si>
  <si>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</si>
  <si>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</si>
  <si>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</si>
  <si>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</si>
  <si>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</si>
  <si>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</si>
  <si>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</si>
  <si>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</si>
  <si>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</si>
  <si>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</si>
  <si>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</si>
  <si>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</si>
  <si>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</si>
  <si>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</si>
  <si>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</si>
  <si>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</si>
  <si>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</si>
  <si>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</si>
  <si>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</si>
  <si>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</si>
  <si>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</si>
  <si>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</si>
  <si>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</si>
  <si>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</si>
  <si>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</si>
  <si>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</si>
  <si>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</si>
  <si>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</si>
  <si>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</si>
  <si>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</si>
  <si>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</si>
  <si>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</si>
  <si>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</si>
  <si>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</si>
  <si>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</si>
  <si>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</si>
  <si>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</si>
  <si>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</si>
  <si>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</si>
  <si>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</si>
  <si>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</si>
  <si>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</si>
  <si>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</si>
  <si>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</si>
  <si>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</si>
  <si>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</si>
  <si>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</si>
  <si>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</si>
  <si>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</si>
  <si>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</si>
  <si>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</si>
  <si>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</si>
  <si>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</si>
  <si>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</si>
  <si>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</si>
  <si>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</si>
  <si>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</si>
  <si>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</si>
  <si>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</si>
  <si>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</si>
  <si>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</si>
  <si>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</si>
  <si>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</si>
  <si>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</si>
  <si>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</si>
  <si>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</si>
  <si>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</si>
  <si>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</si>
  <si>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</si>
  <si>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</si>
  <si>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</si>
  <si>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</si>
  <si>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</si>
  <si>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</si>
  <si>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</si>
  <si>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</si>
  <si>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</si>
  <si>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</si>
  <si>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</si>
  <si>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</si>
  <si>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</si>
  <si>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</si>
  <si>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</si>
  <si>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</si>
  <si>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</si>
  <si>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</si>
  <si>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</si>
  <si>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</si>
  <si>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</si>
  <si>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</si>
  <si>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</si>
  <si>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</si>
  <si>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</si>
  <si>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</si>
  <si>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</si>
  <si>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</si>
  <si>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</si>
  <si>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</si>
  <si>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</si>
  <si>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</si>
  <si>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</si>
  <si>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</si>
  <si>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</si>
  <si>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</si>
  <si>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</si>
  <si>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</si>
  <si>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</si>
  <si>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</si>
  <si>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</si>
  <si>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</si>
  <si>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</si>
  <si>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</si>
  <si>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</si>
  <si>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</si>
  <si>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</si>
  <si>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</si>
  <si>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</si>
  <si>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</si>
  <si>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</si>
  <si>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</si>
  <si>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</si>
  <si>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</si>
  <si>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</si>
  <si>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</si>
  <si>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</si>
  <si>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</si>
  <si>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</si>
  <si>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</si>
  <si>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</si>
  <si>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</si>
  <si>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</si>
  <si>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</si>
  <si>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</si>
  <si>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</si>
  <si>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</si>
  <si>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</si>
  <si>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</si>
  <si>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</si>
  <si>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</si>
  <si>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</si>
  <si>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</si>
  <si>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</si>
  <si>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</si>
  <si>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</si>
  <si>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</si>
  <si>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</si>
  <si>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</si>
  <si>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</si>
  <si>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</si>
  <si>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</si>
  <si>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</si>
  <si>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</si>
  <si>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</si>
  <si>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</si>
  <si>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</si>
  <si>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</si>
  <si>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</si>
  <si>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</si>
  <si>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</si>
  <si>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</si>
  <si>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</si>
  <si>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</si>
  <si>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</si>
  <si>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</si>
  <si>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</si>
  <si>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</si>
  <si>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</si>
  <si>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</si>
  <si>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</si>
  <si>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</si>
  <si>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</si>
  <si>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</si>
  <si>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</si>
  <si>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</si>
  <si>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</si>
  <si>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</si>
  <si>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</si>
  <si>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</si>
  <si>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</si>
  <si>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</si>
  <si>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</si>
  <si>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</si>
  <si>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</si>
  <si>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</si>
  <si>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</si>
  <si>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</si>
  <si>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</si>
  <si>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</si>
  <si>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</si>
  <si>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</si>
  <si>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</si>
  <si>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</si>
  <si>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</si>
  <si>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</si>
  <si>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</si>
  <si>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</si>
  <si>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</si>
  <si>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</si>
  <si>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</si>
  <si>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</si>
  <si>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</si>
  <si>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</si>
  <si>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</si>
  <si>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</si>
  <si>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</si>
  <si>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</si>
  <si>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</si>
  <si>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</si>
  <si>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</si>
  <si>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</si>
  <si>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</si>
  <si>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</si>
  <si>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</si>
  <si>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</si>
  <si>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</si>
  <si>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</si>
  <si>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</si>
  <si>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</si>
  <si>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</si>
  <si>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</si>
  <si>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</si>
  <si>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</si>
  <si>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</si>
  <si>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</si>
  <si>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</si>
  <si>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</si>
  <si>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</si>
  <si>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</si>
  <si>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</si>
  <si>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</si>
  <si>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</si>
  <si>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</si>
  <si>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</si>
  <si>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</si>
  <si>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</si>
  <si>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</si>
  <si>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</si>
  <si>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</si>
  <si>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</si>
  <si>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</si>
  <si>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</si>
  <si>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</si>
  <si>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</si>
  <si>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</si>
  <si>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</si>
  <si>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</si>
  <si>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</si>
  <si>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</si>
  <si>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</si>
  <si>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</si>
  <si>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</si>
  <si>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</si>
  <si>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</si>
  <si>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</si>
  <si>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</si>
  <si>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</si>
  <si>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</si>
  <si>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</si>
  <si>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</si>
  <si>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</si>
  <si>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</si>
  <si>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</si>
  <si>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</si>
  <si>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</si>
  <si>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</si>
  <si>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</si>
  <si>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</si>
  <si>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</si>
  <si>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</si>
  <si>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</si>
  <si>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</si>
  <si>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</si>
  <si>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</si>
  <si>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</si>
  <si>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</si>
  <si>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</si>
  <si>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</si>
  <si>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</si>
  <si>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</si>
  <si>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</si>
  <si>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</si>
  <si>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</si>
  <si>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</si>
  <si>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</si>
  <si>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</si>
  <si>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</si>
  <si>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</si>
  <si>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</si>
  <si>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</si>
  <si>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</si>
  <si>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</si>
  <si>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</si>
  <si>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</si>
  <si>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</si>
  <si>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</si>
  <si>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</si>
  <si>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</si>
  <si>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</si>
  <si>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</si>
  <si>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</si>
  <si>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</si>
  <si>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</si>
  <si>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</si>
  <si>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</si>
  <si>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</si>
  <si>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</si>
  <si>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</si>
  <si>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</si>
  <si>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</si>
  <si>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</si>
  <si>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</si>
  <si>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</si>
  <si>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</si>
  <si>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</si>
  <si>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</si>
  <si>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</si>
  <si>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</si>
  <si>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</si>
  <si>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</si>
  <si>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</si>
  <si>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</si>
  <si>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</si>
  <si>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</si>
  <si>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</si>
  <si>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</si>
  <si>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</si>
  <si>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</si>
  <si>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</si>
  <si>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</si>
  <si>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</si>
  <si>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</si>
  <si>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</si>
  <si>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</si>
  <si>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</si>
  <si>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</si>
  <si>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</si>
  <si>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</si>
  <si>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</si>
  <si>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</si>
  <si>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</si>
  <si>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</si>
  <si>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</si>
  <si>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</si>
  <si>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</si>
  <si>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</si>
  <si>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</si>
  <si>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</si>
  <si>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</si>
  <si>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</si>
  <si>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</si>
  <si>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</si>
  <si>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</si>
  <si>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</si>
  <si>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</si>
  <si>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</si>
  <si>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</si>
  <si>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</si>
  <si>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</si>
  <si>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</si>
  <si>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</si>
  <si>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</si>
  <si>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</si>
  <si>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</si>
  <si>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</si>
  <si>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</si>
  <si>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</si>
  <si>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</si>
  <si>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</si>
  <si>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</si>
  <si>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</si>
  <si>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</si>
  <si>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</si>
  <si>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</si>
  <si>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</si>
  <si>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</si>
  <si>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</si>
  <si>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</si>
  <si>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</si>
  <si>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</si>
  <si>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</si>
  <si>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</si>
  <si>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</si>
  <si>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</si>
  <si>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</si>
  <si>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</si>
  <si>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</si>
  <si>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</si>
  <si>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</si>
  <si>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</si>
  <si>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</si>
  <si>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</si>
  <si>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</si>
  <si>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</si>
  <si>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</si>
  <si>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</si>
  <si>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</si>
  <si>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</si>
  <si>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</si>
  <si>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</si>
  <si>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</si>
  <si>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</si>
  <si>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</si>
  <si>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</si>
  <si>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</si>
  <si>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</si>
  <si>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</si>
  <si>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</si>
  <si>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</si>
  <si>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</si>
  <si>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</si>
  <si>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</si>
  <si>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</si>
  <si>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</si>
  <si>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</si>
  <si>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</si>
  <si>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</si>
  <si>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</si>
  <si>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</si>
  <si>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</si>
  <si>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</si>
  <si>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</si>
  <si>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</si>
  <si>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</si>
  <si>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</si>
  <si>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</si>
  <si>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</si>
  <si>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</si>
  <si>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</si>
  <si>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</si>
  <si>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</si>
  <si>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</si>
  <si>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</si>
  <si>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</si>
  <si>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</si>
  <si>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</si>
  <si>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</si>
  <si>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</si>
  <si>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</si>
  <si>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</si>
  <si>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</si>
  <si>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</si>
  <si>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</si>
  <si>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</si>
  <si>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</si>
  <si>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</si>
  <si>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</si>
  <si>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</si>
  <si>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</si>
  <si>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</si>
  <si>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</si>
  <si>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</si>
  <si>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</si>
  <si>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</si>
  <si>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</si>
  <si>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</si>
  <si>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</si>
  <si>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</si>
  <si>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</si>
  <si>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</si>
  <si>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</si>
  <si>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</si>
  <si>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</si>
  <si>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</si>
  <si>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</si>
  <si>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</si>
  <si>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</si>
  <si>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</si>
  <si>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</si>
  <si>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</si>
  <si>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</si>
  <si>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</si>
  <si>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</si>
  <si>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</si>
  <si>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</si>
  <si>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</si>
  <si>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</si>
  <si>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</si>
  <si>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</si>
  <si>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</si>
  <si>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</si>
  <si>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</si>
  <si>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</si>
  <si>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</si>
  <si>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</si>
  <si>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</si>
  <si>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</si>
  <si>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</si>
  <si>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</si>
  <si>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</si>
  <si>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</si>
  <si>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</si>
  <si>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</si>
  <si>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</si>
  <si>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</si>
  <si>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</si>
  <si>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</si>
  <si>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</si>
  <si>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</si>
  <si>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</si>
  <si>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</si>
  <si>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</si>
  <si>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</si>
  <si>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</si>
  <si>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</si>
  <si>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</si>
  <si>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</si>
  <si>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</si>
  <si>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</si>
  <si>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</si>
  <si>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</si>
  <si>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</si>
  <si>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</si>
  <si>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</si>
  <si>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</si>
  <si>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</si>
  <si>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</si>
  <si>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</si>
  <si>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</si>
  <si>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</si>
  <si>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</si>
  <si>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</si>
  <si>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</si>
  <si>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</si>
  <si>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</si>
  <si>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</si>
  <si>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</si>
  <si>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</si>
  <si>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</si>
  <si>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</si>
  <si>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</si>
  <si>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</si>
  <si>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</si>
  <si>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</si>
  <si>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</si>
  <si>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</si>
  <si>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</si>
  <si>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</si>
  <si>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</si>
  <si>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</si>
  <si>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</si>
  <si>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</si>
  <si>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</si>
  <si>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</si>
  <si>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</si>
  <si>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</si>
  <si>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</si>
  <si>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</si>
  <si>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</si>
  <si>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</si>
  <si>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</si>
  <si>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</si>
  <si>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</si>
  <si>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</si>
  <si>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</si>
  <si>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</si>
  <si>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</si>
  <si>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</si>
  <si>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</si>
  <si>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</si>
  <si>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</si>
  <si>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</si>
  <si>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</si>
  <si>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</si>
  <si>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</si>
  <si>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</si>
  <si>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</si>
  <si>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</si>
  <si>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</si>
  <si>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</si>
  <si>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</si>
  <si>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</si>
  <si>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</si>
  <si>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</si>
  <si>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</si>
  <si>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</si>
  <si>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</si>
  <si>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</si>
  <si>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</si>
  <si>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</si>
  <si>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</si>
  <si>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</si>
  <si>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</si>
  <si>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</si>
  <si>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</si>
  <si>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</si>
  <si>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</si>
  <si>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</si>
  <si>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</si>
  <si>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</si>
  <si>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</si>
  <si>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</si>
  <si>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</si>
  <si>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</si>
  <si>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</si>
  <si>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</si>
  <si>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</si>
  <si>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</si>
  <si>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</si>
  <si>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</si>
  <si>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</si>
  <si>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</si>
  <si>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</si>
  <si>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</si>
  <si>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</si>
  <si>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</si>
  <si>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</si>
  <si>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</si>
  <si>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</si>
  <si>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</si>
  <si>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</si>
  <si>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</si>
  <si>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</si>
  <si>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</si>
  <si>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</si>
  <si>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</si>
  <si>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</si>
  <si>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</si>
  <si>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</si>
  <si>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</si>
  <si>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</si>
  <si>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</si>
  <si>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</si>
  <si>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</si>
  <si>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</si>
  <si>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</si>
  <si>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</si>
  <si>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</si>
  <si>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</si>
  <si>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</si>
  <si>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</si>
  <si>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</si>
  <si>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</si>
  <si>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</si>
  <si>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</si>
  <si>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</si>
  <si>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</si>
  <si>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</si>
  <si>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</si>
  <si>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</si>
  <si>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</si>
  <si>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</si>
  <si>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</si>
  <si>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</si>
  <si>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</si>
  <si>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</si>
  <si>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</si>
  <si>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</si>
  <si>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</si>
  <si>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</si>
  <si>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</si>
  <si>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</si>
  <si>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</si>
  <si>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</si>
  <si>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</si>
  <si>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</si>
  <si>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</si>
  <si>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</si>
  <si>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</si>
  <si>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</si>
  <si>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</si>
  <si>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</si>
  <si>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</si>
  <si>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</si>
  <si>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</si>
  <si>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</si>
  <si>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</si>
  <si>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</si>
  <si>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</si>
  <si>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</si>
  <si>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</si>
  <si>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</si>
  <si>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</si>
  <si>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</si>
  <si>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</si>
  <si>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</si>
  <si>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</si>
  <si>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</si>
  <si>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</si>
  <si>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</si>
  <si>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</si>
  <si>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</si>
  <si>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</si>
  <si>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</si>
  <si>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</si>
  <si>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</si>
  <si>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</si>
  <si>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</si>
  <si>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</si>
  <si>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</si>
  <si>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</si>
  <si>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</si>
  <si>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</si>
  <si>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</si>
  <si>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</si>
  <si>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</si>
  <si>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</si>
  <si>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</si>
  <si>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</si>
  <si>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</si>
  <si>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</si>
  <si>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</si>
  <si>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</si>
  <si>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</si>
  <si>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</si>
  <si>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</si>
  <si>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</si>
  <si>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</si>
  <si>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</si>
  <si>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</si>
  <si>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</si>
  <si>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</si>
  <si>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</si>
  <si>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</si>
  <si>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</si>
  <si>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</si>
  <si>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</si>
  <si>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</si>
  <si>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</si>
  <si>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</si>
  <si>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</si>
  <si>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</si>
  <si>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</si>
  <si>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</si>
  <si>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</si>
  <si>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</si>
  <si>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</si>
  <si>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</si>
  <si>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</si>
  <si>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</si>
  <si>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</si>
  <si>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</si>
  <si>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</si>
  <si>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</si>
  <si>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</si>
  <si>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</si>
  <si>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</si>
  <si>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</si>
  <si>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</si>
  <si>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</si>
  <si>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</si>
  <si>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</si>
  <si>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</si>
  <si>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</si>
  <si>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</si>
  <si>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</si>
  <si>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</si>
  <si>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</si>
  <si>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</si>
  <si>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</si>
  <si>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</si>
  <si>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</si>
  <si>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</si>
  <si>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</si>
  <si>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</si>
  <si>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</si>
  <si>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</si>
  <si>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</si>
  <si>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</si>
  <si>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</si>
  <si>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</si>
  <si>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</si>
  <si>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</si>
  <si>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</si>
  <si>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</si>
  <si>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</si>
  <si>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</si>
  <si>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</si>
  <si>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</si>
  <si>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</si>
  <si>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</si>
  <si>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</si>
  <si>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</si>
  <si>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</si>
  <si>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</si>
  <si>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</si>
  <si>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</si>
  <si>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</si>
  <si>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</si>
  <si>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</si>
  <si>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</si>
  <si>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</si>
  <si>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</si>
  <si>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</si>
  <si>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</si>
  <si>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</si>
  <si>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</si>
  <si>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</si>
  <si>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</si>
  <si>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</si>
  <si>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</si>
  <si>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</si>
  <si>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</si>
  <si>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</si>
  <si>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</si>
  <si>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</si>
  <si>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</si>
  <si>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</si>
  <si>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</si>
  <si>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</si>
  <si>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</si>
  <si>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</si>
  <si>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</si>
  <si>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</si>
  <si>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</si>
  <si>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</si>
  <si>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</si>
  <si>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</si>
  <si>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</si>
  <si>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</si>
  <si>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</si>
  <si>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</si>
  <si>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</si>
  <si>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</si>
  <si>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</si>
  <si>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</si>
  <si>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</si>
  <si>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</si>
  <si>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</si>
  <si>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</si>
  <si>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</si>
  <si>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</si>
  <si>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</si>
  <si>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</si>
  <si>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</si>
  <si>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</si>
  <si>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</si>
  <si>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</si>
  <si>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</si>
  <si>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</si>
  <si>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</si>
  <si>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</si>
  <si>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</si>
  <si>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</si>
  <si>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</si>
  <si>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</si>
  <si>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</si>
  <si>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</si>
  <si>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</si>
  <si>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</si>
  <si>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</si>
  <si>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</si>
  <si>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</si>
  <si>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</si>
  <si>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</si>
  <si>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</si>
  <si>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</si>
  <si>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</si>
  <si>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</si>
  <si>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</si>
  <si>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</si>
  <si>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</si>
  <si>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</si>
  <si>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</si>
  <si>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</si>
  <si>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</si>
  <si>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</si>
  <si>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</si>
  <si>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</si>
  <si>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</si>
  <si>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</si>
  <si>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</si>
  <si>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</si>
  <si>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</si>
  <si>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</si>
  <si>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</si>
  <si>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</si>
  <si>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</si>
  <si>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</si>
  <si>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</si>
  <si>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</si>
  <si>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</si>
  <si>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</si>
  <si>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</si>
  <si>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</si>
  <si>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</si>
  <si>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</si>
  <si>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</si>
  <si>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</si>
  <si>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</si>
  <si>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</si>
  <si>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</si>
  <si>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</si>
  <si>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</si>
  <si>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</si>
  <si>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</si>
  <si>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</si>
  <si>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</si>
  <si>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</si>
  <si>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</si>
  <si>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</si>
  <si>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</si>
  <si>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</si>
  <si>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</si>
  <si>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</si>
  <si>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</si>
  <si>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</si>
  <si>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</si>
  <si>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</si>
  <si>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</si>
  <si>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</si>
  <si>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</si>
  <si>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</si>
  <si>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</si>
  <si>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</si>
  <si>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</si>
  <si>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</si>
  <si>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</si>
  <si>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</si>
  <si>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</si>
  <si>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</si>
  <si>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</si>
  <si>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</si>
  <si>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</si>
  <si>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</si>
  <si>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</si>
  <si>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</si>
  <si>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</si>
  <si>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</si>
  <si>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</si>
  <si>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</si>
  <si>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</si>
  <si>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</si>
  <si>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</si>
  <si>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</si>
  <si>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</si>
  <si>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</si>
  <si>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</si>
  <si>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</si>
  <si>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</si>
  <si>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</si>
  <si>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</si>
  <si>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</si>
  <si>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</si>
  <si>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</si>
  <si>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</si>
  <si>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</si>
  <si>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</si>
  <si>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</si>
  <si>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</si>
  <si>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</si>
  <si>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</si>
  <si>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</si>
  <si>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</si>
  <si>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</si>
  <si>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</si>
  <si>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</si>
  <si>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</si>
  <si>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</si>
  <si>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</si>
  <si>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</si>
  <si>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</si>
  <si>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</si>
  <si>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</si>
  <si>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</si>
  <si>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</si>
  <si>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</si>
  <si>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</si>
  <si>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</si>
  <si>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</si>
  <si>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</si>
  <si>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</si>
  <si>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</si>
  <si>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</si>
  <si>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</si>
  <si>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</si>
  <si>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</si>
  <si>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</si>
  <si>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</si>
  <si>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</si>
  <si>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</si>
  <si>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</si>
  <si>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</si>
  <si>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</si>
  <si>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</si>
  <si>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</si>
  <si>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</si>
  <si>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</si>
  <si>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</si>
  <si>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</si>
  <si>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</si>
  <si>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</si>
  <si>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</si>
  <si>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</si>
  <si>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</si>
  <si>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</si>
  <si>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</si>
  <si>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</si>
  <si>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</si>
  <si>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</si>
  <si>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</si>
  <si>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</si>
  <si>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</si>
  <si>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</si>
  <si>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</si>
  <si>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</si>
  <si>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</si>
  <si>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</si>
  <si>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</si>
  <si>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</si>
  <si>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</si>
  <si>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</si>
  <si>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</si>
  <si>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</si>
  <si>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</si>
  <si>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</si>
  <si>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</si>
  <si>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</si>
  <si>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</si>
  <si>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</si>
  <si>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</si>
  <si>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</si>
  <si>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</si>
  <si>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</si>
  <si>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</si>
  <si>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</si>
  <si>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</si>
  <si>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</si>
  <si>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</si>
  <si>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</si>
  <si>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</si>
  <si>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</si>
  <si>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</si>
  <si>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</si>
  <si>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</si>
  <si>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</si>
  <si>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</si>
  <si>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</si>
  <si>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</si>
  <si>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</si>
  <si>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</si>
  <si>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</si>
  <si>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</si>
  <si>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</si>
  <si>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</si>
  <si>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</si>
  <si>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</si>
  <si>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</si>
  <si>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</si>
  <si>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</si>
  <si>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</si>
  <si>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</si>
  <si>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</si>
  <si>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</si>
  <si>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</si>
  <si>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</si>
  <si>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</si>
  <si>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</si>
  <si>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</si>
  <si>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</si>
  <si>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</si>
  <si>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</si>
  <si>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</si>
  <si>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</si>
  <si>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</si>
  <si>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</si>
  <si>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</si>
  <si>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</si>
  <si>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</si>
  <si>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</si>
  <si>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</si>
  <si>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</si>
  <si>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</si>
  <si>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</si>
  <si>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</si>
  <si>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</si>
  <si>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</si>
  <si>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</si>
  <si>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</si>
  <si>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</si>
  <si>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</si>
  <si>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</si>
  <si>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</si>
  <si>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</si>
  <si>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</si>
  <si>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</si>
  <si>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</si>
  <si>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</si>
  <si>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</si>
  <si>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</si>
  <si>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</si>
  <si>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</si>
  <si>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</si>
  <si>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</si>
  <si>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</si>
  <si>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</si>
  <si>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</si>
  <si>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</si>
  <si>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</si>
  <si>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</si>
  <si>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</si>
  <si>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</si>
  <si>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</si>
  <si>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</si>
  <si>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</si>
  <si>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</si>
  <si>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</si>
  <si>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</si>
  <si>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</si>
  <si>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</si>
  <si>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</si>
  <si>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</si>
  <si>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</si>
  <si>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</si>
  <si>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</si>
  <si>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</si>
  <si>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</si>
  <si>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</si>
  <si>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</si>
  <si>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</si>
  <si>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</si>
  <si>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</si>
  <si>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</si>
  <si>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</si>
  <si>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</si>
  <si>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</si>
  <si>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</si>
  <si>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</si>
  <si>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</si>
  <si>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</si>
  <si>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</si>
  <si>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</si>
  <si>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</si>
  <si>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</si>
  <si>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</si>
  <si>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</si>
  <si>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</si>
  <si>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</si>
  <si>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</si>
  <si>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</si>
  <si>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</si>
  <si>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</si>
  <si>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</si>
  <si>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</si>
  <si>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</si>
  <si>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</si>
  <si>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</si>
  <si>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</si>
  <si>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</si>
  <si>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</si>
  <si>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</si>
  <si>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</si>
  <si>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</si>
  <si>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</si>
  <si>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</si>
  <si>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</si>
  <si>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</si>
  <si>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</si>
  <si>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</si>
  <si>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</si>
  <si>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</si>
  <si>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</si>
  <si>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</si>
  <si>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</si>
  <si>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</si>
  <si>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</si>
  <si>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</si>
  <si>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</si>
  <si>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</si>
  <si>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</si>
  <si>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</si>
  <si>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</si>
  <si>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</si>
  <si>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</si>
  <si>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</si>
  <si>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</si>
  <si>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</si>
  <si>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</si>
  <si>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</si>
  <si>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</si>
  <si>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</si>
  <si>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</si>
  <si>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</si>
  <si>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</si>
  <si>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</si>
  <si>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</si>
  <si>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</si>
  <si>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</si>
  <si>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</si>
  <si>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</si>
  <si>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</si>
  <si>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</si>
  <si>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</si>
  <si>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</si>
  <si>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</si>
  <si>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</si>
  <si>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</si>
  <si>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</si>
  <si>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</si>
  <si>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</si>
  <si>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</si>
  <si>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</si>
  <si>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</si>
  <si>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</si>
  <si>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</si>
  <si>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</si>
  <si>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</si>
  <si>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</si>
  <si>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</si>
  <si>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</si>
  <si>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</si>
  <si>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</si>
  <si>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</si>
  <si>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</si>
  <si>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</si>
  <si>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</si>
  <si>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</si>
  <si>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</si>
  <si>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</si>
  <si>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</si>
  <si>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</si>
  <si>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</si>
  <si>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</si>
  <si>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</si>
  <si>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</si>
  <si>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</si>
  <si>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</si>
  <si>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</si>
  <si>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</si>
  <si>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</si>
  <si>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</si>
  <si>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</si>
  <si>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</si>
  <si>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</si>
  <si>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</si>
  <si>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</si>
  <si>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</si>
  <si>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</si>
  <si>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</si>
  <si>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</si>
  <si>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</si>
  <si>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</si>
  <si>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</si>
  <si>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</si>
  <si>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</si>
  <si>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</si>
  <si>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</si>
  <si>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</si>
  <si>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</si>
  <si>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</si>
  <si>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</si>
  <si>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</si>
  <si>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</si>
  <si>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</si>
  <si>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</si>
  <si>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</si>
  <si>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</si>
  <si>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</si>
  <si>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</si>
  <si>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</si>
  <si>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</si>
  <si>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</si>
  <si>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</si>
  <si>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</si>
  <si>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</si>
  <si>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</si>
  <si>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</si>
  <si>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</si>
  <si>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</si>
  <si>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</si>
  <si>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</si>
  <si>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</si>
  <si>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</si>
  <si>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</si>
  <si>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</si>
  <si>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</si>
  <si>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</si>
  <si>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</si>
  <si>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</si>
  <si>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</si>
  <si>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</si>
  <si>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</si>
  <si>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</si>
  <si>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</si>
  <si>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</si>
  <si>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</si>
  <si>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</si>
  <si>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</si>
  <si>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</si>
  <si>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</si>
  <si>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</si>
  <si>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</si>
  <si>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</si>
  <si>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</si>
  <si>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</si>
  <si>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</si>
  <si>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</si>
  <si>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</si>
  <si>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</si>
  <si>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</si>
  <si>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</si>
  <si>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</si>
  <si>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</si>
  <si>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</si>
  <si>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</si>
  <si>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</si>
  <si>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</si>
  <si>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</si>
  <si>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</si>
  <si>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</si>
  <si>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</si>
  <si>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</si>
  <si>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</si>
  <si>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</si>
  <si>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</si>
  <si>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</si>
  <si>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</si>
  <si>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</si>
  <si>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</si>
  <si>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</si>
  <si>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</si>
  <si>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</si>
  <si>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</si>
  <si>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</si>
  <si>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</si>
  <si>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</si>
  <si>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</si>
  <si>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</si>
  <si>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</si>
  <si>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</si>
  <si>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</si>
  <si>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</si>
  <si>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</si>
  <si>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</si>
  <si>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</si>
  <si>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</si>
  <si>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</si>
  <si>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</si>
  <si>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</si>
  <si>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</si>
  <si>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</si>
  <si>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</si>
  <si>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</si>
  <si>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</si>
  <si>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</si>
  <si>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</si>
  <si>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</si>
  <si>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</si>
  <si>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</si>
  <si>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</si>
  <si>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</si>
  <si>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</si>
  <si>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</si>
  <si>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</si>
  <si>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</si>
  <si>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</si>
  <si>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</si>
  <si>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</si>
  <si>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</si>
  <si>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</si>
  <si>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</si>
  <si>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</si>
  <si>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</si>
  <si>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</si>
  <si>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</si>
  <si>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</si>
  <si>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</si>
  <si>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</si>
  <si>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</si>
  <si>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</si>
  <si>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</si>
  <si>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</si>
  <si>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</si>
  <si>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</si>
  <si>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</si>
  <si>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</si>
  <si>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</si>
  <si>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</si>
  <si>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</si>
  <si>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</si>
  <si>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</si>
  <si>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</si>
  <si>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</si>
  <si>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</si>
  <si>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</si>
  <si>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</si>
  <si>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</si>
  <si>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</si>
  <si>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</si>
  <si>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</si>
  <si>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</si>
  <si>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</si>
  <si>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</si>
  <si>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</si>
  <si>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</si>
  <si>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</si>
  <si>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</si>
  <si>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</si>
  <si>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</si>
  <si>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</si>
  <si>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</si>
  <si>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</si>
  <si>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</si>
  <si>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</si>
  <si>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</si>
  <si>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</si>
  <si>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</si>
  <si>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</si>
  <si>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</si>
  <si>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</si>
  <si>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</si>
  <si>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</si>
  <si>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</si>
  <si>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</si>
  <si>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</si>
  <si>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</si>
  <si>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</si>
  <si>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</si>
  <si>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</si>
  <si>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</si>
  <si>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</si>
  <si>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</si>
  <si>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</si>
  <si>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</si>
  <si>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</si>
  <si>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</si>
  <si>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</si>
  <si>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</si>
  <si>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</si>
  <si>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</si>
  <si>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</si>
  <si>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</si>
  <si>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</si>
  <si>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</si>
  <si>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</si>
  <si>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</si>
  <si>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</si>
  <si>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</si>
  <si>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</si>
  <si>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</si>
  <si>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</si>
  <si>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</si>
  <si>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</si>
  <si>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</si>
  <si>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</si>
  <si>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</si>
  <si>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</si>
  <si>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</si>
  <si>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</si>
  <si>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</si>
  <si>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</si>
  <si>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</si>
  <si>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</si>
  <si>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</si>
  <si>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</si>
  <si>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</si>
  <si>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</si>
  <si>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</si>
  <si>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</si>
  <si>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</si>
  <si>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</si>
  <si>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</si>
  <si>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</si>
  <si>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</si>
  <si>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</si>
  <si>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</si>
  <si>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</si>
  <si>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</si>
  <si>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</si>
  <si>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</si>
  <si>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</si>
  <si>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</si>
  <si>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</si>
  <si>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</si>
  <si>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</si>
  <si>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</si>
  <si>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</si>
  <si>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</si>
  <si>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</si>
  <si>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</si>
  <si>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</si>
  <si>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</si>
  <si>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</si>
  <si>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</si>
  <si>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</si>
  <si>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</si>
  <si>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</si>
  <si>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</si>
  <si>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</si>
  <si>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</si>
  <si>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</si>
  <si>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</si>
  <si>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</si>
  <si>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</si>
  <si>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</si>
  <si>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</si>
  <si>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</si>
  <si>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</si>
  <si>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</si>
  <si>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</si>
  <si>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</si>
  <si>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</si>
  <si>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</si>
  <si>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</si>
  <si>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</si>
  <si>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</si>
  <si>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</si>
  <si>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</si>
  <si>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</si>
  <si>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</si>
  <si>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</si>
  <si>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</si>
  <si>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</si>
  <si>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</si>
  <si>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</si>
  <si>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</si>
  <si>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</si>
  <si>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</si>
  <si>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</si>
  <si>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</si>
  <si>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</si>
  <si>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</si>
  <si>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</si>
  <si>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</si>
  <si>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</si>
  <si>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</si>
  <si>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</si>
  <si>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</si>
  <si>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</si>
  <si>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</si>
  <si>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</si>
  <si>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</si>
  <si>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</si>
  <si>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</si>
  <si>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</si>
  <si>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</si>
  <si>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</si>
  <si>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</si>
  <si>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</si>
  <si>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</si>
  <si>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</si>
  <si>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</si>
  <si>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</si>
  <si>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</si>
  <si>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</si>
  <si>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</si>
  <si>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</si>
  <si>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</si>
  <si>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</si>
  <si>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</si>
  <si>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</si>
  <si>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</si>
  <si>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</si>
  <si>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</si>
  <si>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</si>
  <si>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</si>
  <si>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</si>
  <si>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</si>
  <si>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</si>
  <si>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</si>
  <si>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</si>
  <si>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</si>
  <si>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</si>
  <si>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</si>
  <si>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</si>
  <si>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</si>
  <si>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</si>
  <si>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</si>
  <si>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</si>
  <si>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</si>
  <si>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</si>
  <si>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</si>
  <si>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</si>
  <si>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</si>
  <si>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</si>
  <si>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</si>
  <si>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</si>
  <si>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</si>
  <si>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</si>
  <si>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</si>
  <si>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</si>
  <si>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</si>
  <si>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</si>
  <si>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</si>
  <si>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</si>
  <si>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</si>
  <si>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</si>
  <si>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</si>
  <si>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</si>
  <si>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</si>
  <si>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</si>
  <si>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</si>
  <si>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</si>
  <si>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</si>
  <si>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</si>
  <si>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</si>
  <si>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</si>
  <si>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</si>
  <si>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</si>
  <si>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</si>
  <si>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</si>
  <si>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</si>
  <si>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</si>
  <si>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</si>
  <si>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</si>
  <si>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</si>
  <si>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</si>
  <si>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</si>
  <si>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</si>
  <si>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</si>
  <si>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</si>
  <si>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</si>
  <si>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</si>
  <si>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</si>
  <si>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</si>
  <si>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</si>
  <si>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</si>
  <si>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</si>
  <si>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</si>
  <si>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</si>
  <si>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</si>
  <si>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</si>
  <si>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</si>
  <si>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</si>
  <si>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</si>
  <si>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</si>
  <si>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</si>
  <si>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</si>
  <si>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</si>
  <si>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</si>
  <si>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</si>
  <si>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</si>
  <si>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</si>
  <si>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</si>
  <si>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</si>
  <si>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</si>
  <si>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</si>
  <si>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</si>
  <si>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</si>
  <si>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</si>
  <si>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</si>
  <si>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</si>
  <si>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</si>
  <si>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</si>
  <si>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</si>
  <si>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</si>
  <si>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</si>
  <si>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</si>
  <si>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</si>
  <si>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</si>
  <si>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</si>
  <si>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</si>
  <si>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</si>
  <si>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</si>
  <si>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</si>
  <si>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</si>
  <si>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</si>
  <si>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</si>
  <si>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</si>
  <si>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</si>
  <si>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</si>
  <si>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</si>
  <si>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</si>
  <si>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</si>
  <si>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</si>
  <si>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</si>
  <si>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</si>
  <si>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</si>
  <si>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</si>
  <si>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</si>
  <si>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</si>
  <si>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</si>
  <si>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</si>
  <si>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</si>
  <si>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</si>
  <si>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</si>
  <si>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</si>
  <si>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</si>
  <si>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</si>
  <si>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</si>
  <si>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</si>
  <si>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</si>
  <si>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</si>
  <si>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</si>
  <si>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</si>
  <si>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</si>
  <si>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</si>
  <si>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</si>
  <si>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</si>
  <si>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</si>
  <si>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</si>
  <si>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</si>
  <si>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</si>
  <si>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</si>
  <si>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</si>
  <si>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</si>
  <si>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</si>
  <si>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</si>
  <si>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</si>
  <si>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</si>
  <si>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</si>
  <si>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</si>
  <si>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</si>
  <si>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</si>
  <si>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</si>
  <si>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</si>
  <si>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</si>
  <si>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</si>
  <si>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</si>
  <si>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</si>
  <si>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</si>
  <si>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</si>
  <si>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</si>
  <si>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</si>
  <si>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</si>
  <si>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</si>
  <si>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</si>
  <si>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</si>
  <si>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</si>
  <si>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</si>
  <si>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</si>
  <si>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</si>
  <si>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</si>
  <si>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</si>
  <si>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</si>
  <si>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</si>
  <si>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</si>
  <si>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</si>
  <si>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</si>
  <si>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</si>
  <si>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</si>
  <si>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</si>
  <si>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</si>
  <si>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</si>
  <si>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</si>
  <si>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</si>
  <si>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</si>
  <si>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</si>
  <si>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</si>
  <si>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</si>
  <si>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</si>
  <si>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</si>
  <si>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</si>
  <si>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</si>
  <si>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</si>
  <si>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</si>
  <si>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</si>
  <si>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</si>
  <si>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</si>
  <si>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</si>
  <si>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</si>
  <si>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</si>
  <si>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</si>
  <si>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</si>
  <si>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</si>
  <si>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</si>
  <si>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</si>
  <si>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</si>
  <si>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</si>
  <si>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</si>
  <si>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</si>
  <si>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</si>
  <si>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</si>
  <si>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</si>
  <si>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</si>
  <si>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</si>
  <si>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</si>
  <si>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</si>
  <si>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</si>
  <si>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</si>
  <si>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</si>
  <si>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</si>
  <si>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</si>
  <si>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</si>
  <si>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</si>
  <si>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</si>
  <si>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</si>
  <si>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</si>
  <si>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</si>
  <si>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</si>
  <si>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</si>
  <si>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</si>
  <si>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</si>
  <si>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</si>
  <si>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</si>
  <si>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</si>
  <si>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</si>
  <si>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</si>
  <si>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</si>
  <si>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</si>
  <si>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</si>
  <si>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</si>
  <si>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</si>
  <si>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</si>
  <si>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</si>
  <si>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</si>
  <si>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</si>
  <si>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</si>
  <si>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</si>
  <si>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</si>
  <si>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</si>
  <si>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</si>
  <si>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</si>
  <si>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</si>
  <si>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</si>
  <si>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</si>
  <si>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</si>
  <si>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</si>
  <si>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</si>
  <si>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</si>
  <si>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</si>
  <si>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</si>
  <si>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</si>
  <si>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</si>
  <si>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</si>
  <si>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</si>
  <si>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</si>
  <si>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</si>
  <si>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</si>
  <si>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</si>
  <si>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</si>
  <si>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</si>
  <si>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</si>
  <si>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</si>
  <si>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</si>
  <si>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</si>
  <si>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</si>
  <si>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</si>
  <si>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</si>
  <si>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</si>
  <si>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</si>
  <si>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</si>
  <si>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</si>
  <si>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</si>
  <si>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</si>
  <si>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</si>
  <si>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</si>
  <si>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</si>
  <si>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</si>
  <si>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</si>
  <si>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</si>
  <si>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</si>
  <si>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</si>
  <si>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</si>
  <si>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</si>
  <si>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</si>
  <si>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</si>
  <si>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</si>
  <si>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</si>
  <si>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</si>
  <si>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</si>
  <si>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</si>
  <si>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</si>
  <si>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</si>
  <si>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</si>
  <si>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</si>
  <si>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</si>
  <si>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</si>
  <si>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</si>
  <si>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</si>
  <si>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</si>
  <si>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</si>
  <si>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</si>
  <si>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</si>
  <si>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</si>
  <si>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</si>
  <si>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</si>
  <si>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</si>
  <si>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</si>
  <si>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</si>
  <si>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</si>
  <si>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</si>
  <si>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</si>
  <si>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</si>
  <si>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</si>
  <si>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</si>
  <si>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</si>
  <si>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</si>
  <si>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</si>
  <si>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</si>
  <si>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</si>
  <si>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</si>
  <si>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</si>
  <si>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</si>
  <si>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</si>
  <si>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</si>
  <si>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</si>
  <si>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</si>
  <si>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</si>
  <si>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</si>
  <si>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</si>
  <si>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</si>
  <si>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</si>
  <si>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</si>
  <si>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</si>
  <si>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</si>
  <si>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</si>
  <si>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</si>
  <si>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</si>
  <si>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</si>
  <si>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</si>
  <si>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</si>
  <si>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</si>
  <si>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</si>
  <si>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</si>
  <si>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</si>
  <si>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</si>
  <si>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</si>
  <si>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</si>
  <si>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</si>
  <si>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</si>
  <si>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</si>
  <si>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</si>
  <si>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</si>
  <si>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</si>
  <si>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</si>
  <si>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</si>
  <si>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</si>
  <si>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</si>
  <si>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</si>
  <si>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</si>
  <si>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</si>
  <si>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</si>
  <si>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</si>
  <si>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</si>
  <si>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</si>
  <si>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</si>
  <si>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</si>
  <si>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</si>
  <si>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</si>
  <si>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</si>
  <si>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</si>
  <si>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</si>
  <si>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</si>
  <si>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</si>
  <si>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</si>
  <si>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</si>
  <si>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</si>
  <si>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</si>
  <si>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</si>
  <si>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</si>
  <si>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</si>
  <si>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</si>
  <si>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</si>
  <si>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</si>
  <si>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</si>
  <si>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</si>
  <si>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</si>
  <si>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</si>
  <si>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</si>
  <si>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</si>
  <si>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</si>
  <si>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</si>
  <si>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</si>
  <si>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</si>
  <si>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</si>
  <si>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</si>
  <si>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</si>
  <si>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</si>
  <si>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</si>
  <si>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</si>
  <si>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</si>
  <si>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</si>
  <si>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</si>
  <si>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</si>
  <si>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</si>
  <si>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</si>
  <si>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</si>
  <si>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</si>
  <si>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</si>
  <si>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</si>
  <si>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</si>
  <si>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</si>
  <si>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</si>
  <si>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</si>
  <si>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</si>
  <si>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</si>
  <si>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</si>
  <si>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</si>
  <si>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</si>
  <si>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</si>
  <si>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</si>
  <si>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</si>
  <si>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</si>
  <si>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</si>
  <si>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</si>
  <si>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</si>
  <si>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</si>
  <si>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</si>
  <si>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</si>
  <si>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</si>
  <si>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</si>
  <si>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</si>
  <si>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</si>
  <si>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</si>
  <si>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</si>
  <si>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</si>
  <si>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</si>
  <si>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</si>
  <si>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</si>
  <si>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</si>
  <si>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</si>
  <si>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</si>
  <si>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</si>
  <si>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</si>
  <si>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</si>
  <si>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</si>
  <si>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</si>
  <si>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</si>
  <si>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</si>
  <si>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</si>
  <si>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</si>
  <si>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</si>
  <si>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</si>
  <si>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</si>
  <si>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</si>
  <si>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</si>
  <si>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</si>
  <si>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</si>
  <si>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</si>
  <si>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</si>
  <si>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</si>
  <si>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</si>
  <si>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</si>
  <si>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</si>
  <si>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</si>
  <si>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</si>
  <si>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</si>
  <si>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</si>
  <si>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</si>
  <si>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</si>
  <si>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</si>
  <si>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</si>
  <si>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</si>
  <si>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</si>
  <si>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</si>
  <si>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</si>
  <si>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</si>
  <si>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</si>
  <si>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</si>
  <si>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</si>
  <si>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</si>
  <si>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</si>
  <si>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</si>
  <si>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</si>
  <si>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</si>
  <si>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</si>
  <si>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</si>
  <si>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</si>
  <si>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</si>
  <si>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</si>
  <si>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</si>
  <si>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</si>
  <si>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</si>
  <si>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</si>
  <si>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</si>
  <si>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</si>
  <si>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</si>
  <si>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</si>
  <si>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</si>
  <si>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</si>
  <si>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</si>
  <si>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</si>
  <si>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</si>
  <si>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</si>
  <si>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</si>
  <si>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</si>
  <si>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</si>
  <si>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</si>
  <si>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</si>
  <si>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</si>
  <si>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</si>
  <si>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</si>
  <si>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</si>
  <si>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</si>
  <si>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</si>
  <si>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</si>
  <si>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</si>
  <si>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</si>
  <si>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</si>
  <si>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</si>
  <si>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</si>
  <si>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</si>
  <si>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</si>
  <si>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</si>
  <si>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</si>
  <si>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</si>
  <si>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</si>
  <si>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</si>
  <si>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</si>
  <si>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</si>
  <si>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</si>
  <si>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</si>
  <si>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</si>
  <si>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</si>
  <si>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</si>
  <si>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</si>
  <si>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</si>
  <si>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</si>
  <si>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</si>
  <si>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</si>
  <si>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</si>
  <si>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</si>
  <si>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</si>
  <si>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</si>
  <si>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</si>
  <si>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</si>
  <si>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</si>
  <si>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</si>
  <si>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</si>
  <si>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</si>
  <si>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</si>
  <si>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</si>
  <si>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</si>
  <si>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</si>
  <si>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</si>
  <si>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</si>
  <si>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</si>
  <si>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</si>
  <si>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</si>
  <si>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</si>
  <si>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</si>
  <si>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</si>
  <si>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</si>
  <si>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</si>
  <si>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</si>
  <si>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</si>
  <si>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</si>
  <si>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</si>
  <si>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</si>
  <si>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</si>
  <si>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</si>
  <si>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</si>
  <si>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</si>
  <si>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</si>
  <si>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</si>
  <si>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</si>
  <si>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</si>
  <si>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</si>
  <si>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</si>
  <si>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</si>
  <si>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</si>
  <si>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</si>
  <si>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</si>
  <si>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</si>
  <si>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</si>
  <si>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</si>
  <si>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</si>
  <si>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</si>
  <si>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</si>
  <si>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</si>
  <si>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</si>
  <si>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</si>
  <si>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</si>
  <si>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</si>
  <si>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</si>
  <si>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</si>
  <si>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</si>
  <si>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</si>
  <si>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</si>
  <si>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</si>
  <si>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</si>
  <si>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</si>
  <si>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</si>
  <si>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</si>
  <si>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</si>
  <si>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</si>
  <si>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</si>
  <si>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</si>
  <si>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</si>
  <si>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</si>
  <si>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</si>
  <si>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</si>
  <si>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</si>
  <si>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</si>
  <si>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</si>
  <si>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</si>
  <si>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</si>
  <si>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</si>
  <si>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</si>
  <si>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</si>
  <si>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</si>
  <si>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</si>
  <si>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</si>
  <si>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</si>
  <si>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</si>
  <si>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</si>
  <si>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</si>
  <si>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</si>
  <si>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</si>
  <si>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</si>
  <si>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</si>
  <si>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</si>
  <si>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</si>
  <si>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</si>
  <si>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</si>
  <si>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</si>
  <si>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</si>
  <si>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</si>
  <si>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</si>
  <si>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</si>
  <si>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</si>
  <si>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</si>
  <si>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</si>
  <si>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</si>
  <si>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</si>
  <si>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</si>
  <si>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</si>
  <si>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</si>
  <si>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</si>
  <si>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</si>
  <si>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</si>
  <si>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</si>
  <si>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</si>
  <si>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</si>
  <si>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</si>
  <si>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</si>
  <si>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</si>
  <si>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</si>
  <si>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</si>
  <si>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</si>
  <si>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</si>
  <si>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</si>
  <si>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</si>
  <si>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</si>
  <si>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</si>
  <si>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</si>
  <si>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</si>
  <si>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</si>
  <si>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</si>
  <si>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</si>
  <si>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</si>
  <si>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</si>
  <si>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</si>
  <si>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</si>
  <si>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</si>
  <si>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</si>
  <si>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</si>
  <si>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</si>
  <si>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</si>
  <si>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</si>
  <si>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</si>
  <si>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</si>
  <si>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</si>
  <si>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</si>
  <si>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</si>
  <si>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</si>
  <si>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</si>
  <si>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</si>
  <si>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</si>
  <si>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</si>
  <si>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</si>
  <si>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</si>
  <si>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</si>
  <si>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</si>
  <si>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</si>
  <si>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</si>
  <si>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</si>
  <si>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</si>
  <si>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</si>
  <si>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</si>
  <si>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</si>
  <si>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</si>
  <si>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</si>
  <si>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</si>
  <si>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</si>
  <si>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</si>
  <si>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</si>
  <si>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</si>
  <si>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</si>
  <si>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</si>
  <si>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</si>
  <si>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</si>
  <si>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</si>
  <si>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</si>
  <si>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</si>
  <si>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</si>
  <si>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</si>
  <si>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</si>
  <si>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</si>
  <si>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</si>
  <si>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</si>
  <si>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</si>
  <si>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</si>
  <si>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</si>
  <si>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</si>
  <si>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</si>
  <si>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</si>
  <si>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</si>
  <si>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</si>
  <si>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</si>
  <si>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</si>
  <si>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</si>
  <si>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</si>
  <si>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</si>
  <si>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</si>
  <si>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</si>
  <si>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</si>
  <si>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</si>
  <si>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</si>
  <si>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</si>
  <si>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</si>
  <si>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</si>
  <si>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</si>
  <si>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</si>
  <si>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</si>
  <si>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</si>
  <si>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</si>
  <si>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</si>
  <si>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</si>
  <si>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</si>
  <si>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</si>
  <si>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</si>
  <si>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</si>
  <si>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</si>
  <si>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</si>
  <si>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</si>
  <si>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</si>
  <si>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</si>
  <si>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</si>
  <si>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</si>
  <si>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</si>
  <si>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</si>
  <si>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</si>
  <si>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</si>
  <si>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</si>
  <si>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</si>
  <si>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</si>
  <si>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</si>
  <si>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</si>
  <si>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</si>
  <si>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</si>
  <si>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</si>
  <si>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</si>
  <si>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</si>
  <si>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</si>
  <si>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</si>
  <si>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</si>
  <si>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</si>
  <si>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</si>
  <si>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</si>
  <si>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</si>
  <si>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</si>
  <si>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</si>
  <si>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</si>
  <si>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</si>
  <si>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</si>
  <si>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</si>
  <si>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</si>
  <si>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</si>
  <si>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</si>
  <si>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</si>
  <si>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</si>
  <si>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</si>
  <si>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</si>
  <si>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</si>
  <si>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</si>
  <si>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</si>
  <si>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</si>
  <si>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</si>
  <si>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</si>
  <si>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</si>
  <si>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</si>
  <si>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</si>
  <si>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</si>
  <si>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</si>
  <si>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</si>
  <si>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</si>
  <si>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</si>
  <si>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</si>
  <si>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</si>
  <si>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</si>
  <si>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</si>
  <si>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</si>
  <si>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</si>
  <si>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</si>
  <si>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</si>
  <si>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</si>
  <si>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</si>
  <si>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</si>
  <si>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</si>
  <si>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</si>
  <si>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</si>
  <si>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</si>
  <si>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</si>
  <si>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</si>
  <si>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</si>
  <si>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</si>
  <si>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</si>
  <si>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</si>
  <si>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</si>
  <si>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</si>
  <si>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</si>
  <si>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</si>
  <si>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</si>
  <si>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</si>
  <si>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</si>
  <si>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</si>
  <si>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</si>
  <si>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</si>
  <si>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</si>
  <si>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</si>
  <si>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</si>
  <si>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</si>
  <si>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</si>
  <si>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</si>
  <si>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</si>
  <si>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</si>
  <si>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</si>
  <si>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</si>
  <si>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</si>
  <si>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</si>
  <si>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</si>
  <si>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</si>
  <si>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</si>
  <si>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</si>
  <si>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</si>
  <si>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</si>
  <si>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</si>
  <si>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</si>
  <si>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</si>
  <si>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</si>
  <si>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</si>
  <si>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</si>
  <si>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</si>
  <si>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</si>
  <si>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</si>
  <si>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</si>
  <si>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</si>
  <si>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</si>
  <si>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</si>
  <si>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</si>
  <si>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</si>
  <si>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</si>
  <si>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</si>
  <si>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</si>
  <si>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</si>
  <si>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</si>
  <si>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</si>
  <si>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</si>
  <si>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</si>
  <si>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</si>
  <si>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</si>
  <si>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</si>
  <si>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</si>
  <si>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</si>
  <si>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</si>
  <si>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</si>
  <si>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</si>
  <si>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</si>
  <si>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</si>
  <si>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</si>
  <si>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</si>
  <si>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</si>
  <si>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</si>
  <si>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</si>
  <si>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</si>
  <si>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</si>
  <si>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</si>
  <si>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</si>
  <si>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</si>
  <si>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</si>
  <si>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</si>
  <si>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</si>
  <si>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</si>
  <si>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</si>
  <si>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</si>
  <si>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</si>
  <si>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</si>
  <si>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</si>
  <si>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</si>
  <si>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</si>
  <si>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</si>
  <si>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</si>
  <si>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</si>
  <si>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</si>
  <si>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</si>
  <si>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</si>
  <si>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</si>
  <si>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</si>
  <si>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</si>
  <si>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</si>
  <si>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</si>
  <si>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</si>
  <si>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</si>
  <si>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</si>
  <si>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</si>
  <si>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</si>
  <si>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</si>
  <si>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</si>
  <si>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</si>
  <si>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</si>
  <si>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</si>
  <si>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</si>
  <si>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</si>
  <si>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</si>
  <si>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</si>
  <si>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</si>
  <si>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</si>
  <si>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</si>
  <si>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</si>
  <si>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</si>
  <si>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</si>
  <si>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</si>
  <si>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</si>
  <si>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</si>
  <si>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</si>
  <si>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</si>
  <si>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</si>
  <si>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</si>
  <si>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</si>
  <si>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</si>
  <si>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</si>
  <si>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</si>
  <si>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</si>
  <si>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</si>
  <si>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</si>
  <si>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</si>
  <si>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</si>
  <si>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</si>
  <si>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</si>
  <si>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</si>
  <si>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</si>
  <si>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</si>
  <si>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</si>
  <si>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</si>
  <si>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</si>
  <si>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</si>
  <si>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</si>
  <si>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</si>
  <si>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</si>
  <si>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</si>
  <si>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</si>
  <si>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</si>
  <si>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</si>
  <si>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</si>
  <si>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</si>
  <si>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</si>
  <si>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</si>
  <si>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</si>
  <si>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</si>
  <si>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</si>
  <si>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</si>
  <si>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</si>
  <si>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</si>
  <si>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</si>
  <si>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</si>
  <si>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</si>
  <si>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</si>
  <si>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</si>
  <si>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</si>
  <si>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</si>
  <si>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</si>
  <si>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</si>
  <si>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</si>
  <si>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</si>
  <si>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</si>
  <si>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</si>
  <si>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</si>
  <si>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</si>
  <si>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</si>
  <si>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</si>
  <si>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</si>
  <si>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</si>
  <si>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</si>
  <si>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</si>
  <si>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</si>
  <si>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</si>
  <si>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</si>
  <si>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</si>
  <si>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</si>
  <si>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</si>
  <si>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</si>
  <si>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</si>
  <si>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</si>
  <si>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</si>
  <si>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</si>
  <si>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</si>
  <si>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</si>
  <si>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</si>
  <si>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</si>
  <si>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</si>
  <si>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</si>
  <si>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</si>
  <si>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</si>
  <si>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</si>
  <si>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</si>
  <si>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</si>
  <si>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</si>
  <si>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</si>
  <si>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</si>
  <si>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</si>
  <si>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</si>
  <si>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</si>
  <si>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</si>
  <si>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</si>
  <si>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</si>
  <si>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</si>
  <si>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</si>
  <si>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</si>
  <si>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</si>
  <si>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</si>
  <si>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</si>
  <si>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</si>
  <si>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</si>
  <si>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</si>
  <si>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</si>
  <si>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</si>
  <si>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</si>
  <si>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</si>
  <si>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</si>
  <si>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</si>
  <si>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</si>
  <si>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</si>
  <si>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</si>
  <si>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</si>
  <si>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</si>
  <si>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</si>
  <si>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</si>
  <si>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</si>
  <si>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</si>
  <si>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</si>
  <si>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</si>
  <si>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</si>
  <si>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</si>
  <si>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</si>
  <si>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</si>
  <si>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</si>
  <si>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</si>
  <si>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</si>
  <si>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</si>
  <si>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</si>
  <si>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</si>
  <si>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</si>
  <si>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</si>
  <si>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</si>
  <si>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</si>
  <si>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</si>
  <si>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</si>
  <si>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</si>
  <si>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</si>
  <si>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</si>
  <si>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</si>
  <si>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</si>
  <si>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</si>
  <si>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</si>
  <si>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</si>
  <si>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</si>
  <si>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</si>
  <si>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</si>
  <si>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</si>
  <si>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</si>
  <si>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</si>
  <si>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</si>
  <si>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</si>
  <si>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</si>
  <si>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</si>
  <si>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</si>
  <si>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</si>
  <si>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</si>
  <si>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</si>
  <si>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</si>
  <si>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</si>
  <si>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</si>
  <si>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</si>
  <si>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</si>
  <si>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</si>
  <si>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</si>
  <si>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</si>
  <si>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</si>
  <si>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</si>
  <si>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</si>
  <si>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</si>
  <si>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</si>
  <si>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</si>
  <si>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</si>
  <si>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</si>
  <si>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</si>
  <si>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</si>
  <si>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</si>
  <si>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</si>
  <si>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</si>
  <si>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</si>
  <si>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</si>
  <si>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</si>
  <si>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</si>
  <si>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</si>
  <si>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</si>
  <si>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</si>
  <si>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</si>
  <si>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</si>
  <si>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</si>
  <si>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</si>
  <si>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</si>
  <si>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</si>
  <si>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</si>
  <si>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</si>
  <si>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</si>
  <si>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</si>
  <si>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</si>
  <si>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</si>
  <si>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</si>
  <si>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</si>
  <si>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</si>
  <si>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</si>
  <si>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</si>
  <si>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</si>
  <si>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</si>
  <si>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</si>
  <si>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</si>
  <si>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</si>
  <si>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</si>
  <si>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</si>
  <si>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</si>
  <si>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</si>
  <si>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</si>
  <si>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</si>
  <si>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</si>
  <si>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</si>
  <si>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</si>
  <si>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</si>
  <si>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</si>
  <si>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</si>
  <si>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</si>
  <si>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</si>
  <si>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</si>
  <si>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</si>
  <si>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</si>
  <si>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</si>
  <si>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</si>
  <si>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</si>
  <si>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</si>
  <si>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</si>
  <si>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</si>
  <si>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</si>
  <si>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</si>
  <si>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</si>
  <si>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</si>
  <si>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</si>
  <si>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</si>
  <si>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</si>
  <si>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</si>
  <si>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</si>
  <si>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</si>
  <si>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</si>
  <si>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</si>
  <si>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</si>
  <si>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</si>
  <si>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</si>
  <si>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</si>
  <si>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</si>
  <si>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</si>
  <si>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</si>
  <si>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</si>
  <si>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</si>
  <si>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</si>
  <si>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</si>
  <si>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</si>
  <si>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</si>
  <si>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</si>
  <si>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</si>
  <si>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</si>
  <si>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</si>
  <si>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</si>
  <si>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</si>
  <si>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</si>
  <si>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</si>
  <si>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</si>
  <si>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</si>
  <si>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</si>
  <si>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</si>
  <si>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</si>
  <si>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</si>
  <si>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</si>
  <si>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</si>
  <si>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</si>
  <si>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</si>
  <si>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</si>
  <si>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</si>
  <si>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</si>
  <si>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</si>
  <si>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</si>
  <si>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</si>
  <si>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</si>
  <si>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</si>
  <si>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</si>
  <si>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</si>
  <si>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</si>
  <si>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</si>
  <si>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</si>
  <si>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</si>
  <si>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</si>
  <si>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</si>
  <si>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</si>
  <si>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</si>
  <si>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</si>
  <si>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</si>
  <si>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</si>
  <si>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</si>
  <si>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</si>
  <si>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</si>
  <si>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</si>
  <si>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</si>
  <si>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</si>
  <si>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</si>
  <si>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</si>
  <si>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</si>
  <si>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</si>
  <si>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</si>
  <si>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</si>
  <si>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</si>
  <si>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</si>
  <si>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</si>
  <si>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</si>
  <si>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</si>
  <si>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</si>
  <si>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</si>
  <si>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</si>
  <si>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</si>
  <si>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</si>
  <si>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</si>
  <si>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</si>
  <si>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</si>
  <si>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</si>
  <si>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</si>
  <si>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</si>
  <si>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</si>
  <si>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</si>
  <si>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</si>
  <si>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</si>
  <si>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</si>
  <si>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</si>
  <si>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</si>
  <si>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</si>
  <si>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</si>
  <si>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</si>
  <si>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</si>
  <si>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</si>
  <si>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</si>
  <si>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</si>
  <si>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</si>
  <si>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</si>
  <si>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</si>
  <si>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</si>
  <si>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</si>
  <si>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</si>
  <si>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</si>
  <si>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</si>
  <si>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</si>
  <si>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</si>
  <si>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</si>
  <si>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</si>
  <si>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</si>
  <si>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</si>
  <si>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</si>
  <si>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</si>
  <si>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</si>
  <si>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</si>
  <si>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</si>
  <si>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</si>
  <si>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</si>
  <si>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</si>
  <si>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</si>
  <si>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</si>
  <si>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</si>
  <si>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</si>
  <si>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</si>
  <si>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</si>
  <si>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</si>
  <si>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</si>
  <si>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</si>
  <si>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</si>
  <si>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</si>
  <si>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</si>
  <si>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</si>
  <si>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</si>
  <si>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</si>
  <si>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</si>
  <si>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</si>
  <si>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</si>
  <si>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</si>
  <si>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</si>
  <si>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</si>
  <si>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</si>
  <si>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</si>
  <si>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</si>
  <si>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</si>
  <si>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</si>
  <si>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</si>
  <si>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</si>
  <si>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</si>
  <si>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</si>
  <si>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</si>
  <si>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</si>
  <si>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</si>
  <si>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</si>
  <si>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</si>
  <si>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</si>
  <si>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</si>
  <si>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</si>
  <si>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</si>
  <si>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</si>
  <si>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</si>
  <si>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</si>
  <si>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</si>
  <si>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</si>
  <si>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</si>
  <si>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</si>
  <si>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</si>
  <si>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</si>
  <si>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</si>
  <si>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</si>
  <si>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</si>
  <si>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</si>
  <si>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</si>
  <si>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</si>
  <si>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</si>
  <si>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</si>
  <si>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</si>
  <si>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</si>
  <si>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</si>
  <si>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</si>
  <si>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</si>
  <si>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</si>
  <si>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</si>
  <si>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</si>
  <si>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</si>
  <si>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</si>
  <si>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</si>
  <si>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</si>
  <si>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</si>
  <si>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</si>
  <si>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</si>
  <si>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</si>
  <si>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</si>
  <si>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</si>
  <si>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</si>
  <si>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</si>
  <si>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</si>
  <si>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</si>
  <si>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</si>
  <si>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</si>
  <si>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</si>
  <si>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</si>
  <si>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</si>
  <si>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</si>
  <si>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</si>
  <si>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</si>
  <si>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</si>
  <si>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</si>
  <si>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</si>
  <si>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</si>
  <si>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</si>
  <si>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</si>
  <si>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</si>
  <si>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</si>
  <si>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</si>
  <si>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</si>
  <si>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</si>
  <si>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</si>
  <si>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</si>
  <si>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</si>
  <si>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</si>
  <si>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</si>
  <si>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</si>
  <si>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</si>
  <si>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</si>
  <si>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</si>
  <si>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</si>
  <si>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</si>
  <si>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</si>
  <si>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</si>
  <si>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</si>
  <si>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</si>
  <si>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</si>
  <si>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</si>
  <si>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</si>
  <si>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</si>
  <si>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</si>
  <si>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</si>
  <si>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</si>
  <si>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</si>
  <si>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</si>
  <si>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</si>
  <si>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</si>
  <si>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</si>
  <si>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</si>
  <si>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</si>
  <si>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</si>
  <si>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</si>
  <si>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</si>
  <si>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</si>
  <si>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</si>
  <si>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</si>
  <si>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</si>
  <si>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</si>
  <si>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</si>
  <si>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</si>
  <si>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</si>
  <si>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</si>
  <si>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</si>
  <si>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</si>
  <si>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</si>
  <si>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</si>
  <si>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</si>
  <si>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</si>
  <si>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</si>
  <si>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</si>
  <si>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</si>
  <si>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</si>
  <si>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</si>
  <si>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</si>
  <si>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</si>
  <si>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</si>
  <si>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</si>
  <si>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</si>
  <si>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</si>
  <si>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</si>
  <si>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</si>
  <si>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</si>
  <si>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</si>
  <si>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</si>
  <si>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</si>
  <si>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</si>
  <si>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</si>
  <si>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</si>
  <si>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</si>
  <si>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</si>
  <si>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</si>
  <si>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</si>
  <si>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</si>
  <si>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</si>
  <si>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</si>
  <si>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</si>
  <si>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</si>
  <si>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</si>
  <si>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</si>
  <si>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</si>
  <si>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</si>
  <si>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</si>
  <si>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</si>
  <si>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</si>
  <si>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</si>
  <si>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</si>
  <si>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</si>
  <si>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</si>
  <si>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</si>
  <si>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</si>
  <si>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</si>
  <si>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</si>
  <si>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</si>
  <si>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</si>
  <si>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</si>
  <si>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</si>
  <si>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</si>
  <si>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</si>
  <si>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</si>
  <si>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</si>
  <si>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</si>
  <si>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</si>
  <si>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</si>
  <si>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</si>
  <si>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</si>
  <si>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</si>
  <si>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</si>
  <si>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</si>
  <si>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</si>
  <si>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</si>
  <si>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</si>
  <si>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</si>
  <si>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</si>
  <si>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</si>
  <si>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</si>
  <si>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</si>
  <si>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</si>
  <si>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</si>
  <si>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</si>
  <si>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</si>
  <si>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</si>
  <si>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</si>
  <si>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</si>
  <si>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</si>
  <si>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</si>
  <si>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</si>
  <si>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</si>
  <si>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</si>
  <si>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</si>
  <si>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</si>
  <si>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</si>
  <si>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</si>
  <si>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</si>
  <si>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</si>
  <si>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</si>
  <si>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</si>
  <si>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</si>
  <si>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</si>
  <si>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</si>
  <si>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</si>
  <si>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</si>
  <si>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</si>
  <si>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</si>
  <si>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</si>
  <si>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</si>
  <si>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</si>
  <si>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</si>
  <si>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</si>
  <si>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</si>
  <si>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</si>
  <si>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</si>
  <si>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</si>
  <si>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</si>
  <si>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</si>
  <si>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</si>
  <si>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</si>
  <si>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</si>
  <si>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</si>
  <si>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</si>
  <si>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</si>
  <si>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</si>
  <si>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</si>
  <si>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</si>
  <si>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</si>
  <si>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</si>
  <si>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</si>
  <si>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</si>
  <si>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</si>
  <si>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</si>
  <si>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</si>
  <si>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</si>
  <si>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</si>
  <si>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</si>
  <si>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</si>
  <si>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</si>
  <si>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</si>
  <si>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</si>
  <si>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</si>
  <si>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</si>
  <si>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</si>
  <si>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</si>
  <si>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</si>
  <si>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</si>
  <si>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</si>
  <si>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</si>
  <si>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</si>
  <si>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</si>
  <si>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</si>
  <si>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</si>
  <si>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</si>
  <si>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</si>
  <si>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</si>
  <si>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</si>
  <si>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</si>
  <si>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</si>
  <si>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</si>
  <si>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</si>
  <si>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</si>
  <si>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</si>
  <si>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</si>
  <si>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</si>
  <si>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</si>
  <si>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</si>
  <si>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</si>
  <si>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</si>
  <si>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</si>
  <si>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</si>
  <si>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</si>
  <si>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</si>
  <si>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</si>
  <si>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</si>
  <si>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</si>
  <si>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</si>
  <si>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</si>
  <si>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</si>
  <si>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</si>
  <si>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</si>
  <si>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</si>
  <si>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</si>
  <si>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</si>
  <si>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</si>
  <si>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</si>
  <si>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</si>
  <si>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</si>
  <si>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</si>
  <si>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</si>
  <si>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</si>
  <si>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</si>
  <si>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</si>
  <si>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</si>
  <si>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</si>
  <si>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</si>
  <si>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</si>
  <si>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</si>
  <si>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</si>
  <si>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</si>
  <si>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</si>
  <si>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</si>
  <si>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</si>
  <si>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</si>
  <si>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</si>
  <si>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</si>
  <si>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</si>
  <si>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</si>
  <si>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</si>
  <si>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</si>
  <si>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</si>
  <si>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</si>
  <si>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</si>
  <si>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</si>
  <si>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</si>
  <si>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</si>
  <si>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</si>
  <si>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</si>
  <si>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</si>
  <si>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</si>
  <si>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</si>
  <si>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</si>
  <si>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</si>
  <si>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</si>
  <si>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</si>
  <si>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</si>
  <si>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</si>
  <si>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</si>
  <si>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</si>
  <si>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</si>
  <si>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</si>
  <si>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</si>
  <si>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</si>
  <si>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</si>
  <si>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</si>
  <si>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</si>
  <si>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</si>
  <si>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</si>
  <si>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</si>
  <si>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</si>
  <si>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</si>
  <si>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</si>
  <si>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</si>
  <si>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</si>
  <si>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</si>
  <si>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</si>
  <si>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</si>
  <si>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</si>
  <si>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</si>
  <si>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</si>
  <si>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</si>
  <si>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</si>
  <si>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</si>
  <si>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</si>
  <si>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</si>
  <si>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</si>
  <si>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</si>
  <si>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</si>
  <si>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</si>
  <si>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</si>
  <si>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</si>
  <si>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</si>
  <si>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</si>
  <si>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</si>
  <si>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</si>
  <si>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</si>
  <si>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</si>
  <si>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</si>
  <si>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</si>
  <si>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</si>
  <si>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</si>
  <si>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</si>
  <si>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</si>
  <si>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</si>
  <si>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</si>
  <si>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</si>
  <si>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</si>
  <si>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</si>
  <si>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</si>
  <si>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</si>
  <si>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</si>
  <si>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</si>
  <si>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</si>
  <si>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</si>
  <si>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</si>
  <si>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</si>
  <si>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</si>
  <si>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</si>
  <si>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</si>
  <si>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</si>
  <si>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</si>
  <si>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</si>
  <si>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</si>
  <si>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</si>
  <si>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</si>
  <si>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</si>
  <si>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</si>
  <si>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</si>
  <si>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</si>
  <si>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</si>
  <si>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</si>
  <si>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</si>
  <si>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</si>
  <si>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</si>
  <si>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</si>
  <si>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</si>
  <si>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</si>
  <si>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</si>
  <si>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</si>
  <si>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</si>
  <si>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</si>
  <si>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</si>
  <si>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</si>
  <si>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</si>
  <si>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</si>
  <si>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</si>
  <si>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</si>
  <si>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</si>
  <si>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</si>
  <si>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</si>
  <si>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</si>
  <si>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</si>
  <si>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</si>
  <si>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</si>
  <si>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</si>
  <si>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</si>
  <si>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</si>
  <si>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</si>
  <si>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</si>
  <si>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</si>
  <si>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</si>
  <si>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</si>
  <si>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</si>
  <si>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</si>
  <si>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</si>
  <si>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</si>
  <si>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</si>
  <si>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</si>
  <si>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</si>
  <si>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</si>
  <si>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</si>
  <si>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</si>
  <si>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</si>
  <si>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</si>
  <si>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</si>
  <si>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</si>
  <si>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</si>
  <si>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</si>
  <si>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</si>
  <si>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</si>
  <si>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</si>
  <si>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</si>
  <si>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</si>
  <si>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</si>
  <si>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</si>
  <si>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</si>
  <si>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</si>
  <si>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</si>
  <si>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</si>
  <si>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</si>
  <si>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</si>
  <si>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</si>
  <si>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</si>
  <si>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</si>
  <si>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</si>
  <si>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</si>
  <si>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</si>
  <si>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</si>
  <si>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</si>
  <si>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</si>
  <si>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</si>
  <si>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</si>
  <si>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</si>
  <si>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</si>
  <si>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</si>
  <si>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</si>
  <si>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</si>
  <si>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</si>
  <si>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</si>
  <si>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</si>
  <si>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</si>
  <si>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</si>
  <si>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</si>
  <si>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</si>
  <si>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</si>
  <si>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</si>
  <si>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</si>
  <si>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</si>
  <si>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</si>
  <si>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</si>
  <si>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</si>
  <si>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</si>
  <si>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</si>
  <si>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</si>
  <si>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</si>
  <si>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</si>
  <si>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</si>
  <si>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</si>
  <si>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</si>
  <si>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</si>
  <si>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</si>
  <si>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</si>
  <si>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</si>
  <si>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</si>
  <si>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</si>
  <si>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</si>
  <si>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</si>
  <si>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</si>
  <si>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</si>
  <si>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</si>
  <si>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</si>
  <si>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</si>
  <si>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</si>
  <si>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</si>
  <si>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</si>
  <si>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</si>
  <si>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</si>
  <si>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</si>
  <si>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</si>
  <si>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</si>
  <si>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</si>
  <si>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</si>
  <si>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</si>
  <si>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</si>
  <si>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</si>
  <si>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</si>
  <si>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</si>
  <si>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</si>
  <si>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</si>
  <si>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</si>
  <si>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</si>
  <si>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</si>
  <si>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</si>
  <si>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</si>
  <si>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</si>
  <si>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</si>
  <si>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</si>
  <si>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</si>
  <si>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</si>
  <si>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</si>
  <si>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</si>
  <si>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</si>
  <si>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</si>
  <si>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</si>
  <si>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</si>
  <si>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</si>
  <si>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</si>
  <si>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</si>
  <si>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</si>
  <si>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</si>
  <si>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</si>
  <si>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</si>
  <si>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</si>
  <si>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</si>
  <si>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</si>
  <si>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</si>
  <si>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</si>
  <si>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</si>
  <si>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</si>
  <si>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</si>
  <si>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</si>
  <si>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</si>
  <si>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</si>
  <si>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</si>
  <si>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</si>
  <si>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</si>
  <si>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</si>
  <si>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</si>
  <si>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</si>
  <si>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</si>
  <si>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</si>
  <si>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</si>
  <si>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</si>
  <si>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</si>
  <si>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</si>
  <si>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</si>
  <si>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</si>
  <si>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</si>
  <si>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</si>
  <si>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</si>
  <si>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</si>
  <si>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</si>
  <si>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</si>
  <si>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</si>
  <si>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</si>
  <si>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</si>
  <si>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</si>
  <si>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</si>
  <si>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</si>
  <si>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</si>
  <si>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</si>
  <si>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</si>
  <si>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</si>
  <si>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</si>
  <si>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</si>
  <si>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</si>
  <si>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</si>
  <si>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</si>
  <si>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</si>
  <si>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</si>
  <si>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</si>
  <si>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</si>
  <si>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</si>
  <si>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</si>
  <si>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</si>
  <si>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</si>
  <si>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</si>
  <si>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</si>
  <si>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</si>
  <si>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</si>
  <si>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</si>
  <si>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</si>
  <si>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</si>
  <si>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</si>
  <si>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</si>
  <si>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</si>
  <si>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</si>
  <si>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</si>
  <si>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</si>
  <si>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</si>
  <si>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</si>
  <si>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</si>
  <si>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</si>
  <si>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</si>
  <si>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</si>
  <si>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</si>
  <si>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</si>
  <si>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</si>
  <si>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</si>
  <si>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</si>
  <si>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</si>
  <si>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</si>
  <si>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</si>
  <si>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</si>
  <si>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</si>
  <si>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</si>
  <si>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</si>
  <si>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</si>
  <si>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</si>
  <si>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</si>
  <si>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</si>
  <si>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</si>
  <si>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</si>
  <si>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</si>
  <si>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</si>
  <si>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</si>
  <si>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</si>
  <si>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</si>
  <si>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</si>
  <si>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</si>
  <si>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</si>
  <si>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</si>
  <si>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</si>
  <si>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</si>
  <si>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</si>
  <si>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</si>
  <si>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</si>
  <si>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</si>
  <si>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</si>
  <si>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</si>
  <si>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</si>
  <si>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</si>
  <si>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</si>
  <si>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</si>
  <si>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</si>
  <si>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</si>
  <si>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</si>
  <si>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</si>
  <si>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</si>
  <si>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</si>
  <si>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</si>
  <si>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</si>
  <si>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</si>
  <si>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</si>
  <si>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</si>
  <si>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</si>
  <si>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</si>
  <si>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</si>
  <si>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</si>
  <si>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</si>
  <si>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</si>
  <si>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</si>
  <si>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</si>
  <si>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</si>
  <si>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</si>
  <si>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</si>
  <si>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</si>
  <si>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</si>
  <si>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</si>
  <si>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</si>
  <si>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</si>
  <si>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</si>
  <si>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</si>
  <si>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</si>
  <si>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</si>
  <si>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</si>
  <si>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</si>
  <si>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</si>
  <si>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</si>
  <si>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</si>
  <si>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</si>
  <si>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</si>
  <si>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</si>
  <si>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</si>
  <si>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</si>
  <si>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</si>
  <si>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</si>
  <si>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</si>
  <si>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</si>
  <si>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</si>
  <si>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</si>
  <si>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</si>
  <si>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</si>
  <si>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</si>
  <si>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</si>
  <si>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</si>
  <si>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</si>
  <si>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</si>
  <si>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</si>
  <si>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</si>
  <si>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</si>
  <si>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</si>
  <si>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</si>
  <si>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</si>
  <si>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</si>
  <si>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</si>
  <si>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</si>
  <si>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</si>
  <si>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</si>
  <si>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</si>
  <si>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</si>
  <si>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</si>
  <si>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</si>
  <si>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</si>
  <si>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</si>
  <si>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</si>
  <si>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</si>
  <si>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</si>
  <si>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</si>
  <si>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</si>
  <si>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</si>
  <si>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</si>
  <si>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</si>
  <si>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</si>
  <si>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</si>
  <si>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</si>
  <si>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</si>
  <si>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</si>
  <si>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</si>
  <si>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</si>
  <si>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</si>
  <si>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</si>
  <si>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</si>
  <si>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</si>
  <si>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</si>
  <si>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</si>
  <si>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</si>
  <si>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</si>
  <si>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</si>
  <si>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</si>
  <si>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</si>
  <si>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</si>
  <si>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</si>
  <si>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</si>
  <si>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</si>
  <si>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</si>
  <si>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</si>
  <si>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</si>
  <si>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</si>
  <si>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</si>
  <si>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</si>
  <si>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</si>
  <si>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</si>
  <si>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</si>
  <si>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</si>
  <si>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</si>
  <si>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</si>
  <si>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</si>
  <si>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</si>
  <si>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</si>
  <si>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</si>
  <si>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</si>
  <si>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</si>
  <si>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</si>
  <si>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</si>
  <si>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</si>
  <si>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</si>
  <si>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</si>
  <si>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</si>
  <si>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</si>
  <si>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</si>
  <si>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</si>
  <si>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</si>
  <si>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</si>
  <si>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</si>
  <si>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</si>
  <si>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</si>
  <si>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</si>
  <si>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</si>
  <si>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</si>
  <si>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</si>
  <si>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</si>
  <si>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</si>
  <si>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</si>
  <si>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</si>
  <si>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</si>
  <si>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</si>
  <si>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</si>
  <si>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</si>
  <si>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</si>
  <si>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</si>
  <si>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</si>
  <si>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</si>
  <si>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</si>
  <si>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</si>
  <si>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</si>
  <si>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</si>
  <si>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</si>
  <si>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</si>
  <si>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</si>
  <si>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</si>
  <si>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</si>
  <si>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</si>
  <si>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</si>
  <si>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</si>
  <si>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</si>
  <si>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</si>
  <si>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</si>
  <si>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</si>
  <si>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</si>
  <si>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</si>
  <si>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</si>
  <si>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</si>
  <si>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</si>
  <si>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</si>
  <si>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</si>
  <si>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</si>
  <si>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</si>
  <si>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</si>
  <si>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</si>
  <si>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</si>
  <si>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</si>
  <si>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</si>
  <si>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</si>
  <si>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</si>
  <si>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</si>
  <si>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</si>
  <si>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</si>
  <si>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</si>
  <si>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</si>
  <si>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</si>
  <si>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</si>
  <si>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</si>
  <si>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</si>
  <si>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</si>
  <si>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</si>
  <si>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</si>
  <si>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</si>
  <si>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</si>
  <si>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</si>
  <si>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</si>
  <si>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</si>
  <si>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</si>
  <si>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</si>
  <si>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</si>
  <si>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</si>
  <si>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</si>
  <si>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</si>
  <si>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</si>
  <si>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</si>
  <si>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</si>
  <si>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</si>
  <si>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</si>
  <si>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</si>
  <si>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</si>
  <si>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</si>
  <si>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</si>
  <si>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</si>
  <si>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</si>
  <si>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</si>
  <si>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</si>
  <si>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</si>
  <si>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</si>
  <si>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</si>
  <si>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</si>
  <si>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</si>
  <si>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</si>
  <si>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</si>
  <si>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</si>
  <si>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</si>
  <si>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</si>
  <si>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</si>
  <si>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</si>
  <si>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</si>
  <si>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</si>
  <si>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</si>
  <si>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</si>
  <si>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</si>
  <si>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</si>
  <si>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</si>
  <si>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</si>
  <si>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</si>
  <si>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</si>
  <si>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</si>
  <si>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</si>
  <si>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</si>
  <si>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</si>
  <si>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</si>
  <si>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</si>
  <si>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</si>
  <si>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</si>
  <si>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</si>
  <si>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</si>
  <si>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</si>
  <si>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</si>
  <si>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</si>
  <si>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</si>
  <si>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</si>
  <si>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</si>
  <si>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</si>
  <si>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</si>
  <si>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</si>
  <si>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</si>
  <si>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</si>
  <si>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</si>
  <si>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</si>
  <si>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</si>
  <si>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</si>
  <si>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</si>
  <si>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</si>
  <si>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</si>
  <si>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</si>
  <si>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</si>
  <si>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</si>
  <si>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</si>
  <si>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</si>
  <si>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</si>
  <si>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</si>
  <si>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</si>
  <si>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</si>
  <si>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</si>
  <si>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</si>
  <si>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</si>
  <si>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</si>
  <si>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</si>
  <si>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</si>
  <si>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</si>
  <si>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</si>
  <si>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</si>
  <si>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</si>
  <si>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</si>
  <si>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</si>
  <si>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</si>
  <si>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</si>
  <si>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</si>
  <si>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</si>
  <si>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</si>
  <si>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</si>
  <si>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</si>
  <si>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</si>
  <si>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</si>
  <si>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</si>
  <si>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</si>
  <si>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</si>
  <si>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</si>
  <si>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</si>
  <si>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</si>
  <si>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</si>
  <si>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</si>
  <si>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</si>
  <si>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</si>
  <si>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</si>
  <si>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</si>
  <si>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</si>
  <si>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</si>
  <si>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</si>
  <si>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</si>
  <si>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</si>
  <si>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</si>
  <si>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</si>
  <si>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</si>
  <si>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</si>
  <si>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</si>
  <si>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</si>
  <si>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</si>
  <si>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</si>
  <si>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</si>
  <si>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</si>
  <si>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</si>
  <si>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</si>
  <si>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</si>
  <si>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</si>
  <si>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</si>
  <si>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</si>
  <si>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</si>
  <si>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</si>
  <si>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</si>
  <si>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</si>
  <si>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</si>
  <si>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</si>
  <si>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</si>
  <si>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</si>
  <si>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</si>
  <si>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</si>
  <si>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</si>
  <si>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</si>
  <si>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</si>
  <si>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</si>
  <si>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</si>
  <si>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</si>
  <si>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</si>
  <si>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</si>
  <si>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</si>
  <si>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</si>
  <si>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</si>
  <si>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</si>
  <si>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</si>
  <si>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</si>
  <si>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</si>
  <si>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</si>
  <si>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</si>
  <si>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</si>
  <si>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</si>
  <si>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</si>
  <si>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</si>
  <si>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</si>
  <si>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</si>
  <si>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</si>
  <si>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</si>
  <si>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</si>
  <si>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</si>
  <si>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</si>
  <si>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</si>
  <si>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</si>
  <si>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</si>
  <si>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</si>
  <si>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</si>
  <si>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</si>
  <si>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</si>
  <si>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</si>
  <si>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</si>
  <si>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</si>
  <si>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</si>
  <si>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</si>
  <si>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</si>
  <si>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</si>
  <si>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</si>
  <si>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</si>
  <si>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</si>
  <si>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</si>
  <si>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</si>
  <si>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</si>
  <si>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</si>
  <si>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</si>
  <si>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</si>
  <si>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</si>
  <si>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</si>
  <si>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</si>
  <si>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</si>
  <si>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</si>
  <si>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</si>
  <si>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</si>
  <si>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</si>
  <si>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</si>
  <si>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</si>
  <si>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</si>
  <si>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</si>
  <si>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</si>
  <si>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</si>
  <si>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</si>
  <si>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</si>
  <si>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</si>
  <si>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</si>
  <si>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</si>
  <si>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</si>
  <si>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</si>
  <si>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</si>
  <si>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</si>
  <si>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</si>
  <si>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</si>
  <si>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</si>
  <si>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</si>
  <si>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</si>
  <si>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</si>
  <si>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</si>
  <si>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</si>
  <si>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</si>
  <si>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</si>
  <si>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</si>
  <si>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</si>
  <si>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</si>
  <si>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</si>
  <si>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</si>
  <si>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</si>
  <si>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</si>
  <si>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</si>
  <si>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</si>
  <si>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</si>
  <si>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</si>
  <si>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</si>
  <si>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</si>
  <si>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</si>
  <si>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</si>
  <si>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</si>
  <si>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</si>
  <si>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</si>
  <si>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</si>
  <si>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</si>
  <si>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</si>
  <si>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</si>
  <si>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</si>
  <si>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</si>
  <si>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</si>
  <si>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</si>
  <si>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</si>
  <si>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</si>
  <si>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</si>
  <si>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</si>
  <si>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</si>
  <si>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</si>
  <si>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</si>
  <si>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</si>
  <si>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</si>
  <si>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</si>
  <si>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</si>
  <si>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</si>
  <si>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</si>
  <si>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</si>
  <si>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</si>
  <si>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</si>
  <si>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</si>
  <si>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</si>
  <si>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</si>
  <si>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</si>
  <si>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</si>
  <si>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</si>
  <si>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</si>
  <si>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</si>
  <si>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</si>
  <si>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</si>
  <si>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</si>
  <si>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</si>
  <si>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</si>
  <si>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</si>
  <si>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</si>
  <si>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</si>
  <si>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</si>
  <si>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</si>
  <si>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</si>
  <si>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</si>
  <si>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</si>
  <si>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</si>
  <si>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</si>
  <si>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</si>
  <si>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</si>
  <si>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</si>
  <si>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</si>
  <si>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</si>
  <si>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</si>
  <si>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</si>
  <si>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</si>
  <si>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</si>
  <si>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</si>
  <si>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</si>
  <si>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</si>
  <si>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</si>
  <si>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</si>
  <si>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</si>
  <si>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</si>
  <si>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</si>
  <si>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</si>
  <si>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</si>
  <si>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</si>
  <si>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</si>
  <si>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</si>
  <si>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</si>
  <si>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</si>
  <si>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</si>
  <si>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</si>
  <si>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</si>
  <si>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</si>
  <si>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</si>
  <si>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</si>
  <si>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</si>
  <si>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</si>
  <si>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</si>
  <si>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</si>
  <si>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</si>
  <si>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</si>
  <si>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</si>
  <si>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</si>
  <si>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</si>
  <si>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</si>
  <si>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</si>
  <si>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</si>
  <si>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</si>
  <si>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</si>
  <si>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</si>
  <si>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</si>
  <si>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</si>
  <si>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</si>
  <si>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</si>
  <si>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</si>
  <si>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</si>
  <si>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</si>
  <si>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</si>
  <si>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</si>
  <si>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</si>
  <si>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</si>
  <si>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</si>
  <si>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</si>
  <si>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</si>
  <si>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</si>
  <si>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</si>
  <si>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</si>
  <si>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</si>
  <si>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</si>
  <si>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</si>
  <si>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</si>
  <si>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</si>
  <si>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</si>
  <si>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</si>
  <si>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</si>
  <si>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</si>
  <si>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</si>
  <si>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</si>
  <si>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</si>
  <si>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</si>
  <si>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</si>
  <si>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</si>
  <si>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</si>
  <si>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</si>
  <si>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</si>
  <si>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</si>
  <si>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</si>
  <si>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</si>
  <si>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</si>
  <si>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</si>
  <si>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</si>
  <si>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</si>
  <si>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</si>
  <si>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</si>
  <si>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</si>
  <si>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</si>
  <si>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</si>
  <si>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</si>
  <si>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</si>
  <si>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</si>
  <si>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</si>
  <si>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</si>
  <si>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</si>
  <si>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</si>
  <si>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</si>
  <si>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</si>
  <si>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</si>
  <si>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</si>
  <si>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</si>
  <si>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</si>
  <si>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</si>
  <si>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</si>
  <si>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</si>
  <si>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</si>
  <si>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</si>
  <si>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</si>
  <si>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</si>
  <si>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</si>
  <si>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</si>
  <si>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</si>
  <si>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</si>
  <si>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</si>
  <si>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</si>
  <si>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</si>
  <si>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</si>
  <si>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</si>
  <si>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</si>
  <si>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</si>
  <si>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</si>
  <si>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</si>
  <si>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</si>
  <si>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</si>
  <si>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</si>
  <si>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</si>
  <si>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</si>
  <si>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</si>
  <si>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</si>
  <si>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</si>
  <si>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</si>
  <si>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</si>
  <si>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</si>
  <si>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</si>
  <si>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</si>
  <si>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</si>
  <si>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</si>
  <si>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</si>
  <si>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</si>
  <si>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</si>
  <si>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</si>
  <si>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</si>
  <si>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</si>
  <si>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</si>
  <si>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</si>
  <si>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</si>
  <si>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</si>
  <si>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</si>
  <si>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</si>
  <si>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</si>
  <si>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</si>
  <si>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</si>
  <si>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</si>
  <si>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</si>
  <si>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</si>
  <si>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</si>
  <si>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</si>
  <si>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</si>
  <si>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</si>
  <si>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</si>
  <si>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</si>
  <si>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</si>
  <si>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</si>
  <si>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</si>
  <si>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</si>
  <si>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</si>
  <si>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</si>
  <si>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</si>
  <si>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</si>
  <si>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</si>
  <si>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</si>
  <si>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</si>
  <si>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</si>
  <si>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</si>
  <si>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</si>
  <si>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</si>
  <si>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</si>
  <si>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</si>
  <si>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</si>
  <si>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</si>
  <si>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</si>
  <si>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</si>
  <si>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</si>
  <si>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</si>
  <si>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</si>
  <si>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</si>
  <si>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</si>
  <si>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</si>
  <si>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</si>
  <si>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</si>
  <si>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</si>
  <si>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</si>
  <si>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</si>
  <si>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</si>
  <si>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</si>
  <si>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</si>
  <si>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</si>
  <si>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</si>
  <si>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</si>
  <si>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</si>
  <si>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</si>
  <si>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</si>
  <si>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</si>
  <si>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</si>
  <si>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</si>
  <si>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</si>
  <si>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</si>
  <si>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</si>
  <si>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</si>
  <si>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</si>
  <si>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</si>
  <si>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</si>
  <si>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</si>
  <si>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</si>
  <si>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</si>
  <si>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</si>
  <si>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</si>
  <si>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</si>
  <si>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</si>
  <si>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</si>
  <si>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</si>
  <si>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</si>
  <si>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</si>
  <si>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</si>
  <si>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</si>
  <si>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</si>
  <si>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</si>
  <si>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</si>
  <si>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</si>
  <si>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</si>
  <si>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</si>
  <si>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</si>
  <si>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</si>
  <si>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</si>
  <si>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</si>
  <si>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</si>
  <si>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</si>
  <si>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</si>
  <si>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</si>
  <si>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</si>
  <si>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</si>
  <si>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</si>
  <si>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</si>
  <si>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</si>
  <si>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</si>
  <si>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</si>
  <si>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</si>
  <si>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</si>
  <si>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</si>
  <si>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</si>
  <si>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</si>
  <si>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</si>
  <si>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</si>
  <si>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</si>
  <si>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</si>
  <si>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</si>
  <si>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</si>
  <si>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</si>
  <si>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</si>
  <si>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</si>
  <si>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</si>
  <si>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</si>
  <si>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</si>
  <si>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</si>
  <si>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</si>
  <si>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</si>
  <si>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</si>
  <si>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</si>
  <si>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</si>
  <si>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</si>
  <si>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</si>
  <si>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</si>
  <si>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</si>
  <si>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</si>
  <si>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</si>
  <si>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</si>
  <si>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</si>
  <si>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</si>
  <si>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</si>
  <si>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</si>
  <si>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</si>
  <si>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</si>
  <si>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</si>
  <si>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</si>
  <si>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</si>
  <si>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</si>
  <si>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</si>
  <si>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</si>
  <si>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</si>
  <si>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</si>
  <si>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</si>
  <si>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</si>
  <si>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</si>
  <si>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</si>
  <si>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</si>
  <si>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</si>
  <si>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</si>
  <si>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</si>
  <si>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</si>
  <si>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</si>
  <si>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</si>
  <si>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</si>
  <si>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</si>
  <si>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</si>
  <si>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</si>
  <si>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</si>
  <si>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</si>
  <si>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</si>
  <si>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</si>
  <si>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</si>
  <si>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</si>
  <si>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</si>
  <si>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</si>
  <si>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</si>
  <si>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</si>
  <si>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</si>
  <si>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</si>
  <si>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</si>
  <si>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</si>
  <si>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</si>
  <si>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</si>
  <si>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</si>
  <si>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</si>
  <si>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</si>
  <si>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</si>
  <si>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</si>
  <si>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</si>
  <si>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</si>
  <si>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</si>
  <si>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</si>
  <si>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</si>
  <si>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</si>
  <si>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</si>
  <si>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</si>
  <si>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</si>
  <si>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</si>
  <si>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</si>
  <si>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</si>
  <si>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</si>
  <si>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</si>
  <si>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</si>
  <si>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</si>
  <si>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</si>
  <si>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</si>
  <si>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</si>
  <si>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</si>
  <si>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</si>
  <si>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</si>
  <si>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</si>
  <si>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</si>
  <si>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</si>
  <si>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</si>
  <si>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</si>
  <si>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</si>
  <si>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</si>
  <si>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</si>
  <si>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</si>
  <si>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</si>
  <si>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</si>
  <si>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</si>
  <si>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</si>
  <si>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</si>
  <si>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</si>
  <si>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</si>
  <si>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</si>
  <si>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</si>
  <si>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</si>
  <si>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</si>
  <si>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</si>
  <si>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</si>
  <si>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</si>
  <si>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</si>
  <si>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</si>
  <si>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</si>
  <si>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</si>
  <si>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</si>
  <si>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</si>
  <si>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</si>
  <si>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</si>
  <si>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</si>
  <si>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</si>
  <si>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</si>
  <si>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</si>
  <si>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</si>
  <si>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</si>
  <si>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</si>
  <si>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</si>
  <si>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</si>
  <si>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</si>
  <si>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</si>
  <si>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</si>
  <si>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</si>
  <si>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</si>
  <si>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</si>
  <si>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</si>
  <si>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</si>
  <si>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</si>
  <si>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</si>
  <si>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</si>
  <si>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</si>
  <si>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</si>
  <si>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</si>
  <si>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</si>
  <si>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</si>
  <si>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</si>
  <si>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</si>
  <si>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</si>
  <si>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</si>
  <si>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</si>
  <si>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</si>
  <si>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</si>
  <si>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</si>
  <si>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</si>
  <si>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</si>
  <si>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</si>
  <si>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</si>
  <si>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</si>
  <si>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</si>
  <si>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</si>
  <si>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</si>
  <si>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</si>
  <si>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</si>
  <si>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</si>
  <si>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</si>
  <si>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</si>
  <si>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</si>
  <si>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</si>
  <si>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</si>
  <si>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</si>
  <si>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</si>
  <si>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</si>
  <si>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</si>
  <si>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</si>
  <si>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</si>
  <si>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</si>
  <si>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</si>
  <si>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</si>
  <si>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</si>
  <si>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</si>
  <si>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</si>
  <si>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</si>
  <si>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</si>
  <si>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</si>
  <si>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</si>
  <si>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</si>
  <si>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</si>
  <si>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</si>
  <si>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</si>
  <si>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</si>
  <si>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</si>
  <si>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</si>
  <si>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</si>
  <si>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</si>
  <si>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</si>
  <si>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</si>
  <si>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</si>
  <si>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</si>
  <si>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</si>
  <si>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</si>
  <si>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</si>
  <si>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</si>
  <si>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</si>
  <si>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</si>
  <si>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</si>
  <si>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</si>
  <si>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</si>
  <si>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</si>
  <si>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</si>
  <si>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</si>
  <si>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</si>
  <si>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</si>
  <si>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</si>
  <si>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</si>
  <si>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</si>
  <si>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</si>
  <si>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</si>
  <si>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</si>
  <si>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</si>
  <si>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</si>
  <si>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</si>
  <si>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</si>
  <si>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</si>
  <si>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</si>
  <si>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</si>
  <si>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</si>
  <si>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</si>
  <si>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</si>
  <si>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</si>
  <si>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</si>
  <si>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</si>
  <si>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</si>
  <si>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</si>
  <si>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</si>
  <si>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</si>
  <si>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</si>
  <si>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</si>
  <si>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</si>
  <si>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</si>
  <si>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</si>
  <si>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</si>
  <si>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</si>
  <si>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</si>
  <si>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</si>
  <si>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</si>
  <si>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</si>
  <si>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</si>
  <si>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</si>
  <si>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</si>
  <si>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</si>
  <si>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</si>
  <si>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</si>
  <si>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</si>
  <si>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</si>
  <si>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</si>
  <si>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</si>
  <si>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</si>
  <si>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</si>
  <si>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</si>
  <si>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</si>
  <si>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</si>
  <si>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</si>
  <si>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</si>
  <si>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</si>
  <si>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</si>
  <si>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</si>
  <si>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</si>
  <si>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</si>
  <si>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</si>
  <si>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</si>
  <si>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</si>
  <si>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</si>
  <si>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</si>
  <si>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</si>
  <si>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</si>
  <si>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</si>
  <si>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</si>
  <si>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</si>
  <si>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</si>
  <si>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</si>
  <si>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</si>
  <si>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</si>
  <si>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</si>
  <si>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</si>
  <si>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</si>
  <si>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</si>
  <si>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</si>
  <si>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</si>
  <si>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</si>
  <si>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</si>
  <si>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</si>
  <si>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</si>
  <si>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</si>
  <si>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</si>
  <si>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</si>
  <si>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</si>
  <si>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</si>
  <si>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</si>
  <si>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</si>
  <si>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</si>
  <si>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</si>
  <si>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</si>
  <si>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</si>
  <si>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</si>
  <si>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</si>
  <si>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</si>
  <si>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</si>
  <si>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</si>
  <si>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</si>
  <si>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</si>
  <si>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</si>
  <si>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</si>
  <si>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</si>
  <si>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</si>
  <si>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</si>
  <si>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</si>
  <si>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</si>
  <si>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</si>
  <si>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</si>
  <si>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</si>
  <si>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</si>
  <si>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</si>
  <si>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</si>
  <si>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</si>
  <si>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</si>
  <si>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</si>
  <si>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</si>
  <si>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</si>
  <si>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</si>
  <si>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</si>
  <si>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</si>
  <si>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</si>
  <si>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</si>
  <si>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</si>
  <si>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</si>
  <si>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</si>
  <si>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</si>
  <si>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</si>
  <si>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</si>
  <si>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</si>
  <si>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</si>
  <si>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</si>
  <si>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</si>
  <si>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</si>
  <si>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</si>
  <si>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</si>
  <si>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</si>
  <si>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</si>
  <si>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</si>
  <si>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</si>
  <si>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</si>
  <si>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</si>
  <si>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</si>
  <si>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</si>
  <si>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</si>
  <si>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</si>
  <si>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</si>
  <si>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</si>
  <si>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</si>
  <si>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</si>
  <si>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</si>
  <si>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</si>
  <si>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</si>
  <si>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</si>
  <si>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</si>
  <si>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</si>
  <si>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</si>
  <si>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</si>
  <si>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</si>
  <si>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</si>
  <si>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</si>
  <si>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</si>
  <si>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</si>
  <si>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</si>
  <si>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</si>
  <si>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</si>
  <si>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</si>
  <si>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</si>
  <si>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</si>
  <si>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</si>
  <si>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</si>
  <si>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</si>
  <si>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</si>
  <si>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</si>
  <si>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</si>
  <si>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</si>
  <si>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</si>
  <si>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</si>
  <si>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</si>
  <si>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</si>
  <si>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</si>
  <si>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</si>
  <si>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</si>
  <si>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</si>
  <si>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</si>
  <si>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</si>
  <si>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</si>
  <si>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</si>
  <si>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</si>
  <si>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</si>
  <si>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</si>
  <si>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</si>
  <si>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</si>
  <si>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</si>
  <si>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</si>
  <si>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</si>
  <si>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</si>
  <si>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</si>
  <si>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</si>
  <si>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</si>
  <si>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</si>
  <si>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</si>
  <si>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</si>
  <si>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</si>
  <si>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</si>
  <si>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</si>
  <si>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</si>
  <si>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</si>
  <si>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</si>
  <si>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</si>
  <si>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</si>
  <si>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</si>
  <si>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</si>
  <si>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</si>
  <si>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</si>
  <si>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</si>
  <si>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</si>
  <si>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</si>
  <si>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</si>
  <si>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</si>
  <si>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</si>
  <si>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</si>
  <si>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</si>
  <si>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</si>
  <si>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</si>
  <si>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</si>
  <si>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</si>
  <si>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</si>
  <si>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</si>
  <si>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</si>
  <si>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</si>
  <si>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</si>
  <si>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</si>
  <si>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</si>
  <si>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</si>
  <si>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</si>
  <si>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</si>
  <si>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</si>
  <si>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</si>
  <si>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</si>
  <si>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</si>
  <si>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</si>
  <si>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</si>
  <si>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</si>
  <si>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</si>
  <si>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</si>
  <si>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</si>
  <si>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</si>
  <si>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</si>
  <si>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</si>
  <si>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</si>
  <si>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</si>
  <si>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</si>
  <si>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</si>
  <si>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</si>
  <si>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</si>
  <si>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</si>
  <si>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</si>
  <si>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</si>
  <si>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</si>
  <si>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</si>
  <si>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</si>
  <si>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</si>
  <si>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</si>
  <si>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</si>
  <si>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</si>
  <si>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</si>
  <si>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</si>
  <si>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</si>
  <si>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</si>
  <si>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</si>
  <si>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</si>
  <si>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</si>
  <si>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</si>
  <si>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</si>
  <si>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</si>
  <si>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</si>
  <si>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</si>
  <si>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</si>
  <si>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</si>
  <si>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</si>
  <si>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</si>
  <si>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</si>
  <si>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</si>
  <si>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</si>
  <si>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</si>
  <si>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</si>
  <si>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</si>
  <si>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</si>
  <si>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</si>
  <si>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</si>
  <si>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</si>
  <si>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</si>
  <si>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</si>
  <si>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</si>
  <si>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</si>
  <si>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</si>
  <si>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</si>
  <si>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</si>
  <si>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</si>
  <si>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</si>
  <si>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</si>
  <si>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</si>
  <si>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</si>
  <si>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</si>
  <si>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</si>
  <si>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</si>
  <si>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</si>
  <si>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</si>
  <si>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</si>
  <si>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</si>
  <si>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</si>
  <si>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</si>
  <si>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</si>
  <si>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</si>
  <si>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</si>
  <si>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</si>
  <si>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</si>
  <si>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</si>
  <si>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</si>
  <si>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</si>
  <si>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</si>
  <si>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</si>
  <si>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</si>
  <si>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</si>
  <si>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</si>
  <si>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</si>
  <si>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</si>
  <si>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</si>
  <si>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</si>
  <si>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</si>
  <si>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</si>
  <si>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</si>
  <si>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</si>
  <si>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</si>
  <si>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</si>
  <si>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</si>
  <si>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</si>
  <si>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</si>
  <si>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</si>
  <si>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</si>
  <si>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</si>
  <si>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</si>
  <si>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</si>
  <si>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</si>
  <si>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</si>
  <si>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</si>
  <si>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</si>
  <si>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</si>
  <si>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</si>
  <si>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</si>
  <si>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</si>
  <si>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</si>
  <si>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</si>
  <si>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</si>
  <si>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</si>
  <si>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</si>
  <si>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</si>
  <si>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</si>
  <si>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</si>
  <si>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</si>
  <si>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</si>
  <si>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</si>
  <si>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</si>
  <si>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</si>
  <si>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</si>
  <si>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</si>
  <si>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</si>
  <si>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</si>
  <si>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</si>
  <si>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</si>
  <si>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</si>
  <si>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</si>
  <si>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</si>
  <si>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</si>
  <si>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</si>
  <si>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</si>
  <si>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</si>
  <si>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</si>
  <si>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</si>
  <si>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</si>
  <si>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</si>
  <si>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</si>
  <si>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</si>
  <si>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</si>
  <si>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</si>
  <si>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</si>
  <si>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</si>
  <si>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</si>
  <si>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</si>
  <si>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</si>
  <si>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</si>
  <si>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</si>
  <si>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</si>
  <si>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</si>
  <si>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</si>
  <si>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</si>
  <si>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</si>
  <si>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</si>
  <si>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</si>
  <si>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</si>
  <si>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</si>
  <si>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</si>
  <si>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</si>
  <si>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</si>
  <si>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</si>
  <si>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</si>
  <si>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</si>
  <si>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</si>
  <si>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</si>
  <si>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</si>
  <si>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</si>
  <si>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</si>
  <si>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</si>
  <si>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</si>
  <si>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</si>
  <si>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</si>
  <si>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</si>
  <si>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</si>
  <si>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</si>
  <si>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</si>
  <si>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</si>
  <si>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</si>
  <si>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</si>
  <si>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</si>
  <si>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</si>
  <si>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</si>
  <si>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</si>
  <si>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</si>
  <si>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</si>
  <si>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</si>
  <si>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</si>
  <si>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</si>
  <si>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</si>
  <si>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</si>
  <si>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</si>
  <si>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</si>
  <si>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</si>
  <si>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</si>
  <si>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</si>
  <si>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</si>
  <si>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</si>
  <si>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</si>
  <si>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</si>
  <si>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</si>
  <si>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</si>
  <si>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</si>
  <si>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</si>
  <si>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</si>
  <si>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</si>
  <si>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</si>
  <si>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</si>
  <si>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</si>
  <si>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</si>
  <si>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</si>
  <si>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</si>
  <si>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</si>
  <si>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</si>
  <si>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</si>
  <si>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</si>
  <si>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</si>
  <si>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</si>
  <si>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</si>
  <si>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</si>
  <si>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</si>
  <si>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</si>
  <si>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</si>
  <si>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</si>
  <si>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</si>
  <si>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</si>
  <si>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</si>
  <si>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</si>
  <si>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</si>
  <si>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</si>
  <si>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</si>
  <si>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</si>
  <si>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</si>
  <si>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</si>
  <si>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</si>
  <si>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</si>
  <si>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</si>
  <si>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</si>
  <si>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</si>
  <si>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</si>
  <si>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</si>
  <si>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</si>
  <si>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</si>
  <si>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</si>
  <si>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</si>
  <si>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</si>
  <si>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</si>
  <si>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</si>
  <si>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</si>
  <si>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</si>
  <si>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</si>
  <si>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</si>
  <si>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</si>
  <si>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</si>
  <si>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</si>
  <si>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</si>
  <si>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</si>
  <si>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</si>
  <si>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</si>
  <si>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</si>
  <si>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</si>
  <si>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</si>
  <si>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</si>
  <si>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</si>
  <si>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</si>
  <si>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</si>
  <si>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</si>
  <si>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</si>
  <si>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</si>
  <si>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</si>
  <si>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</si>
  <si>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</si>
  <si>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</si>
  <si>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</si>
  <si>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</si>
  <si>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</si>
  <si>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</si>
  <si>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</si>
  <si>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</si>
  <si>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</si>
  <si>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</si>
  <si>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</si>
  <si>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</si>
  <si>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</si>
  <si>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</si>
  <si>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</si>
  <si>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</si>
  <si>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</si>
  <si>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</si>
  <si>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</si>
  <si>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</si>
  <si>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</si>
  <si>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</si>
  <si>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</si>
  <si>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</si>
  <si>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</si>
  <si>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</si>
  <si>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</si>
  <si>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</si>
  <si>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</si>
  <si>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</si>
  <si>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</si>
  <si>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</si>
  <si>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</si>
  <si>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</si>
  <si>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</si>
  <si>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</si>
  <si>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</si>
  <si>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</si>
  <si>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</si>
  <si>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</si>
  <si>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</si>
  <si>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</si>
  <si>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</si>
  <si>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</si>
  <si>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</si>
  <si>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</si>
  <si>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</si>
  <si>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</si>
  <si>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</si>
  <si>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</si>
  <si>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</si>
  <si>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</si>
  <si>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</si>
  <si>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</si>
  <si>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</si>
  <si>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</si>
  <si>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</si>
  <si>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</si>
  <si>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</si>
  <si>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</si>
  <si>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</si>
  <si>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</si>
  <si>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</si>
  <si>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</si>
  <si>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</si>
  <si>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</si>
  <si>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</si>
  <si>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</si>
  <si>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</si>
  <si>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</si>
  <si>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</si>
  <si>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</si>
  <si>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</si>
  <si>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</si>
  <si>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</si>
  <si>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</si>
  <si>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</si>
  <si>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</si>
  <si>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</si>
  <si>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</si>
  <si>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</si>
  <si>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</si>
  <si>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</si>
  <si>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</si>
  <si>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</si>
  <si>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</si>
  <si>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</si>
  <si>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</si>
  <si>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</si>
  <si>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</si>
  <si>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</si>
  <si>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</si>
  <si>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</si>
  <si>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</si>
  <si>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</si>
  <si>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</si>
  <si>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</si>
  <si>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</si>
  <si>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</si>
  <si>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</si>
  <si>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</si>
  <si>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</si>
  <si>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</si>
  <si>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</si>
  <si>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</si>
  <si>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</si>
  <si>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</si>
  <si>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</si>
  <si>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</si>
  <si>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</si>
  <si>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</si>
  <si>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</si>
  <si>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</si>
  <si>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</si>
  <si>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</si>
  <si>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</si>
  <si>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</si>
  <si>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</si>
  <si>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</si>
  <si>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</si>
  <si>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</si>
  <si>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</si>
  <si>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</si>
  <si>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</si>
  <si>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</si>
  <si>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</si>
  <si>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</si>
  <si>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</si>
  <si>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</si>
  <si>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</si>
  <si>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</si>
  <si>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</si>
  <si>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</si>
  <si>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</si>
  <si>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</si>
  <si>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</si>
  <si>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</si>
  <si>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</si>
  <si>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</si>
  <si>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</si>
  <si>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</si>
  <si>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</si>
  <si>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</si>
  <si>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</si>
  <si>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</si>
  <si>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</si>
  <si>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</si>
  <si>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</si>
  <si>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</si>
  <si>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</si>
  <si>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</si>
  <si>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</si>
  <si>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</si>
  <si>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</si>
  <si>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</si>
  <si>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</si>
  <si>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</si>
  <si>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</si>
  <si>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</si>
  <si>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</si>
  <si>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</si>
  <si>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</si>
  <si>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</si>
  <si>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</si>
  <si>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</si>
  <si>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</si>
  <si>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</si>
  <si>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</si>
  <si>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</si>
  <si>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</si>
  <si>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</si>
  <si>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</si>
  <si>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</si>
  <si>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</si>
  <si>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</si>
  <si>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</si>
  <si>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</si>
  <si>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</si>
  <si>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</si>
  <si>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</si>
  <si>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</si>
  <si>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</si>
  <si>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</si>
  <si>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</si>
  <si>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</si>
  <si>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</si>
  <si>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</si>
  <si>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</si>
  <si>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</si>
  <si>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</si>
  <si>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</si>
  <si>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</si>
  <si>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</si>
  <si>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</si>
  <si>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</si>
  <si>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</si>
  <si>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</si>
  <si>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</si>
  <si>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</si>
  <si>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</si>
  <si>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</si>
  <si>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</si>
  <si>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</si>
  <si>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</si>
  <si>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</si>
  <si>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</si>
  <si>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</si>
  <si>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</si>
  <si>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</si>
  <si>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</si>
  <si>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</si>
  <si>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</si>
  <si>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</si>
  <si>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</si>
  <si>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</si>
  <si>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</si>
  <si>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</si>
  <si>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</si>
  <si>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</si>
  <si>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</si>
  <si>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</si>
  <si>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</si>
  <si>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</si>
  <si>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</si>
  <si>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</si>
  <si>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</si>
  <si>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</si>
  <si>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</si>
  <si>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</si>
  <si>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</si>
  <si>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</si>
  <si>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</si>
  <si>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</si>
  <si>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</si>
  <si>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</si>
  <si>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</si>
  <si>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</si>
  <si>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</si>
  <si>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</si>
  <si>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</si>
  <si>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</si>
  <si>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</si>
  <si>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</si>
  <si>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</si>
  <si>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</si>
  <si>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</si>
  <si>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</si>
  <si>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</si>
  <si>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</si>
  <si>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</si>
  <si>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</si>
  <si>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</si>
  <si>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</si>
  <si>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</si>
  <si>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</si>
  <si>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</si>
  <si>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</si>
  <si>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</si>
  <si>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</si>
  <si>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</si>
  <si>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</si>
  <si>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</si>
  <si>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</si>
  <si>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</si>
  <si>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</si>
  <si>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</si>
  <si>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</si>
  <si>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</si>
  <si>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</si>
  <si>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</si>
  <si>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</si>
  <si>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</si>
  <si>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</si>
  <si>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</si>
  <si>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</si>
  <si>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</si>
  <si>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</si>
  <si>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</si>
  <si>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</si>
  <si>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</si>
  <si>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</si>
  <si>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</si>
  <si>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</si>
  <si>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</si>
  <si>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</si>
  <si>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</si>
  <si>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</si>
  <si>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</si>
  <si>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</si>
  <si>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</si>
  <si>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</si>
  <si>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</si>
  <si>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</si>
  <si>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</si>
  <si>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</si>
  <si>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</si>
  <si>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</si>
  <si>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</si>
  <si>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</si>
  <si>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</si>
  <si>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</si>
  <si>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</si>
  <si>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</si>
  <si>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</si>
  <si>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</si>
  <si>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</si>
  <si>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</si>
  <si>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</si>
  <si>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</si>
  <si>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</si>
  <si>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</si>
  <si>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</si>
  <si>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</si>
  <si>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</si>
  <si>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</si>
  <si>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</si>
  <si>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</si>
  <si>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</si>
  <si>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</si>
  <si>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</si>
  <si>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</si>
  <si>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</si>
  <si>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</si>
  <si>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</si>
  <si>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</si>
  <si>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</si>
  <si>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</si>
  <si>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</si>
  <si>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</si>
  <si>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</si>
  <si>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</si>
  <si>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</si>
  <si>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</si>
  <si>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</si>
  <si>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</si>
  <si>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</si>
  <si>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</si>
  <si>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</si>
  <si>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</si>
  <si>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</si>
  <si>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</si>
  <si>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</si>
  <si>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</si>
  <si>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</si>
  <si>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</si>
  <si>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</si>
  <si>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</si>
  <si>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</si>
  <si>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</si>
  <si>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</si>
  <si>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</si>
  <si>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</si>
  <si>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</si>
  <si>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</si>
  <si>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</si>
  <si>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</si>
  <si>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</si>
  <si>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</si>
  <si>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</si>
  <si>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</si>
  <si>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</si>
  <si>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</si>
  <si>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</si>
  <si>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</si>
  <si>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</si>
  <si>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</si>
  <si>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</si>
  <si>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</si>
  <si>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</si>
  <si>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</si>
  <si>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</si>
  <si>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</si>
  <si>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</si>
  <si>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</si>
  <si>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</si>
  <si>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</si>
  <si>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</si>
  <si>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</si>
  <si>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</si>
  <si>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</si>
  <si>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</si>
  <si>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</si>
  <si>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</si>
  <si>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</si>
  <si>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</si>
  <si>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</si>
  <si>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</si>
  <si>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</si>
  <si>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</si>
  <si>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</si>
  <si>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</si>
  <si>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</si>
  <si>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</si>
  <si>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</si>
  <si>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</si>
  <si>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</si>
  <si>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</si>
  <si>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</si>
  <si>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</si>
  <si>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</si>
  <si>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</si>
  <si>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</si>
  <si>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</si>
  <si>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</si>
  <si>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</si>
  <si>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</si>
  <si>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</si>
  <si>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</si>
  <si>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</si>
  <si>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</si>
  <si>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</si>
  <si>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</si>
  <si>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</si>
  <si>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</si>
  <si>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</si>
  <si>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</si>
  <si>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</si>
  <si>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</si>
  <si>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</si>
  <si>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</si>
  <si>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</si>
  <si>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</si>
  <si>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</si>
  <si>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</si>
  <si>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</si>
  <si>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</si>
  <si>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</si>
  <si>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</si>
  <si>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</si>
  <si>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</si>
  <si>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</si>
  <si>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</si>
  <si>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</si>
  <si>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</si>
  <si>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</si>
  <si>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</si>
  <si>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</si>
  <si>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</si>
  <si>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</si>
  <si>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</si>
  <si>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</si>
  <si>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</si>
  <si>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</si>
  <si>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</si>
  <si>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</si>
  <si>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</si>
  <si>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</si>
  <si>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</si>
  <si>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</si>
  <si>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</si>
  <si>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</si>
  <si>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</si>
  <si>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</si>
  <si>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</si>
  <si>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</si>
  <si>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</si>
  <si>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</si>
  <si>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</si>
  <si>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</si>
  <si>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</si>
  <si>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</si>
  <si>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</si>
  <si>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</si>
  <si>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</si>
  <si>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</si>
  <si>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</si>
  <si>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</si>
  <si>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</si>
  <si>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</si>
  <si>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</si>
  <si>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</si>
  <si>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</si>
  <si>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</si>
  <si>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</si>
  <si>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</si>
  <si>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</si>
  <si>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</si>
  <si>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</si>
  <si>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</si>
  <si>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</si>
  <si>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</si>
  <si>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</si>
  <si>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</si>
  <si>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</si>
  <si>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</si>
  <si>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</si>
  <si>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</si>
  <si>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</si>
  <si>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</si>
  <si>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</si>
  <si>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</si>
  <si>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</si>
  <si>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</si>
  <si>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</si>
  <si>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</si>
  <si>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</si>
  <si>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</si>
  <si>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</si>
  <si>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</si>
  <si>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</si>
  <si>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</si>
  <si>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</si>
  <si>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</si>
  <si>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</si>
  <si>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</si>
  <si>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</si>
  <si>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</si>
  <si>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</si>
  <si>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</si>
  <si>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</si>
  <si>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</si>
  <si>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</si>
  <si>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</si>
  <si>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</si>
  <si>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</si>
  <si>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</si>
  <si>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</si>
  <si>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</si>
  <si>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</si>
  <si>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</si>
  <si>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</si>
  <si>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</si>
  <si>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</si>
  <si>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</si>
  <si>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</si>
  <si>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</si>
  <si>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</si>
  <si>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</si>
  <si>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</si>
  <si>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</si>
  <si>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</si>
  <si>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</si>
  <si>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</si>
  <si>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</si>
  <si>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</si>
  <si>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</si>
  <si>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</si>
  <si>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</si>
  <si>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</si>
  <si>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</si>
  <si>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</si>
  <si>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</si>
  <si>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</si>
  <si>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</si>
  <si>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</si>
  <si>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</si>
  <si>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</si>
  <si>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</si>
  <si>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</si>
  <si>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</si>
  <si>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</si>
  <si>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</si>
  <si>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</si>
  <si>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</si>
  <si>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</si>
  <si>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</si>
  <si>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</si>
  <si>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</si>
  <si>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</si>
  <si>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</si>
  <si>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</si>
  <si>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</si>
  <si>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</si>
  <si>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</si>
  <si>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</si>
  <si>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</si>
  <si>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</si>
  <si>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</si>
  <si>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</si>
  <si>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</si>
  <si>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</si>
  <si>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</si>
  <si>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</si>
  <si>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</si>
  <si>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</si>
  <si>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</si>
  <si>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</si>
  <si>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</si>
  <si>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</si>
  <si>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</si>
  <si>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</si>
  <si>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</si>
  <si>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</si>
  <si>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</si>
  <si>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</si>
  <si>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</si>
  <si>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</si>
  <si>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</si>
  <si>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</si>
  <si>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</si>
  <si>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</si>
  <si>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</si>
  <si>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</si>
  <si>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</si>
  <si>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</si>
  <si>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</si>
  <si>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</si>
  <si>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</si>
  <si>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</si>
  <si>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</si>
  <si>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</si>
  <si>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</si>
  <si>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</si>
  <si>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</si>
  <si>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</si>
  <si>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</si>
  <si>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</si>
  <si>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</si>
  <si>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</si>
  <si>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</si>
  <si>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</si>
  <si>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</si>
  <si>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</si>
  <si>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</si>
  <si>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</si>
  <si>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</si>
  <si>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</si>
  <si>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</si>
  <si>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</si>
  <si>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</si>
  <si>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</si>
  <si>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</si>
  <si>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</si>
  <si>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</si>
  <si>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</si>
  <si>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</si>
  <si>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</si>
  <si>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</si>
  <si>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</si>
  <si>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</si>
  <si>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</si>
  <si>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</si>
  <si>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</si>
  <si>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</si>
  <si>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</si>
  <si>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</si>
  <si>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</si>
  <si>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</si>
  <si>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</si>
  <si>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</si>
  <si>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</si>
  <si>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</si>
  <si>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</si>
  <si>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</si>
  <si>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</si>
  <si>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</si>
  <si>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</si>
  <si>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</si>
  <si>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</si>
  <si>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</si>
  <si>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</si>
  <si>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</si>
  <si>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</si>
  <si>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</si>
  <si>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</si>
  <si>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</si>
  <si>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</si>
  <si>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</si>
  <si>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</si>
  <si>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</si>
  <si>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</si>
  <si>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</si>
  <si>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</si>
  <si>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</si>
  <si>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</si>
  <si>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</si>
  <si>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</si>
  <si>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</si>
  <si>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</si>
  <si>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</si>
  <si>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</si>
  <si>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</si>
  <si>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</si>
  <si>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</si>
  <si>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</si>
  <si>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</si>
  <si>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</si>
  <si>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</si>
  <si>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</si>
  <si>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</si>
  <si>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</si>
  <si>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</si>
  <si>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</si>
  <si>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</si>
  <si>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</si>
  <si>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</si>
  <si>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</si>
  <si>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</si>
  <si>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</si>
  <si>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</si>
  <si>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</si>
  <si>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</si>
  <si>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</si>
  <si>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</si>
  <si>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</si>
  <si>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</si>
  <si>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</si>
  <si>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</si>
  <si>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</si>
  <si>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</si>
  <si>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</si>
  <si>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</si>
  <si>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</si>
  <si>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</si>
  <si>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</si>
  <si>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</si>
  <si>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</si>
  <si>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</si>
  <si>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</si>
  <si>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</si>
  <si>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</si>
  <si>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</si>
  <si>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</si>
  <si>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</si>
  <si>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</si>
  <si>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</si>
  <si>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</si>
  <si>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</si>
  <si>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</si>
  <si>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</si>
  <si>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</si>
  <si>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</si>
  <si>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</si>
  <si>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</si>
  <si>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</si>
  <si>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</si>
  <si>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</si>
  <si>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</si>
  <si>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</si>
  <si>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</si>
  <si>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</si>
  <si>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</si>
  <si>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</si>
  <si>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</si>
  <si>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</si>
  <si>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</si>
  <si>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</si>
  <si>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</si>
  <si>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</si>
  <si>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</si>
  <si>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</si>
  <si>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</si>
  <si>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</si>
  <si>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</si>
  <si>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</si>
  <si>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</si>
  <si>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</si>
  <si>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</si>
  <si>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</si>
  <si>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</si>
  <si>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</si>
  <si>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</si>
  <si>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</si>
  <si>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</si>
  <si>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</si>
  <si>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</si>
  <si>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</si>
  <si>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</si>
  <si>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</si>
  <si>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</si>
  <si>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</si>
  <si>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</si>
  <si>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</si>
  <si>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</si>
  <si>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</si>
  <si>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</si>
  <si>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</si>
  <si>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</si>
  <si>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</si>
  <si>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</si>
  <si>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</si>
  <si>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</si>
  <si>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</si>
  <si>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</si>
  <si>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</si>
  <si>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</si>
  <si>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</si>
  <si>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</si>
  <si>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</si>
  <si>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</si>
  <si>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</si>
  <si>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</si>
  <si>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</si>
  <si>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</si>
  <si>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</si>
  <si>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</si>
  <si>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</si>
  <si>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</si>
  <si>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</si>
  <si>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</si>
  <si>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</si>
  <si>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</si>
  <si>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</si>
  <si>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</si>
  <si>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</si>
  <si>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</si>
  <si>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</si>
  <si>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</si>
  <si>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</si>
  <si>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</si>
  <si>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</si>
  <si>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</si>
  <si>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</si>
  <si>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</si>
  <si>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</si>
  <si>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</si>
  <si>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</si>
  <si>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</si>
  <si>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</si>
  <si>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</si>
  <si>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</si>
  <si>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</si>
  <si>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</si>
  <si>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</si>
  <si>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</si>
  <si>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</si>
  <si>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</si>
  <si>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</si>
  <si>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</si>
  <si>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</si>
  <si>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</si>
  <si>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</si>
  <si>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</si>
  <si>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</si>
  <si>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</si>
  <si>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</si>
  <si>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</si>
  <si>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</si>
  <si>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</si>
  <si>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</si>
  <si>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</si>
  <si>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</si>
  <si>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</si>
  <si>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</si>
  <si>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</si>
  <si>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</si>
  <si>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</si>
  <si>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</si>
  <si>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</si>
  <si>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</si>
  <si>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</si>
  <si>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</si>
  <si>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</si>
  <si>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</si>
  <si>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</si>
  <si>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</si>
  <si>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</si>
  <si>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</si>
  <si>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</si>
  <si>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</si>
  <si>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</si>
  <si>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</si>
  <si>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</si>
  <si>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</si>
  <si>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</si>
  <si>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</si>
  <si>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</si>
  <si>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</si>
  <si>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</si>
  <si>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</si>
  <si>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</si>
  <si>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</si>
  <si>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</si>
  <si>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</si>
  <si>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</si>
  <si>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</si>
  <si>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</si>
  <si>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</si>
  <si>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</si>
  <si>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</si>
  <si>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</si>
  <si>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</si>
  <si>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</si>
  <si>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</si>
  <si>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</si>
  <si>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</si>
  <si>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</si>
  <si>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</si>
  <si>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</si>
  <si>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</si>
  <si>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</si>
  <si>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</si>
  <si>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</si>
  <si>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</si>
  <si>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</si>
  <si>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</si>
  <si>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</si>
  <si>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</si>
  <si>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</si>
  <si>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</si>
  <si>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</si>
  <si>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</si>
  <si>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</si>
  <si>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</si>
  <si>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</si>
  <si>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</si>
  <si>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</si>
  <si>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</si>
  <si>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</si>
  <si>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</si>
  <si>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</si>
  <si>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</si>
  <si>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</si>
  <si>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</si>
  <si>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</si>
  <si>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</si>
  <si>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</si>
  <si>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</si>
  <si>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</si>
  <si>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</si>
  <si>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</si>
  <si>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</si>
  <si>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</si>
  <si>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</si>
  <si>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</si>
  <si>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</si>
  <si>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</si>
  <si>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</si>
  <si>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</si>
  <si>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</si>
  <si>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</si>
  <si>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</si>
  <si>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</si>
  <si>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</si>
  <si>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</si>
  <si>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</si>
  <si>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</si>
  <si>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</si>
  <si>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</si>
  <si>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</si>
  <si>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</si>
  <si>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</si>
  <si>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</si>
  <si>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</si>
  <si>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</si>
  <si>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</si>
  <si>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</si>
  <si>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</si>
  <si>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</si>
  <si>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</si>
  <si>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</si>
  <si>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</si>
  <si>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</si>
  <si>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</si>
  <si>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</si>
  <si>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</si>
  <si>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</si>
  <si>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</si>
  <si>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</si>
  <si>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</si>
  <si>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</si>
  <si>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</si>
  <si>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</si>
  <si>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</si>
  <si>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</si>
  <si>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</si>
  <si>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</si>
  <si>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</si>
  <si>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</si>
  <si>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</si>
  <si>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</si>
  <si>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</si>
  <si>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</si>
  <si>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</si>
  <si>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</si>
  <si>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</si>
  <si>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</si>
  <si>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</si>
  <si>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</si>
  <si>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</si>
  <si>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</si>
  <si>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</si>
  <si>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</si>
  <si>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</si>
  <si>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</si>
  <si>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</si>
  <si>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</si>
  <si>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</si>
  <si>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</si>
  <si>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</si>
  <si>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</si>
  <si>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</si>
  <si>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</si>
  <si>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</si>
  <si>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</si>
  <si>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</si>
  <si>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</si>
  <si>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</si>
  <si>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</si>
  <si>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</si>
  <si>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</si>
  <si>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</si>
  <si>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</si>
  <si>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</si>
  <si>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</si>
  <si>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</si>
  <si>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</si>
  <si>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</si>
  <si>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</si>
  <si>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</si>
  <si>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</si>
  <si>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</si>
  <si>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</si>
  <si>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</si>
  <si>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</si>
  <si>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</si>
  <si>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</si>
  <si>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</si>
  <si>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</si>
  <si>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</si>
  <si>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</si>
  <si>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</si>
  <si>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</si>
  <si>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</si>
  <si>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</si>
  <si>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</si>
  <si>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</si>
  <si>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</si>
  <si>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</si>
  <si>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</si>
  <si>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</si>
  <si>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</si>
  <si>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</si>
  <si>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</si>
  <si>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</si>
  <si>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</si>
  <si>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</si>
  <si>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</si>
  <si>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</si>
  <si>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</si>
  <si>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</si>
  <si>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</si>
  <si>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</si>
  <si>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</si>
  <si>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</si>
  <si>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</si>
  <si>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</si>
  <si>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</si>
  <si>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</si>
  <si>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</si>
  <si>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</si>
  <si>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</si>
  <si>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</si>
  <si>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</si>
  <si>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</si>
  <si>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</si>
  <si>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</si>
  <si>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</si>
  <si>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</si>
  <si>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</si>
  <si>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</si>
  <si>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</si>
  <si>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</si>
  <si>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</si>
  <si>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</si>
  <si>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</si>
  <si>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</si>
  <si>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</si>
  <si>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</si>
  <si>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</si>
  <si>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</si>
  <si>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</si>
  <si>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</si>
  <si>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</si>
  <si>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</si>
  <si>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</si>
  <si>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</si>
  <si>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</si>
  <si>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</si>
  <si>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</si>
  <si>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</si>
  <si>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</si>
  <si>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</si>
  <si>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</si>
  <si>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</si>
  <si>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</si>
  <si>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</si>
  <si>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</si>
  <si>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</si>
  <si>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</si>
  <si>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</si>
  <si>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</si>
  <si>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</si>
  <si>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</si>
  <si>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</si>
  <si>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</si>
  <si>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</si>
  <si>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</si>
  <si>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</si>
  <si>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</si>
  <si>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</si>
  <si>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</si>
  <si>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</si>
  <si>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</si>
  <si>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</si>
  <si>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</si>
  <si>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</si>
  <si>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</si>
  <si>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</si>
  <si>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</si>
  <si>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</si>
  <si>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</si>
  <si>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</si>
  <si>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</si>
  <si>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</si>
  <si>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</si>
  <si>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</si>
  <si>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</si>
  <si>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</si>
  <si>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</si>
  <si>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</si>
  <si>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</si>
  <si>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</si>
  <si>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</si>
  <si>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</si>
  <si>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</si>
  <si>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</si>
  <si>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</si>
  <si>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</si>
  <si>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</si>
  <si>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</si>
  <si>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</si>
  <si>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</si>
  <si>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</si>
  <si>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</si>
  <si>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</si>
  <si>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</si>
  <si>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</si>
  <si>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</si>
  <si>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</si>
  <si>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</si>
  <si>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</si>
  <si>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</si>
  <si>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</si>
  <si>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</si>
  <si>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</si>
  <si>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</si>
  <si>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</si>
  <si>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</si>
  <si>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</si>
  <si>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</si>
  <si>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</si>
  <si>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</si>
  <si>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</si>
  <si>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</si>
  <si>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</si>
  <si>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</si>
  <si>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</si>
  <si>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</si>
  <si>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</si>
  <si>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</si>
  <si>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</si>
  <si>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</si>
  <si>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</si>
  <si>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</si>
  <si>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</si>
  <si>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</si>
  <si>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</si>
  <si>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</si>
  <si>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</si>
  <si>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</si>
  <si>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</si>
  <si>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</si>
  <si>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</si>
  <si>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</si>
  <si>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</si>
  <si>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</si>
  <si>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</si>
  <si>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</si>
  <si>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</si>
  <si>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</si>
  <si>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</si>
  <si>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</si>
  <si>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</si>
  <si>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</si>
  <si>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</si>
  <si>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</si>
  <si>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</si>
  <si>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</si>
  <si>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</si>
  <si>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</si>
  <si>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</si>
  <si>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</si>
  <si>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</si>
  <si>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</si>
  <si>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</si>
  <si>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</si>
  <si>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</si>
  <si>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</si>
  <si>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</si>
  <si>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</si>
  <si>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</si>
  <si>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</si>
  <si>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</si>
  <si>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</si>
  <si>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</si>
  <si>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</si>
  <si>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</si>
  <si>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</si>
  <si>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</si>
  <si>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</si>
  <si>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</si>
  <si>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</si>
  <si>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</si>
  <si>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</si>
  <si>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</si>
  <si>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</si>
  <si>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</si>
  <si>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</si>
  <si>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</si>
  <si>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</si>
  <si>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</si>
  <si>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</si>
  <si>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</si>
  <si>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</si>
  <si>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</si>
  <si>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</si>
  <si>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</si>
  <si>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</si>
  <si>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</si>
  <si>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</si>
  <si>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</si>
  <si>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</si>
  <si>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</si>
  <si>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</si>
  <si>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</si>
  <si>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</si>
  <si>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</si>
  <si>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</si>
  <si>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</si>
  <si>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</si>
  <si>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</si>
  <si>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</si>
  <si>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</si>
  <si>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</si>
  <si>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</si>
  <si>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</si>
  <si>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</si>
  <si>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</si>
  <si>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</si>
  <si>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</si>
  <si>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</si>
  <si>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</si>
  <si>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</si>
  <si>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</si>
  <si>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</si>
  <si>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</si>
  <si>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</si>
  <si>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</si>
  <si>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</si>
  <si>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</si>
  <si>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</si>
  <si>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</si>
  <si>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</si>
  <si>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</si>
  <si>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</si>
  <si>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</si>
  <si>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</si>
  <si>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</si>
  <si>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</si>
  <si>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</si>
  <si>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</si>
  <si>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</si>
  <si>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</si>
  <si>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</si>
  <si>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</si>
  <si>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</si>
  <si>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</si>
  <si>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</si>
  <si>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</si>
  <si>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</si>
  <si>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</si>
  <si>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</si>
  <si>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</si>
  <si>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</si>
  <si>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</si>
  <si>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</si>
  <si>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</si>
  <si>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</si>
  <si>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</si>
  <si>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</si>
  <si>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</si>
  <si>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</si>
  <si>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</si>
  <si>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</si>
  <si>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</si>
  <si>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</si>
  <si>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</si>
  <si>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</si>
  <si>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</si>
  <si>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</si>
  <si>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</si>
  <si>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</si>
  <si>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</si>
  <si>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</si>
  <si>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</si>
  <si>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</si>
  <si>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</si>
  <si>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</si>
  <si>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</si>
  <si>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</si>
  <si>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</si>
  <si>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</si>
  <si>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</si>
  <si>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</si>
  <si>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</si>
  <si>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</si>
  <si>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</si>
  <si>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</si>
  <si>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</si>
  <si>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</si>
  <si>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</si>
  <si>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</si>
  <si>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</si>
  <si>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</si>
  <si>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</si>
  <si>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</si>
  <si>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</si>
  <si>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</si>
  <si>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</si>
  <si>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</si>
  <si>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</si>
  <si>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</si>
  <si>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</si>
  <si>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</si>
  <si>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</si>
  <si>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</si>
  <si>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</si>
  <si>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</si>
  <si>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</si>
  <si>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</si>
  <si>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</si>
  <si>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</si>
  <si>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</si>
  <si>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</si>
  <si>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</si>
  <si>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</si>
  <si>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</si>
  <si>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</si>
  <si>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</si>
  <si>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</si>
  <si>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</si>
  <si>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</si>
  <si>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</si>
  <si>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</si>
  <si>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</si>
  <si>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</si>
  <si>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</si>
  <si>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</si>
  <si>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</si>
  <si>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</si>
  <si>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</si>
  <si>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</si>
  <si>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</si>
  <si>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</si>
  <si>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</si>
  <si>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</si>
  <si>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</si>
  <si>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</si>
  <si>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</si>
  <si>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</si>
  <si>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</si>
  <si>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</si>
  <si>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</si>
  <si>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</si>
  <si>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</si>
  <si>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</si>
  <si>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</si>
  <si>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</si>
  <si>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</si>
  <si>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</si>
  <si>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</si>
  <si>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</si>
  <si>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</si>
  <si>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</si>
  <si>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</si>
  <si>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</si>
  <si>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</si>
  <si>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</si>
  <si>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</si>
  <si>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</si>
  <si>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</si>
  <si>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</si>
  <si>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</si>
  <si>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</si>
  <si>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</si>
  <si>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</si>
  <si>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</si>
  <si>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</si>
  <si>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</si>
  <si>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</si>
  <si>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</si>
  <si>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</si>
  <si>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</si>
  <si>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</si>
  <si>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</si>
  <si>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</si>
  <si>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</si>
  <si>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</si>
  <si>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</si>
  <si>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</si>
  <si>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</si>
  <si>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</si>
  <si>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</si>
  <si>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</si>
  <si>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</si>
  <si>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</si>
  <si>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</si>
  <si>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</si>
  <si>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</si>
  <si>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</si>
  <si>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</si>
  <si>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</si>
  <si>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</si>
  <si>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</si>
  <si>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</si>
  <si>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</si>
  <si>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</si>
  <si>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</si>
  <si>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</si>
  <si>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</si>
  <si>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</si>
  <si>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</si>
  <si>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</si>
  <si>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</si>
  <si>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</si>
  <si>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</si>
  <si>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</si>
  <si>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</si>
  <si>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</si>
  <si>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</si>
  <si>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</si>
  <si>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</si>
  <si>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</si>
  <si>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</si>
  <si>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</si>
  <si>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</si>
  <si>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</si>
  <si>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</si>
  <si>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</si>
  <si>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</si>
  <si>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</si>
  <si>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</si>
  <si>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</si>
  <si>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</si>
  <si>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</si>
  <si>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</si>
  <si>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</si>
  <si>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</si>
  <si>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</si>
  <si>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</si>
  <si>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</si>
  <si>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</si>
  <si>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</si>
  <si>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</si>
  <si>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</si>
  <si>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</si>
  <si>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</si>
  <si>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</si>
  <si>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</si>
  <si>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</si>
  <si>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</si>
  <si>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</si>
  <si>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</si>
  <si>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</si>
  <si>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</si>
  <si>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</si>
  <si>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</si>
  <si>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</si>
  <si>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</si>
  <si>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</si>
  <si>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</si>
  <si>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</si>
  <si>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</si>
  <si>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</si>
  <si>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</si>
  <si>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</si>
  <si>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</si>
  <si>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</si>
  <si>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</si>
  <si>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</si>
  <si>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</si>
  <si>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</si>
  <si>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</si>
  <si>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</si>
  <si>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</si>
  <si>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</si>
  <si>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</si>
  <si>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</si>
  <si>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</si>
  <si>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</si>
  <si>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</si>
  <si>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</si>
  <si>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</si>
  <si>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</si>
  <si>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</si>
  <si>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</si>
  <si>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</si>
  <si>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</si>
  <si>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</si>
  <si>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</si>
  <si>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</si>
  <si>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</si>
  <si>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</si>
  <si>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</si>
  <si>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</si>
  <si>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</si>
  <si>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</si>
  <si>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</si>
  <si>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</si>
  <si>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</si>
  <si>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</si>
  <si>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</si>
  <si>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</si>
  <si>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</si>
  <si>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</si>
  <si>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</si>
  <si>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</si>
  <si>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</si>
  <si>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</si>
  <si>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</si>
  <si>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</si>
  <si>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</si>
  <si>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</si>
  <si>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</si>
  <si>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</si>
  <si>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</si>
  <si>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</si>
  <si>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</si>
  <si>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</si>
  <si>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</si>
  <si>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</si>
  <si>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</si>
  <si>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</si>
  <si>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</si>
  <si>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</si>
  <si>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</si>
  <si>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</si>
  <si>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</si>
  <si>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</si>
  <si>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</si>
  <si>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</si>
  <si>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</si>
  <si>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</si>
  <si>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</si>
  <si>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</si>
  <si>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</si>
  <si>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</si>
  <si>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</si>
  <si>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</si>
  <si>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</si>
  <si>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</si>
  <si>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</si>
  <si>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</si>
  <si>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</si>
  <si>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</si>
  <si>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</si>
  <si>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</si>
  <si>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</si>
  <si>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</si>
  <si>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</si>
  <si>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</si>
  <si>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</si>
  <si>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</si>
  <si>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</si>
  <si>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</si>
  <si>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</si>
  <si>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</si>
  <si>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</si>
  <si>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</si>
  <si>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</si>
  <si>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</si>
  <si>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</si>
  <si>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</si>
  <si>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</si>
  <si>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</si>
  <si>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</si>
  <si>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</si>
  <si>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</si>
  <si>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</si>
  <si>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</si>
  <si>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</si>
  <si>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</si>
  <si>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</si>
  <si>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</si>
  <si>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</si>
  <si>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</si>
  <si>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</si>
  <si>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</si>
  <si>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</si>
  <si>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</si>
  <si>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</si>
  <si>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</si>
  <si>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</si>
  <si>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</si>
  <si>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</si>
  <si>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</si>
  <si>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</si>
  <si>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</si>
  <si>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</si>
  <si>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</si>
  <si>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</si>
  <si>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</si>
  <si>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</si>
  <si>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</si>
  <si>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</si>
  <si>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</si>
  <si>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</si>
  <si>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</si>
  <si>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</si>
  <si>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</si>
  <si>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</si>
  <si>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</si>
  <si>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</si>
  <si>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</si>
  <si>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</si>
  <si>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</si>
  <si>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</si>
  <si>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</si>
  <si>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</si>
  <si>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</si>
  <si>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</si>
  <si>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</si>
  <si>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</si>
  <si>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</si>
  <si>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</si>
  <si>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</si>
  <si>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</si>
  <si>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</si>
  <si>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</si>
  <si>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</si>
  <si>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</si>
  <si>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</si>
  <si>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</si>
  <si>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</si>
  <si>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</si>
  <si>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</si>
  <si>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</si>
  <si>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</si>
  <si>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</si>
  <si>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</si>
  <si>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</si>
  <si>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</si>
  <si>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</si>
  <si>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</si>
  <si>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</si>
  <si>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</si>
  <si>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</si>
  <si>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</si>
  <si>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</si>
  <si>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</si>
  <si>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</si>
  <si>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</si>
  <si>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</si>
  <si>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</si>
  <si>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</si>
  <si>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</si>
  <si>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</si>
  <si>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</si>
  <si>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</si>
  <si>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</si>
  <si>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</si>
  <si>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</si>
  <si>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</si>
  <si>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</si>
  <si>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</si>
  <si>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</si>
  <si>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</si>
  <si>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</si>
  <si>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</si>
  <si>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</si>
  <si>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</si>
  <si>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</si>
  <si>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</si>
  <si>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</si>
  <si>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</si>
  <si>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</si>
  <si>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</si>
  <si>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</si>
  <si>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</si>
  <si>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</si>
  <si>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</si>
  <si>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</si>
  <si>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</si>
  <si>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</si>
  <si>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</si>
  <si>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</si>
  <si>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</si>
  <si>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</si>
  <si>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</si>
  <si>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</si>
  <si>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</si>
  <si>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</si>
  <si>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</si>
  <si>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</si>
  <si>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</si>
  <si>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</si>
  <si>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</si>
  <si>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</si>
  <si>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</si>
  <si>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</si>
  <si>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</si>
  <si>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</si>
  <si>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</si>
  <si>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</si>
  <si>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</si>
  <si>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</si>
  <si>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</si>
  <si>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</si>
  <si>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</si>
  <si>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</si>
  <si>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</si>
  <si>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</si>
  <si>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</si>
  <si>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</si>
  <si>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</si>
  <si>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</si>
  <si>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</si>
  <si>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</si>
  <si>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</si>
  <si>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</si>
  <si>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</si>
  <si>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</si>
  <si>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</si>
  <si>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</si>
  <si>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</si>
  <si>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</si>
  <si>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</si>
  <si>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</si>
  <si>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</si>
  <si>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</si>
  <si>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</si>
  <si>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</si>
  <si>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</si>
  <si>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</si>
  <si>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</si>
  <si>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</si>
  <si>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</si>
  <si>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</si>
  <si>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</si>
  <si>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</si>
  <si>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</si>
  <si>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</si>
  <si>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</si>
  <si>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</si>
  <si>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</si>
  <si>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</si>
  <si>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</si>
  <si>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</si>
  <si>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</si>
  <si>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</si>
  <si>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</si>
  <si>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</si>
  <si>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</si>
  <si>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</si>
  <si>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</si>
  <si>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</si>
  <si>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</si>
  <si>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</si>
  <si>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</si>
  <si>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</si>
  <si>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</si>
  <si>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</si>
  <si>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</si>
  <si>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</si>
  <si>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</si>
  <si>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</si>
  <si>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</si>
  <si>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</si>
  <si>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</si>
  <si>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</si>
  <si>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</si>
  <si>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</si>
  <si>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</si>
  <si>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</si>
  <si>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</si>
  <si>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</si>
  <si>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</si>
  <si>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</si>
  <si>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</si>
  <si>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</si>
  <si>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</si>
  <si>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</si>
  <si>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</si>
  <si>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</si>
  <si>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</si>
  <si>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</si>
  <si>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</si>
  <si>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</si>
  <si>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</si>
  <si>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</si>
  <si>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</si>
  <si>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</si>
  <si>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</si>
  <si>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</si>
  <si>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</si>
  <si>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</si>
  <si>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</si>
  <si>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</si>
  <si>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</si>
  <si>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</si>
  <si>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</si>
  <si>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</si>
  <si>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</si>
  <si>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</si>
  <si>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</si>
  <si>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</si>
  <si>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</si>
  <si>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</si>
  <si>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</si>
  <si>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</si>
  <si>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</si>
  <si>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</si>
  <si>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</si>
  <si>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</si>
  <si>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</si>
  <si>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</si>
  <si>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</si>
  <si>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</si>
  <si>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</si>
  <si>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</si>
  <si>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</si>
  <si>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</si>
  <si>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</si>
  <si>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</si>
  <si>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</si>
  <si>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</si>
  <si>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</si>
  <si>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</si>
  <si>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</si>
  <si>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</si>
  <si>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</si>
  <si>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</si>
  <si>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</si>
  <si>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</si>
  <si>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</si>
  <si>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</si>
  <si>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</si>
  <si>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</si>
  <si>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</si>
  <si>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</si>
  <si>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</si>
  <si>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</si>
  <si>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</si>
  <si>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</si>
  <si>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</si>
  <si>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</si>
  <si>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</si>
  <si>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</si>
  <si>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</si>
  <si>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</si>
  <si>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</si>
  <si>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</si>
  <si>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</si>
  <si>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</si>
  <si>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</si>
  <si>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</si>
  <si>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</si>
  <si>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</si>
  <si>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</si>
  <si>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</si>
  <si>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</si>
  <si>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</si>
  <si>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</si>
  <si>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</si>
  <si>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</si>
  <si>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</si>
  <si>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</si>
  <si>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</si>
  <si>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</si>
  <si>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</si>
  <si>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</si>
  <si>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</si>
  <si>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</si>
  <si>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</si>
  <si>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</si>
  <si>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</si>
  <si>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</si>
  <si>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</si>
  <si>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</si>
  <si>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</si>
  <si>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</si>
  <si>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</si>
  <si>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</si>
  <si>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</si>
  <si>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</si>
  <si>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</si>
  <si>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</si>
  <si>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</si>
  <si>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</si>
  <si>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</si>
  <si>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</si>
  <si>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</si>
  <si>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</si>
  <si>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</si>
  <si>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</si>
  <si>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</si>
  <si>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</si>
  <si>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</si>
  <si>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</si>
  <si>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</si>
  <si>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</si>
  <si>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</si>
  <si>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</si>
  <si>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</si>
  <si>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</si>
  <si>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</si>
  <si>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</si>
  <si>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</si>
  <si>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</si>
  <si>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</si>
  <si>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</si>
  <si>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</si>
  <si>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</si>
  <si>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</si>
  <si>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</si>
  <si>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</si>
  <si>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</si>
  <si>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</si>
  <si>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</si>
  <si>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</si>
  <si>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</si>
  <si>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</si>
  <si>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</si>
  <si>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</si>
  <si>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</si>
  <si>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</si>
  <si>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</si>
  <si>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</si>
  <si>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</si>
  <si>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</si>
  <si>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</si>
  <si>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</si>
  <si>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</si>
  <si>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</si>
  <si>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</si>
  <si>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</si>
  <si>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</si>
  <si>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</si>
  <si>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</si>
  <si>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</si>
  <si>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</si>
  <si>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</si>
  <si>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</si>
  <si>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</si>
  <si>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</si>
  <si>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</si>
  <si>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</si>
  <si>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</si>
  <si>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</si>
  <si>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</si>
  <si>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</si>
  <si>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</si>
  <si>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</si>
  <si>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</si>
  <si>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</si>
  <si>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</si>
  <si>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</si>
  <si>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</si>
  <si>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</si>
  <si>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</si>
  <si>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</si>
  <si>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</si>
  <si>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</si>
  <si>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</si>
  <si>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</si>
  <si>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</si>
  <si>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</si>
  <si>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</si>
  <si>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</si>
  <si>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</si>
  <si>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</si>
  <si>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</si>
  <si>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</si>
  <si>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</si>
  <si>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</si>
  <si>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</si>
  <si>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</si>
  <si>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</si>
  <si>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</si>
  <si>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</si>
  <si>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</si>
  <si>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</si>
  <si>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</si>
  <si>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</si>
  <si>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</si>
  <si>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</si>
  <si>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</si>
  <si>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</si>
  <si>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</si>
  <si>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</si>
  <si>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</si>
  <si>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</si>
  <si>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</si>
  <si>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</si>
  <si>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</si>
  <si>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</si>
  <si>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</si>
  <si>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</si>
  <si>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</si>
  <si>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</si>
  <si>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</si>
  <si>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</si>
  <si>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</si>
  <si>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</si>
  <si>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</si>
  <si>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</si>
  <si>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</si>
  <si>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</si>
  <si>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</si>
  <si>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</si>
  <si>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</si>
  <si>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</si>
  <si>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</si>
  <si>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</si>
  <si>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</si>
  <si>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</si>
  <si>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</si>
  <si>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</si>
  <si>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</si>
  <si>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</si>
  <si>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</si>
  <si>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</si>
  <si>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</si>
  <si>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</si>
  <si>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</si>
  <si>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</si>
  <si>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</si>
  <si>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</si>
  <si>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</si>
  <si>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</si>
  <si>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</si>
  <si>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</si>
  <si>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</si>
  <si>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</si>
  <si>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</si>
  <si>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</si>
  <si>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</si>
  <si>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</si>
  <si>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</si>
  <si>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</si>
  <si>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</si>
  <si>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</si>
  <si>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</si>
  <si>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</si>
  <si>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</si>
  <si>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</si>
  <si>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</si>
  <si>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</si>
  <si>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</si>
  <si>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</si>
  <si>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</si>
  <si>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</si>
  <si>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</si>
  <si>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</si>
  <si>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</si>
  <si>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</si>
  <si>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</si>
  <si>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</si>
  <si>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</si>
  <si>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</si>
  <si>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</si>
  <si>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</si>
  <si>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</si>
  <si>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</si>
  <si>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</si>
  <si>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</si>
  <si>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</si>
  <si>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</si>
  <si>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</si>
  <si>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</si>
  <si>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</si>
  <si>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</si>
  <si>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</si>
  <si>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</si>
  <si>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</si>
  <si>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</si>
  <si>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</si>
  <si>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</si>
  <si>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</si>
  <si>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</si>
  <si>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</si>
  <si>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</si>
  <si>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</si>
  <si>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</si>
  <si>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</si>
  <si>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</si>
  <si>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</si>
  <si>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</si>
  <si>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</si>
  <si>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</si>
  <si>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</si>
  <si>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</si>
  <si>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</si>
  <si>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</si>
  <si>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</si>
  <si>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</si>
  <si>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</si>
  <si>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</si>
  <si>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</si>
  <si>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</si>
  <si>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</si>
  <si>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</si>
  <si>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</si>
  <si>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</si>
  <si>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</si>
  <si>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</si>
  <si>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</si>
  <si>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</si>
  <si>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</si>
  <si>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</si>
  <si>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</si>
  <si>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</si>
  <si>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</si>
  <si>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</si>
  <si>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</si>
  <si>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</si>
  <si>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</si>
  <si>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</si>
  <si>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</si>
  <si>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</si>
  <si>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</si>
  <si>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</si>
  <si>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</si>
  <si>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</si>
  <si>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</si>
  <si>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</si>
  <si>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</si>
  <si>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</si>
  <si>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</si>
  <si>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</si>
  <si>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</si>
  <si>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</si>
  <si>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</si>
  <si>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</si>
  <si>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</si>
  <si>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</si>
  <si>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</si>
  <si>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</si>
  <si>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</si>
  <si>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</si>
  <si>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</si>
  <si>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</si>
  <si>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</si>
  <si>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</si>
  <si>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</si>
  <si>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</si>
  <si>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</si>
  <si>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</si>
  <si>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</si>
  <si>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</si>
  <si>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</si>
  <si>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</si>
  <si>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</si>
  <si>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</si>
  <si>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</si>
  <si>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</si>
  <si>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</si>
  <si>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</si>
  <si>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</si>
  <si>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</si>
  <si>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</si>
  <si>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</si>
  <si>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</si>
  <si>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</si>
  <si>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</si>
  <si>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</si>
  <si>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</si>
  <si>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</si>
  <si>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</si>
  <si>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</si>
  <si>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</si>
  <si>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</si>
  <si>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</si>
  <si>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</si>
  <si>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</si>
  <si>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</si>
  <si>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</si>
  <si>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</si>
  <si>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</si>
  <si>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</si>
  <si>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</si>
  <si>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</si>
  <si>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</si>
  <si>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</si>
  <si>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</si>
  <si>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</si>
  <si>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</si>
  <si>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</si>
  <si>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</si>
  <si>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</si>
  <si>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</si>
  <si>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</si>
  <si>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</si>
  <si>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</si>
  <si>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</si>
  <si>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</si>
  <si>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</si>
  <si>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</si>
  <si>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</si>
  <si>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</si>
  <si>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</si>
  <si>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</si>
  <si>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</si>
  <si>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</si>
  <si>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</si>
  <si>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</si>
  <si>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</si>
  <si>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</si>
  <si>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</si>
  <si>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</si>
  <si>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</si>
  <si>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</si>
  <si>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</si>
  <si>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</si>
  <si>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</si>
  <si>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</si>
  <si>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</si>
  <si>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</si>
  <si>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</si>
  <si>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</si>
  <si>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</si>
  <si>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</si>
  <si>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</si>
  <si>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</si>
  <si>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</si>
  <si>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</si>
  <si>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</si>
  <si>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</si>
  <si>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</si>
  <si>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</si>
  <si>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</si>
  <si>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</si>
  <si>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</si>
  <si>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</si>
  <si>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</si>
  <si>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</si>
  <si>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</si>
  <si>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</si>
  <si>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</si>
  <si>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</si>
  <si>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</si>
  <si>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</si>
  <si>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</si>
  <si>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</si>
  <si>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</si>
  <si>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</si>
  <si>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</si>
  <si>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</si>
  <si>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</si>
  <si>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</si>
  <si>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</si>
  <si>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</si>
  <si>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</si>
  <si>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</si>
  <si>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</si>
  <si>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</si>
  <si>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</si>
  <si>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</si>
  <si>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</si>
  <si>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</si>
  <si>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</si>
  <si>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</si>
  <si>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</si>
  <si>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</si>
  <si>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</si>
  <si>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</si>
  <si>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</si>
  <si>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</si>
  <si>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</si>
  <si>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</si>
  <si>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</si>
  <si>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</si>
  <si>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</si>
  <si>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</si>
  <si>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</si>
  <si>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</si>
  <si>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</si>
  <si>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</si>
  <si>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</si>
  <si>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</si>
  <si>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</si>
  <si>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</si>
  <si>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</si>
  <si>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</si>
  <si>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</si>
  <si>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</si>
  <si>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</si>
  <si>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</si>
  <si>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</si>
  <si>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</si>
  <si>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</si>
  <si>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</si>
  <si>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</si>
  <si>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</si>
  <si>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</si>
  <si>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</si>
  <si>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</si>
  <si>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</si>
  <si>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</si>
  <si>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</si>
  <si>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</si>
  <si>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</si>
  <si>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</si>
  <si>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</si>
  <si>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</si>
  <si>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</si>
  <si>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</si>
  <si>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</si>
  <si>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</si>
  <si>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</si>
  <si>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</si>
  <si>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</si>
  <si>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</si>
  <si>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</si>
  <si>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</si>
  <si>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</si>
  <si>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</si>
  <si>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</si>
  <si>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</si>
  <si>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</si>
  <si>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</si>
  <si>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</si>
  <si>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</si>
  <si>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</si>
  <si>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</si>
  <si>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</si>
  <si>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</si>
  <si>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</si>
  <si>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</si>
  <si>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</si>
  <si>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</si>
  <si>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</si>
  <si>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</si>
  <si>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</si>
  <si>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</si>
  <si>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</si>
  <si>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</si>
  <si>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</si>
  <si>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</si>
  <si>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</si>
  <si>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</si>
  <si>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</si>
  <si>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</si>
  <si>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</si>
  <si>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</si>
  <si>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</si>
  <si>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</si>
  <si>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</si>
  <si>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</si>
  <si>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</si>
  <si>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</si>
  <si>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</si>
  <si>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</si>
  <si>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</si>
  <si>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</si>
  <si>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</si>
  <si>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</si>
  <si>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</si>
  <si>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</si>
  <si>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</si>
  <si>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</si>
  <si>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</si>
  <si>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</si>
  <si>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</si>
  <si>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</si>
  <si>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</si>
  <si>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</si>
  <si>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</si>
  <si>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</si>
  <si>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</si>
  <si>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</si>
  <si>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</si>
  <si>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</si>
  <si>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</si>
  <si>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</si>
  <si>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</si>
  <si>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</si>
  <si>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</si>
  <si>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</si>
  <si>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</si>
  <si>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</si>
  <si>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</si>
  <si>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</si>
  <si>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</si>
  <si>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</si>
  <si>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</si>
  <si>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</si>
  <si>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</si>
  <si>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</si>
  <si>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</si>
  <si>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</si>
  <si>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</si>
  <si>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</si>
  <si>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</si>
  <si>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</si>
  <si>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</si>
  <si>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</si>
  <si>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</si>
  <si>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</si>
  <si>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</si>
  <si>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</si>
  <si>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</si>
  <si>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</si>
  <si>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</si>
  <si>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</si>
  <si>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</si>
  <si>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</si>
  <si>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</si>
  <si>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</si>
  <si>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</si>
  <si>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</si>
  <si>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</si>
  <si>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</si>
  <si>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</si>
  <si>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</si>
  <si>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</si>
  <si>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</si>
  <si>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</si>
  <si>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</si>
  <si>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</si>
  <si>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</si>
  <si>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</si>
  <si>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</si>
  <si>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</si>
  <si>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</si>
  <si>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</si>
  <si>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</si>
  <si>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</si>
  <si>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</si>
  <si>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</si>
  <si>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</si>
  <si>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</si>
  <si>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</si>
  <si>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</si>
  <si>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</si>
  <si>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</si>
  <si>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</si>
  <si>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</si>
  <si>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</si>
  <si>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</si>
  <si>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</si>
  <si>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</si>
  <si>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</si>
  <si>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</si>
  <si>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</si>
  <si>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</si>
  <si>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</si>
  <si>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</si>
  <si>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</si>
  <si>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</si>
  <si>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</si>
  <si>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</si>
  <si>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</si>
  <si>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</si>
  <si>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</si>
  <si>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</si>
  <si>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</si>
  <si>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</si>
  <si>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</si>
  <si>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</si>
  <si>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</si>
  <si>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</si>
  <si>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</si>
  <si>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</si>
  <si>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</si>
  <si>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</si>
  <si>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</si>
  <si>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</si>
  <si>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</si>
  <si>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</si>
  <si>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</si>
  <si>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</si>
  <si>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</si>
  <si>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</si>
  <si>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</si>
  <si>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</si>
  <si>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</si>
  <si>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</si>
  <si>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</si>
  <si>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</si>
  <si>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</si>
  <si>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</si>
  <si>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</si>
  <si>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</si>
  <si>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</si>
  <si>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</si>
  <si>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</si>
  <si>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</si>
  <si>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</si>
  <si>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</si>
  <si>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</si>
  <si>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</si>
  <si>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</si>
  <si>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</si>
  <si>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</si>
  <si>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</si>
  <si>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</si>
  <si>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</si>
  <si>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</si>
  <si>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</si>
  <si>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</si>
  <si>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</si>
  <si>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</si>
  <si>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</si>
  <si>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</si>
  <si>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</si>
  <si>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</si>
  <si>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</si>
  <si>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</si>
  <si>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</si>
  <si>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</si>
  <si>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</si>
  <si>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</si>
  <si>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</si>
  <si>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</si>
  <si>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</si>
  <si>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</si>
  <si>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</si>
  <si>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</si>
  <si>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</si>
  <si>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</si>
  <si>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</si>
  <si>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</si>
  <si>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</si>
  <si>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</si>
  <si>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</si>
  <si>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</si>
  <si>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</si>
  <si>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</si>
  <si>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</si>
  <si>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</si>
  <si>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</si>
  <si>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</si>
  <si>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</si>
  <si>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</si>
  <si>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</si>
  <si>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</si>
  <si>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</si>
  <si>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</si>
  <si>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</si>
  <si>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</si>
  <si>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</si>
  <si>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</si>
  <si>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</si>
  <si>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</si>
  <si>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</si>
  <si>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</si>
  <si>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</si>
  <si>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</si>
  <si>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</si>
  <si>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</si>
  <si>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</si>
  <si>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</si>
  <si>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</si>
  <si>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</si>
  <si>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</si>
  <si>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</si>
  <si>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</si>
  <si>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</si>
  <si>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</si>
  <si>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</si>
  <si>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</si>
  <si>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</si>
  <si>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</si>
  <si>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</si>
  <si>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</si>
  <si>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</si>
  <si>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</si>
  <si>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</si>
  <si>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</si>
  <si>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</si>
  <si>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</si>
  <si>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</si>
  <si>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</si>
  <si>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</si>
  <si>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</si>
  <si>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</si>
  <si>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</si>
  <si>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</si>
  <si>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</si>
  <si>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</si>
  <si>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</si>
  <si>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</si>
  <si>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</si>
  <si>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</si>
  <si>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</si>
  <si>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</si>
  <si>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</si>
  <si>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</si>
  <si>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</si>
  <si>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</si>
  <si>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</si>
  <si>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</si>
  <si>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</si>
  <si>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</si>
  <si>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</si>
  <si>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</si>
  <si>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</si>
  <si>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</si>
  <si>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</si>
  <si>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</si>
  <si>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</si>
  <si>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</si>
  <si>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</si>
  <si>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</si>
  <si>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</si>
  <si>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</si>
  <si>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</si>
  <si>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</si>
  <si>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</si>
  <si>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</si>
  <si>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</si>
  <si>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</si>
  <si>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</si>
  <si>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</si>
  <si>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</si>
  <si>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</si>
  <si>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</si>
  <si>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</si>
  <si>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</si>
  <si>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</si>
  <si>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</si>
  <si>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</si>
  <si>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</si>
  <si>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</si>
  <si>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</si>
  <si>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</si>
  <si>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</si>
  <si>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</si>
  <si>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</si>
  <si>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</si>
  <si>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</si>
  <si>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</si>
  <si>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</si>
  <si>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</si>
  <si>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</si>
  <si>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</si>
  <si>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</si>
  <si>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</si>
  <si>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</si>
  <si>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</si>
  <si>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</si>
  <si>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</si>
  <si>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</si>
  <si>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</si>
  <si>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</si>
  <si>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</si>
  <si>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</si>
  <si>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</si>
  <si>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</si>
  <si>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</si>
  <si>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</si>
  <si>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</si>
  <si>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</si>
  <si>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</si>
  <si>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</si>
  <si>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</si>
  <si>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</si>
  <si>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</si>
  <si>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</si>
  <si>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</si>
  <si>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</si>
  <si>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</si>
  <si>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</si>
  <si>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</si>
  <si>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</si>
  <si>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</si>
  <si>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</si>
  <si>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</si>
  <si>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</si>
  <si>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</si>
  <si>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</si>
  <si>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</si>
  <si>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</si>
  <si>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</si>
  <si>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</si>
  <si>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</si>
  <si>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</si>
  <si>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</si>
  <si>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</si>
  <si>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</si>
  <si>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</si>
  <si>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</si>
  <si>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</si>
  <si>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</si>
  <si>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</si>
  <si>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</si>
  <si>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</si>
  <si>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</si>
  <si>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</si>
  <si>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</si>
  <si>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</si>
  <si>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</si>
  <si>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</si>
  <si>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</si>
  <si>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</si>
  <si>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</si>
  <si>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</si>
  <si>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</si>
  <si>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</si>
  <si>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</si>
  <si>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</si>
  <si>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</si>
  <si>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</si>
  <si>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</si>
  <si>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</si>
  <si>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</si>
  <si>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</si>
  <si>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</si>
  <si>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</si>
  <si>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</si>
  <si>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</si>
  <si>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</si>
  <si>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</si>
  <si>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</si>
  <si>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</si>
  <si>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</si>
  <si>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</si>
  <si>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</si>
  <si>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</si>
  <si>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</si>
  <si>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</si>
  <si>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</si>
  <si>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</si>
  <si>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</si>
  <si>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</si>
  <si>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</si>
  <si>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</si>
  <si>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</si>
  <si>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</si>
  <si>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</si>
  <si>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</si>
  <si>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</si>
  <si>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</si>
  <si>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</si>
  <si>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</si>
  <si>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</si>
  <si>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</si>
  <si>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</si>
  <si>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</si>
  <si>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</si>
  <si>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</si>
  <si>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</si>
  <si>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</si>
  <si>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</si>
  <si>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</si>
  <si>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</si>
  <si>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</si>
  <si>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</si>
  <si>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</si>
  <si>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</si>
  <si>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</si>
  <si>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</si>
  <si>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</si>
  <si>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</si>
  <si>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</si>
  <si>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</si>
  <si>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</si>
  <si>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</si>
  <si>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</si>
  <si>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</si>
  <si>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</si>
  <si>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</si>
  <si>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</si>
  <si>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</si>
  <si>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</si>
  <si>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</si>
  <si>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</si>
  <si>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</si>
  <si>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</si>
  <si>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</si>
  <si>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</si>
  <si>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</si>
  <si>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</si>
  <si>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</si>
  <si>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</si>
  <si>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</si>
  <si>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</si>
  <si>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</si>
  <si>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</si>
  <si>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</si>
  <si>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</si>
  <si>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</si>
  <si>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</si>
  <si>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</si>
  <si>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</si>
  <si>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</si>
  <si>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</si>
  <si>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</si>
  <si>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</si>
  <si>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</si>
  <si>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</si>
  <si>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</si>
  <si>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</si>
  <si>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</si>
  <si>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</si>
  <si>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</si>
  <si>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</si>
  <si>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</si>
  <si>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</si>
  <si>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</si>
  <si>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</si>
  <si>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</si>
  <si>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</si>
  <si>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</si>
  <si>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</si>
  <si>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</si>
  <si>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</si>
  <si>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</si>
  <si>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</si>
  <si>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</si>
  <si>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</si>
  <si>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</si>
  <si>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</si>
  <si>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</si>
  <si>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</si>
  <si>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</si>
  <si>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</si>
  <si>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</si>
  <si>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</si>
  <si>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</si>
  <si>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</si>
  <si>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</si>
  <si>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</si>
  <si>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</si>
  <si>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</si>
  <si>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</si>
  <si>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</si>
  <si>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</si>
  <si>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</si>
  <si>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</si>
  <si>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</si>
  <si>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</si>
  <si>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</si>
  <si>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</si>
  <si>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</si>
  <si>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</si>
  <si>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</si>
  <si>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</si>
  <si>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</si>
  <si>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</si>
  <si>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</si>
  <si>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</si>
  <si>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</si>
  <si>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</si>
  <si>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</si>
  <si>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</si>
  <si>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</si>
  <si>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</si>
  <si>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</si>
  <si>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</si>
  <si>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</si>
  <si>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</si>
  <si>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</si>
  <si>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</si>
  <si>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</si>
  <si>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</si>
  <si>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</si>
  <si>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</si>
  <si>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</si>
  <si>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</si>
  <si>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</si>
  <si>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</si>
  <si>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</si>
  <si>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</si>
  <si>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</si>
  <si>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</si>
  <si>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</si>
  <si>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</si>
  <si>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</si>
  <si>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</si>
  <si>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</si>
  <si>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</si>
  <si>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</si>
  <si>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</si>
  <si>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</si>
  <si>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</si>
  <si>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</si>
  <si>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</si>
  <si>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</si>
  <si>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</si>
  <si>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</si>
  <si>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</si>
  <si>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</si>
  <si>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</si>
  <si>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</si>
  <si>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</si>
  <si>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</si>
  <si>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</si>
  <si>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</si>
  <si>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</si>
  <si>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</si>
  <si>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</si>
  <si>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</si>
  <si>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</si>
  <si>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</si>
  <si>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</si>
  <si>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</si>
  <si>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</si>
  <si>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</si>
  <si>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</si>
  <si>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</si>
  <si>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</si>
  <si>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</si>
  <si>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</si>
  <si>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</si>
  <si>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</si>
  <si>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</si>
  <si>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</si>
  <si>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</si>
  <si>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</si>
  <si>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</si>
  <si>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</si>
  <si>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</si>
  <si>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</si>
  <si>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</si>
  <si>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</si>
  <si>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</si>
  <si>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</si>
  <si>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</si>
  <si>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</si>
  <si>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</si>
  <si>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</si>
  <si>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</si>
  <si>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</si>
  <si>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</si>
  <si>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</si>
  <si>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</si>
  <si>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</si>
  <si>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</si>
  <si>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</si>
  <si>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</si>
  <si>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</si>
  <si>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</si>
  <si>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</si>
  <si>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</si>
  <si>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</si>
  <si>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</si>
  <si>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</si>
  <si>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</si>
  <si>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</si>
  <si>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</si>
  <si>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</si>
  <si>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</si>
  <si>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</si>
  <si>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</si>
  <si>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</si>
  <si>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</si>
  <si>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</si>
  <si>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</si>
  <si>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</si>
  <si>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</si>
  <si>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</si>
  <si>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</si>
  <si>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</si>
  <si>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</si>
  <si>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</si>
  <si>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</si>
  <si>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</si>
  <si>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</si>
  <si>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</si>
  <si>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</si>
  <si>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</si>
  <si>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</si>
  <si>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</si>
  <si>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</si>
  <si>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</si>
  <si>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</si>
  <si>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</si>
  <si>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</si>
  <si>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</si>
  <si>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</si>
  <si>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</si>
  <si>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</si>
  <si>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</si>
  <si>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</si>
  <si>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</si>
  <si>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</si>
  <si>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</si>
  <si>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</si>
  <si>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</si>
  <si>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</si>
  <si>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</si>
  <si>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</si>
  <si>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</si>
  <si>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</si>
  <si>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</si>
  <si>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</si>
  <si>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</si>
  <si>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</si>
  <si>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</si>
  <si>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</si>
  <si>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</si>
  <si>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</si>
  <si>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</si>
  <si>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</si>
  <si>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</si>
  <si>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</si>
  <si>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</si>
  <si>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</si>
  <si>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</si>
  <si>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</si>
  <si>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</si>
  <si>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</si>
  <si>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</si>
  <si>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</si>
  <si>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</si>
  <si>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</si>
  <si>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</si>
  <si>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</si>
  <si>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</si>
  <si>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</si>
  <si>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</si>
  <si>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</si>
  <si>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</si>
  <si>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</si>
  <si>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</si>
  <si>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</si>
  <si>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</si>
  <si>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</si>
  <si>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</si>
  <si>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</si>
  <si>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</si>
  <si>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</si>
  <si>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</si>
  <si>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</si>
  <si>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</si>
  <si>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</si>
  <si>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</si>
  <si>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</si>
  <si>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</si>
  <si>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</si>
  <si>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</si>
  <si>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</si>
  <si>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</si>
  <si>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</si>
  <si>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</si>
  <si>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</si>
  <si>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</si>
  <si>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</si>
  <si>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</si>
  <si>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</si>
  <si>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</si>
  <si>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</si>
  <si>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</si>
  <si>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</si>
  <si>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</si>
  <si>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</si>
  <si>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</si>
  <si>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</si>
  <si>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</si>
  <si>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</si>
  <si>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</si>
  <si>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</si>
  <si>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</si>
  <si>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</si>
  <si>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</si>
  <si>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</si>
  <si>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</si>
  <si>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</si>
  <si>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</si>
  <si>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</si>
  <si>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</si>
  <si>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</si>
  <si>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</si>
  <si>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</si>
  <si>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</si>
  <si>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</si>
  <si>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</si>
  <si>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</si>
  <si>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</si>
  <si>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</si>
  <si>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</si>
  <si>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</si>
  <si>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</si>
  <si>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</si>
  <si>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</si>
  <si>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</si>
  <si>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</si>
  <si>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</si>
  <si>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</si>
  <si>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</si>
  <si>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</si>
  <si>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</si>
  <si>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</si>
  <si>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</si>
  <si>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</si>
  <si>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</si>
  <si>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</si>
  <si>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</si>
  <si>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</si>
  <si>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</si>
  <si>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</si>
  <si>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</si>
  <si>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</si>
  <si>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</si>
  <si>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</si>
  <si>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</si>
  <si>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</si>
  <si>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</si>
  <si>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</si>
  <si>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</si>
  <si>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</si>
  <si>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</si>
  <si>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</si>
  <si>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</si>
  <si>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</si>
  <si>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</si>
  <si>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</si>
  <si>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</si>
  <si>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</si>
  <si>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</si>
  <si>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</si>
  <si>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</si>
  <si>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</si>
  <si>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</si>
  <si>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</si>
  <si>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</si>
  <si>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</si>
  <si>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</si>
  <si>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</si>
  <si>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</si>
  <si>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</si>
  <si>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</si>
  <si>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</si>
  <si>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</si>
  <si>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</si>
  <si>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</si>
  <si>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</si>
  <si>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</si>
  <si>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</si>
  <si>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</si>
  <si>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</si>
  <si>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</si>
  <si>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</si>
  <si>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</si>
  <si>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</si>
  <si>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</si>
  <si>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</si>
  <si>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</si>
  <si>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</si>
  <si>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</si>
  <si>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</si>
  <si>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</si>
  <si>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</si>
  <si>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</si>
  <si>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</si>
  <si>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</si>
  <si>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</si>
  <si>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</si>
  <si>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</si>
  <si>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</si>
  <si>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</si>
  <si>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</si>
  <si>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</si>
  <si>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</si>
  <si>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</si>
  <si>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</si>
  <si>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</si>
  <si>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</si>
  <si>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</si>
  <si>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</si>
  <si>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</si>
  <si>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</si>
  <si>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</si>
  <si>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</si>
  <si>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</si>
  <si>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</si>
  <si>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</si>
  <si>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</si>
  <si>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</si>
  <si>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</si>
  <si>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</si>
  <si>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</si>
  <si>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</si>
  <si>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</si>
  <si>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</si>
  <si>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</si>
  <si>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</si>
  <si>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</si>
  <si>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</si>
  <si>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</si>
  <si>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</si>
  <si>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</si>
  <si>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</si>
  <si>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</si>
  <si>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</si>
  <si>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</si>
  <si>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</si>
  <si>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</si>
  <si>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</si>
  <si>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</si>
  <si>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</si>
  <si>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</si>
  <si>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</si>
  <si>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</si>
  <si>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</si>
  <si>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</si>
  <si>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</si>
  <si>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</si>
  <si>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</si>
  <si>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</si>
  <si>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</si>
  <si>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</si>
  <si>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</si>
  <si>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</si>
  <si>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</si>
  <si>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</si>
  <si>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</si>
  <si>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</si>
  <si>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</si>
  <si>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</si>
  <si>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</si>
  <si>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</si>
  <si>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</si>
  <si>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</si>
  <si>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</si>
  <si>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</si>
  <si>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</si>
  <si>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</si>
  <si>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</si>
  <si>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</si>
  <si>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</si>
  <si>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</si>
  <si>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</si>
  <si>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</si>
  <si>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</si>
  <si>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</si>
  <si>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</si>
  <si>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</si>
  <si>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</si>
  <si>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</si>
  <si>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</si>
  <si>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</si>
  <si>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</si>
  <si>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</si>
  <si>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</si>
  <si>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</si>
  <si>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</si>
  <si>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</si>
  <si>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</si>
  <si>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</si>
  <si>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</si>
  <si>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</si>
  <si>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</si>
  <si>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</si>
  <si>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</si>
  <si>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</si>
  <si>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</si>
  <si>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</si>
  <si>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</si>
  <si>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</si>
  <si>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</si>
  <si>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</si>
  <si>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</si>
  <si>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</si>
  <si>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</si>
  <si>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</si>
  <si>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</si>
  <si>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</si>
  <si>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</si>
  <si>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</si>
  <si>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</si>
  <si>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</si>
  <si>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</si>
  <si>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</si>
  <si>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</si>
  <si>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</si>
  <si>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</si>
  <si>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</si>
  <si>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</si>
  <si>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</si>
  <si>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</si>
  <si>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</si>
  <si>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</si>
  <si>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</si>
  <si>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</si>
  <si>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</si>
  <si>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</si>
  <si>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</si>
  <si>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</si>
  <si>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</si>
  <si>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</si>
  <si>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</si>
  <si>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</si>
  <si>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</si>
  <si>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</si>
  <si>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</si>
  <si>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</si>
  <si>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</si>
  <si>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</si>
  <si>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</si>
  <si>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</si>
  <si>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</si>
  <si>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</si>
  <si>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</si>
  <si>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</si>
  <si>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</si>
  <si>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</si>
  <si>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</si>
  <si>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</si>
  <si>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</si>
  <si>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</si>
  <si>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</si>
  <si>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</si>
  <si>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</si>
  <si>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</si>
  <si>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</si>
  <si>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</si>
  <si>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</si>
  <si>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</si>
  <si>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</si>
  <si>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</si>
  <si>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</si>
  <si>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</si>
  <si>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</si>
  <si>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</si>
  <si>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</si>
  <si>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</si>
  <si>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</si>
  <si>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</si>
  <si>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</si>
  <si>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</si>
  <si>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</si>
  <si>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</si>
  <si>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</si>
  <si>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</si>
  <si>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</si>
  <si>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</si>
  <si>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</si>
  <si>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</si>
  <si>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</si>
  <si>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</si>
  <si>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</si>
  <si>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</si>
  <si>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</si>
  <si>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</si>
  <si>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</si>
  <si>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</si>
  <si>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</si>
  <si>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</si>
  <si>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</si>
  <si>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</si>
  <si>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</si>
  <si>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</si>
  <si>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</si>
  <si>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</si>
  <si>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</si>
  <si>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</si>
  <si>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</si>
  <si>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</si>
  <si>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</si>
  <si>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</si>
  <si>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</si>
  <si>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</si>
  <si>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</si>
  <si>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</si>
  <si>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</si>
  <si>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</si>
  <si>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</si>
  <si>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</si>
  <si>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</si>
  <si>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</si>
  <si>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</si>
  <si>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</si>
  <si>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</si>
  <si>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</si>
  <si>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</si>
  <si>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</si>
  <si>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</si>
  <si>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</si>
  <si>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</si>
  <si>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</si>
  <si>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</si>
  <si>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</si>
  <si>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</si>
  <si>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</si>
  <si>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</si>
  <si>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</si>
  <si>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</si>
  <si>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</si>
  <si>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</si>
  <si>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</si>
  <si>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</si>
  <si>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</si>
  <si>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</si>
  <si>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</si>
  <si>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</si>
  <si>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</si>
  <si>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</si>
  <si>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</si>
  <si>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</si>
  <si>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</si>
  <si>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</si>
  <si>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</si>
  <si>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</si>
  <si>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</si>
  <si>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</si>
  <si>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</si>
  <si>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</si>
  <si>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</si>
  <si>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</si>
  <si>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</si>
  <si>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</si>
  <si>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</si>
  <si>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</si>
  <si>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</si>
  <si>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</si>
  <si>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</si>
  <si>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</si>
  <si>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</si>
  <si>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</si>
  <si>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</si>
  <si>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</si>
  <si>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</si>
  <si>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</si>
  <si>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</si>
  <si>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</si>
  <si>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</si>
  <si>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</si>
  <si>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</si>
  <si>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</si>
  <si>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</si>
  <si>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</si>
  <si>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</si>
  <si>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</si>
  <si>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</si>
  <si>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</si>
  <si>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</si>
  <si>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</si>
  <si>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</si>
  <si>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</si>
  <si>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</si>
  <si>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</si>
  <si>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</si>
  <si>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</si>
  <si>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</si>
  <si>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</si>
  <si>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</si>
  <si>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</si>
  <si>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</si>
  <si>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</si>
  <si>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</si>
  <si>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</si>
  <si>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</si>
  <si>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</si>
  <si>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</si>
  <si>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</si>
  <si>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</si>
  <si>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</si>
  <si>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</si>
  <si>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</si>
  <si>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</si>
  <si>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</si>
  <si>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</si>
  <si>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</si>
  <si>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</si>
  <si>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</si>
  <si>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</si>
  <si>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</si>
  <si>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</si>
  <si>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</si>
  <si>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</si>
  <si>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</si>
  <si>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</si>
  <si>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</si>
  <si>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</si>
  <si>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</si>
  <si>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</si>
  <si>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</si>
  <si>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</si>
  <si>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</si>
  <si>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</si>
  <si>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</si>
  <si>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</si>
  <si>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</si>
  <si>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</si>
  <si>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</si>
  <si>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</si>
  <si>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</si>
  <si>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</si>
  <si>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</si>
  <si>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</si>
  <si>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</si>
  <si>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</si>
  <si>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</si>
  <si>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</si>
  <si>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</si>
  <si>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</si>
  <si>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</si>
  <si>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</si>
  <si>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</si>
  <si>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</si>
  <si>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</si>
  <si>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</si>
  <si>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</si>
  <si>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</si>
  <si>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</si>
  <si>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</si>
  <si>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</si>
  <si>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</si>
  <si>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</si>
  <si>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</si>
  <si>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</si>
  <si>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</si>
  <si>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</si>
  <si>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</si>
  <si>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</si>
  <si>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</si>
  <si>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</si>
  <si>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</si>
  <si>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</si>
  <si>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</si>
  <si>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</si>
  <si>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</si>
  <si>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</si>
  <si>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</si>
  <si>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</si>
  <si>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</si>
  <si>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</si>
  <si>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</si>
  <si>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</si>
  <si>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</si>
  <si>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</si>
  <si>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</si>
  <si>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</si>
  <si>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</si>
  <si>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</si>
  <si>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</si>
  <si>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</si>
  <si>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</si>
  <si>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</si>
  <si>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</si>
  <si>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</si>
  <si>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</si>
  <si>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</si>
  <si>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</si>
  <si>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</si>
  <si>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</si>
  <si>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</si>
  <si>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</si>
  <si>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</si>
  <si>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</si>
  <si>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</si>
  <si>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</si>
  <si>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</si>
  <si>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</si>
  <si>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</si>
  <si>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</si>
  <si>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</si>
  <si>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</si>
  <si>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</si>
  <si>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</si>
  <si>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</si>
  <si>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</si>
  <si>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</si>
  <si>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</si>
  <si>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</si>
  <si>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</si>
  <si>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</si>
  <si>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</si>
  <si>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</si>
  <si>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</si>
  <si>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</si>
  <si>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</si>
  <si>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</si>
  <si>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</si>
  <si>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</si>
  <si>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</si>
  <si>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</si>
  <si>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</si>
  <si>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</si>
  <si>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</si>
  <si>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</si>
  <si>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</si>
  <si>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</si>
  <si>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</si>
  <si>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</si>
  <si>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</si>
  <si>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</si>
  <si>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</si>
  <si>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</si>
  <si>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</si>
  <si>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</si>
  <si>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</si>
  <si>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</si>
  <si>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</si>
  <si>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</si>
  <si>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</si>
  <si>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</si>
  <si>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</si>
  <si>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</si>
  <si>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</si>
  <si>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</si>
  <si>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</si>
  <si>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</si>
  <si>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</si>
  <si>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</si>
  <si>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</si>
  <si>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</si>
  <si>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</si>
  <si>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</si>
  <si>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</si>
  <si>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</si>
  <si>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</si>
  <si>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</si>
  <si>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</si>
  <si>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</si>
  <si>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</si>
  <si>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</si>
  <si>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</si>
  <si>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</si>
  <si>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</si>
  <si>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</si>
  <si>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</si>
  <si>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</si>
  <si>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</si>
  <si>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</si>
  <si>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</si>
  <si>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</si>
  <si>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</si>
  <si>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</si>
  <si>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</si>
  <si>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</si>
  <si>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</si>
  <si>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</si>
  <si>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</si>
  <si>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</si>
  <si>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</si>
  <si>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</si>
  <si>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</si>
  <si>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</si>
  <si>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</si>
  <si>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</si>
  <si>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</si>
  <si>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</si>
  <si>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</si>
  <si>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</si>
  <si>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</si>
  <si>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</si>
  <si>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</si>
  <si>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</si>
  <si>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</si>
  <si>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</si>
  <si>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</si>
  <si>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</si>
  <si>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</si>
  <si>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</si>
  <si>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</si>
  <si>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</si>
  <si>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</si>
  <si>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</si>
  <si>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</si>
  <si>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</si>
  <si>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</si>
  <si>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</si>
  <si>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</si>
  <si>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</si>
  <si>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</si>
  <si>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</si>
  <si>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</si>
  <si>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</si>
  <si>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</si>
  <si>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</si>
  <si>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</si>
  <si>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</si>
  <si>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</si>
  <si>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</si>
  <si>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</si>
  <si>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</si>
  <si>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</si>
  <si>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</si>
  <si>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</si>
  <si>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</si>
  <si>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</si>
  <si>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</si>
  <si>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</si>
  <si>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</si>
  <si>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</si>
  <si>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</si>
  <si>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</si>
  <si>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</si>
  <si>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</si>
  <si>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</si>
  <si>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</si>
  <si>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</si>
  <si>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</si>
  <si>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</si>
  <si>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</si>
  <si>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</si>
  <si>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</si>
  <si>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</si>
  <si>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</si>
  <si>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</si>
  <si>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</si>
  <si>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</si>
  <si>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</si>
  <si>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</si>
  <si>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</si>
  <si>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</si>
  <si>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</si>
  <si>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</si>
  <si>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</si>
  <si>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</si>
  <si>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</si>
  <si>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</si>
  <si>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</si>
  <si>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</si>
  <si>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</si>
  <si>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</si>
  <si>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</si>
  <si>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</si>
  <si>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</si>
  <si>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</si>
  <si>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</si>
  <si>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</si>
  <si>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</si>
  <si>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</si>
  <si>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</si>
  <si>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</si>
  <si>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</si>
  <si>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</si>
  <si>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</si>
  <si>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</si>
  <si>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</si>
  <si>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</si>
  <si>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</si>
  <si>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</si>
  <si>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</si>
  <si>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</si>
  <si>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</si>
  <si>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</si>
  <si>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</si>
  <si>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</si>
  <si>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</si>
  <si>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</si>
  <si>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</si>
  <si>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</si>
  <si>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</si>
  <si>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</si>
  <si>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</si>
  <si>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</si>
  <si>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</si>
  <si>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</si>
  <si>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</si>
  <si>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</si>
  <si>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</si>
  <si>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</si>
  <si>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</si>
  <si>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</si>
  <si>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</si>
  <si>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</si>
  <si>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</si>
  <si>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</si>
  <si>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</si>
  <si>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</si>
  <si>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</si>
  <si>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</si>
  <si>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</si>
  <si>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</si>
  <si>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</si>
  <si>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</si>
  <si>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</si>
  <si>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</si>
  <si>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</si>
  <si>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</si>
  <si>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</si>
  <si>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</si>
  <si>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</si>
  <si>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</si>
  <si>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</si>
  <si>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</si>
  <si>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</si>
  <si>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</si>
  <si>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</si>
  <si>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</si>
  <si>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</si>
  <si>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</si>
  <si>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</si>
  <si>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</si>
  <si>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</si>
  <si>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</si>
  <si>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</si>
  <si>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</si>
  <si>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</si>
  <si>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</si>
  <si>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</si>
  <si>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</si>
  <si>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</si>
  <si>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</si>
  <si>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</si>
  <si>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</si>
  <si>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</si>
  <si>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</si>
  <si>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</si>
  <si>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</si>
  <si>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</si>
  <si>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</si>
  <si>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</si>
  <si>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</si>
  <si>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</si>
  <si>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</si>
  <si>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</si>
  <si>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</si>
  <si>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</si>
  <si>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</si>
  <si>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</si>
  <si>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</si>
  <si>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</si>
  <si>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</si>
  <si>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</si>
  <si>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</si>
  <si>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</si>
  <si>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</si>
  <si>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</si>
  <si>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</si>
  <si>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</si>
  <si>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</si>
  <si>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</si>
  <si>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</si>
  <si>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</si>
  <si>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</si>
  <si>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</si>
  <si>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</si>
  <si>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</si>
  <si>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</si>
  <si>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</si>
  <si>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</si>
  <si>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</si>
  <si>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</si>
  <si>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</si>
  <si>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</si>
  <si>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</si>
  <si>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</si>
  <si>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</si>
  <si>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</si>
  <si>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</si>
  <si>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</si>
  <si>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</si>
  <si>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</si>
  <si>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</si>
  <si>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</si>
  <si>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</si>
  <si>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</si>
  <si>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</si>
  <si>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</si>
  <si>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</si>
  <si>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</si>
  <si>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</si>
  <si>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</si>
  <si>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</si>
  <si>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</si>
  <si>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</si>
  <si>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</si>
  <si>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</si>
  <si>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</si>
  <si>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</si>
  <si>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</si>
  <si>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</si>
  <si>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</si>
  <si>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</si>
  <si>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</si>
  <si>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</si>
  <si>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</si>
  <si>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</si>
  <si>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</si>
  <si>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</si>
  <si>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</si>
  <si>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</si>
  <si>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</si>
  <si>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</si>
  <si>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</si>
  <si>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</si>
  <si>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</si>
  <si>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</si>
  <si>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</si>
  <si>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</si>
  <si>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</si>
  <si>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</si>
  <si>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</si>
  <si>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</si>
  <si>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</si>
  <si>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</si>
  <si>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</si>
  <si>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</si>
  <si>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</si>
  <si>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</si>
  <si>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</si>
  <si>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</si>
  <si>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</si>
  <si>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</si>
  <si>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</si>
  <si>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</si>
  <si>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</si>
  <si>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</si>
  <si>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</si>
  <si>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</si>
  <si>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</si>
  <si>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</si>
  <si>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</si>
  <si>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</si>
  <si>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</si>
  <si>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</si>
  <si>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</si>
  <si>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</si>
  <si>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</si>
  <si>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</si>
  <si>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</si>
  <si>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</si>
  <si>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</si>
  <si>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</si>
  <si>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</si>
  <si>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</si>
  <si>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</si>
  <si>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</si>
  <si>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</si>
  <si>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</si>
  <si>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</si>
  <si>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</si>
  <si>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</si>
  <si>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</si>
  <si>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</si>
  <si>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</si>
  <si>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</si>
  <si>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</si>
  <si>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</si>
  <si>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</si>
  <si>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</si>
  <si>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</si>
  <si>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</si>
  <si>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</si>
  <si>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</si>
  <si>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</si>
  <si>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</si>
  <si>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</si>
  <si>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</si>
  <si>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</si>
  <si>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</si>
  <si>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</si>
  <si>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</si>
  <si>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</si>
  <si>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</si>
  <si>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</si>
  <si>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</si>
  <si>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</si>
  <si>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</si>
  <si>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</si>
  <si>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</si>
  <si>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</si>
  <si>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</si>
  <si>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</si>
  <si>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</si>
  <si>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</si>
  <si>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</si>
  <si>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</si>
  <si>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</si>
  <si>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</si>
  <si>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</si>
  <si>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</si>
  <si>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</si>
  <si>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</si>
  <si>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</si>
  <si>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</si>
  <si>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</si>
  <si>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</si>
  <si>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</si>
  <si>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</si>
  <si>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</si>
  <si>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</si>
  <si>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</si>
  <si>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</si>
  <si>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</si>
  <si>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</si>
  <si>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</si>
  <si>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</si>
  <si>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</si>
  <si>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</si>
  <si>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</si>
  <si>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</si>
  <si>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</si>
  <si>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</si>
  <si>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</si>
  <si>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</si>
  <si>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</si>
  <si>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</si>
  <si>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</si>
  <si>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</si>
  <si>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</si>
  <si>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</si>
  <si>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</si>
  <si>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</si>
  <si>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</si>
  <si>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</si>
  <si>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</si>
  <si>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</si>
  <si>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</si>
  <si>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</si>
  <si>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</si>
  <si>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</si>
  <si>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</si>
  <si>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</si>
  <si>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</si>
  <si>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</si>
  <si>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</si>
  <si>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</si>
  <si>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</si>
  <si>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</si>
  <si>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</si>
  <si>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</si>
  <si>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</si>
  <si>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</si>
  <si>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</si>
  <si>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</si>
  <si>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</si>
  <si>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</si>
  <si>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</si>
  <si>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</si>
  <si>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</si>
  <si>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</si>
  <si>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</si>
  <si>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</si>
  <si>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</si>
  <si>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</si>
  <si>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</si>
  <si>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</si>
  <si>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</si>
  <si>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</si>
  <si>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</si>
  <si>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</si>
  <si>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</si>
  <si>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</si>
  <si>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</si>
  <si>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</si>
  <si>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</si>
  <si>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</si>
  <si>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</si>
  <si>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</si>
  <si>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</si>
  <si>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</si>
  <si>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</si>
  <si>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</si>
  <si>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</si>
  <si>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</si>
  <si>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</si>
  <si>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</si>
  <si>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</si>
  <si>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</si>
  <si>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</si>
  <si>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</si>
  <si>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</si>
  <si>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</si>
  <si>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</si>
  <si>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</si>
  <si>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</si>
  <si>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</si>
  <si>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</si>
  <si>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</si>
  <si>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</si>
  <si>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</si>
  <si>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</si>
  <si>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</si>
  <si>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</si>
  <si>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</si>
  <si>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</si>
  <si>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</si>
  <si>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</si>
  <si>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</si>
  <si>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</si>
  <si>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</si>
  <si>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</si>
  <si>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</si>
  <si>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</si>
  <si>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</si>
  <si>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</si>
  <si>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</si>
  <si>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</si>
  <si>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</si>
  <si>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</si>
  <si>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</si>
  <si>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</si>
  <si>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</si>
  <si>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</si>
  <si>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</si>
  <si>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</si>
  <si>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</si>
  <si>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</si>
  <si>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</si>
  <si>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</si>
  <si>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</si>
  <si>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</si>
  <si>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</si>
  <si>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</si>
  <si>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</si>
  <si>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</si>
  <si>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</si>
  <si>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</si>
  <si>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</si>
  <si>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</si>
  <si>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</si>
  <si>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</si>
  <si>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</si>
  <si>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</si>
  <si>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</si>
  <si>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</si>
  <si>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</si>
  <si>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</si>
  <si>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</si>
  <si>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</si>
  <si>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</si>
  <si>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</si>
  <si>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</si>
  <si>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</si>
  <si>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</si>
  <si>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</si>
  <si>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</si>
  <si>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</si>
  <si>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</si>
  <si>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</si>
  <si>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</si>
  <si>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</si>
  <si>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</si>
  <si>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</si>
  <si>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</si>
  <si>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</si>
  <si>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</si>
  <si>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</si>
  <si>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</si>
  <si>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</si>
  <si>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</si>
  <si>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</si>
  <si>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</si>
  <si>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</si>
  <si>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</si>
  <si>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</si>
  <si>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</si>
  <si>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</si>
  <si>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</si>
  <si>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</si>
  <si>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</si>
  <si>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</si>
  <si>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</si>
  <si>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</si>
  <si>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</si>
  <si>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</si>
  <si>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</si>
  <si>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</si>
  <si>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</si>
  <si>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</si>
  <si>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</si>
  <si>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</si>
  <si>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</si>
  <si>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</si>
  <si>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</si>
  <si>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</si>
  <si>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</si>
  <si>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</si>
  <si>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</si>
  <si>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</si>
  <si>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</si>
  <si>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</si>
  <si>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</si>
  <si>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</si>
  <si>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</si>
  <si>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</si>
  <si>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</si>
  <si>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</si>
  <si>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</si>
  <si>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</si>
  <si>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</si>
  <si>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</si>
  <si>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</si>
  <si>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</si>
  <si>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</si>
  <si>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</si>
  <si>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</si>
  <si>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</si>
  <si>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</si>
  <si>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</si>
  <si>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</si>
  <si>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</si>
  <si>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</si>
  <si>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</si>
  <si>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</si>
  <si>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</si>
  <si>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</si>
  <si>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</si>
  <si>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</si>
  <si>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</si>
  <si>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</si>
  <si>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</si>
  <si>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</si>
  <si>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</si>
  <si>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</si>
  <si>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</si>
  <si>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</si>
  <si>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</si>
  <si>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</si>
  <si>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</si>
  <si>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</si>
  <si>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</si>
  <si>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</si>
  <si>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</si>
  <si>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</si>
  <si>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</si>
  <si>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</si>
  <si>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</si>
  <si>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</si>
  <si>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</si>
  <si>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</si>
  <si>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</si>
  <si>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</si>
  <si>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</si>
  <si>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</si>
  <si>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</si>
  <si>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</si>
  <si>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</si>
  <si>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</si>
  <si>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</si>
  <si>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</si>
  <si>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</si>
  <si>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</si>
  <si>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</si>
  <si>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</si>
  <si>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</si>
  <si>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</si>
  <si>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</si>
  <si>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</si>
  <si>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</si>
  <si>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</si>
  <si>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</si>
  <si>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</si>
  <si>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</si>
  <si>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</si>
  <si>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</si>
  <si>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</si>
  <si>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</si>
  <si>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</si>
  <si>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</si>
  <si>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</si>
  <si>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</si>
  <si>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</si>
  <si>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</si>
  <si>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</si>
  <si>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</si>
  <si>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</si>
  <si>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</si>
  <si>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</si>
  <si>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</si>
  <si>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</si>
  <si>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</si>
  <si>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</si>
  <si>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</si>
  <si>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</si>
  <si>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</si>
  <si>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</si>
  <si>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</si>
  <si>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</si>
  <si>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</si>
  <si>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</si>
  <si>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</si>
  <si>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</si>
  <si>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</si>
  <si>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</si>
  <si>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</si>
  <si>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</si>
  <si>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</si>
  <si>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</si>
  <si>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</si>
  <si>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</si>
  <si>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</si>
  <si>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</si>
  <si>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</si>
  <si>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</si>
  <si>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</si>
  <si>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</si>
  <si>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</si>
  <si>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</si>
  <si>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</si>
  <si>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</si>
  <si>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</si>
  <si>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</si>
  <si>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</si>
  <si>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</si>
  <si>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</si>
  <si>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</si>
  <si>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</si>
  <si>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</si>
  <si>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</si>
  <si>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</si>
  <si>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</si>
  <si>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</si>
  <si>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</si>
  <si>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</si>
  <si>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</si>
  <si>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</si>
  <si>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</si>
  <si>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</si>
  <si>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</si>
  <si>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</si>
  <si>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</si>
  <si>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</si>
  <si>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</si>
  <si>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</si>
  <si>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</si>
  <si>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</si>
  <si>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</si>
  <si>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</si>
  <si>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</si>
  <si>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</si>
  <si>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</si>
  <si>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</si>
  <si>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</si>
  <si>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</si>
  <si>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</si>
  <si>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</si>
  <si>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</si>
  <si>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</si>
  <si>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</si>
  <si>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</si>
  <si>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</si>
  <si>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</si>
  <si>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</si>
  <si>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</si>
  <si>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</si>
  <si>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</si>
  <si>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</si>
  <si>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</si>
  <si>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</si>
  <si>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</si>
  <si>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</si>
  <si>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</si>
  <si>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</si>
  <si>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</si>
  <si>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</si>
  <si>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</si>
  <si>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</si>
  <si>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</si>
  <si>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</si>
  <si>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</si>
  <si>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</si>
  <si>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</si>
  <si>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</si>
  <si>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</si>
  <si>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</si>
  <si>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</si>
  <si>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</si>
  <si>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</si>
  <si>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</si>
  <si>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</si>
  <si>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</si>
  <si>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</si>
  <si>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</si>
  <si>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</si>
  <si>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</si>
  <si>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</si>
  <si>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</si>
  <si>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</si>
  <si>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</si>
  <si>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</si>
  <si>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</si>
  <si>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</si>
  <si>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</si>
  <si>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</si>
  <si>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</si>
  <si>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</si>
  <si>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</si>
  <si>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</si>
  <si>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</si>
  <si>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</si>
  <si>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</si>
  <si>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</si>
  <si>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</si>
  <si>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</si>
  <si>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</si>
  <si>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</si>
  <si>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</si>
  <si>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</si>
  <si>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</si>
  <si>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</si>
  <si>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</si>
  <si>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</si>
  <si>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</si>
  <si>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</si>
  <si>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</si>
  <si>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</si>
  <si>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</si>
  <si>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</si>
  <si>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</si>
  <si>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</si>
  <si>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</si>
  <si>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</si>
  <si>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</si>
  <si>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</si>
  <si>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</si>
  <si>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</si>
  <si>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</si>
  <si>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</si>
  <si>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</si>
  <si>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</si>
  <si>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</si>
  <si>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</si>
  <si>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</si>
  <si>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</si>
  <si>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</si>
  <si>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</si>
  <si>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</si>
  <si>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</si>
  <si>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</si>
  <si>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</si>
  <si>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</si>
  <si>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</si>
  <si>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</si>
  <si>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</si>
  <si>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</si>
  <si>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</si>
  <si>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</si>
  <si>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</si>
  <si>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</si>
  <si>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</si>
  <si>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</si>
  <si>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</si>
  <si>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</si>
  <si>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</si>
  <si>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</si>
  <si>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</si>
  <si>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</si>
  <si>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</si>
  <si>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</si>
  <si>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</si>
  <si>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</si>
  <si>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</si>
  <si>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</si>
  <si>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</si>
  <si>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</si>
  <si>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</si>
  <si>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</si>
  <si>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</si>
  <si>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</si>
  <si>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</si>
  <si>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</si>
  <si>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</si>
  <si>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</si>
  <si>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</si>
  <si>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</si>
  <si>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</si>
  <si>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</si>
  <si>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</si>
  <si>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</si>
  <si>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</si>
  <si>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</si>
  <si>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</si>
  <si>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</si>
  <si>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</si>
  <si>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</si>
  <si>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</si>
  <si>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</si>
  <si>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</si>
  <si>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</si>
  <si>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</si>
  <si>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</si>
  <si>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</si>
  <si>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</si>
  <si>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</si>
  <si>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</si>
  <si>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</si>
  <si>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</si>
  <si>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</si>
  <si>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</si>
  <si>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</si>
  <si>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</si>
  <si>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</si>
  <si>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</si>
  <si>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</si>
  <si>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</si>
  <si>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</si>
  <si>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</si>
  <si>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</si>
  <si>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</si>
  <si>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</si>
  <si>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</si>
  <si>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</si>
  <si>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</si>
  <si>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</si>
  <si>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</si>
  <si>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</si>
  <si>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</si>
  <si>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</si>
  <si>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</si>
  <si>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</si>
  <si>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</si>
  <si>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</si>
  <si>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</si>
  <si>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</si>
  <si>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</si>
  <si>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</si>
  <si>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</si>
  <si>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</si>
  <si>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</si>
  <si>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</si>
  <si>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</si>
  <si>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</si>
  <si>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</si>
  <si>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</si>
  <si>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</si>
  <si>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</si>
  <si>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</si>
  <si>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</si>
  <si>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</si>
  <si>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</si>
  <si>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</si>
  <si>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</si>
  <si>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</si>
  <si>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</si>
  <si>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</si>
  <si>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</si>
  <si>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</si>
  <si>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</si>
  <si>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</si>
  <si>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</si>
  <si>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</si>
  <si>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</si>
  <si>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</si>
  <si>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</si>
  <si>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</si>
  <si>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</si>
  <si>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</si>
  <si>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</si>
  <si>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</si>
  <si>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</si>
  <si>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</si>
  <si>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</si>
  <si>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</si>
  <si>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</si>
  <si>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</si>
  <si>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</si>
  <si>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</si>
  <si>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</si>
  <si>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</si>
  <si>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</si>
  <si>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</si>
  <si>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</si>
  <si>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</si>
  <si>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</si>
  <si>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</si>
  <si>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</si>
  <si>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</si>
  <si>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</si>
  <si>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</si>
  <si>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</si>
  <si>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</si>
  <si>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</si>
  <si>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</si>
  <si>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</si>
  <si>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</si>
  <si>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</si>
  <si>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</si>
  <si>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</si>
  <si>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</si>
  <si>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</si>
  <si>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</si>
  <si>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</si>
  <si>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</si>
  <si>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</si>
  <si>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</si>
  <si>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</si>
  <si>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</si>
  <si>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</si>
  <si>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</si>
  <si>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</si>
  <si>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</si>
  <si>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</si>
  <si>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</si>
  <si>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</si>
  <si>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</si>
  <si>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</si>
  <si>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</si>
  <si>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</si>
  <si>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</si>
  <si>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</si>
  <si>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</si>
  <si>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</si>
  <si>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</si>
  <si>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</si>
  <si>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</si>
  <si>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</si>
  <si>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</si>
  <si>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</si>
  <si>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</si>
  <si>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</si>
  <si>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</si>
  <si>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</si>
  <si>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</si>
  <si>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</si>
  <si>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</si>
  <si>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</si>
  <si>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</si>
  <si>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</si>
  <si>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</si>
  <si>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</si>
  <si>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</si>
  <si>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</si>
  <si>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</si>
  <si>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</si>
  <si>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</si>
  <si>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</si>
  <si>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</si>
  <si>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</si>
  <si>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</si>
  <si>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</si>
  <si>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</si>
  <si>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</si>
  <si>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</si>
  <si>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</si>
  <si>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</si>
  <si>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</si>
  <si>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</si>
  <si>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</si>
  <si>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</si>
  <si>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</si>
  <si>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</si>
  <si>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</si>
  <si>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</si>
  <si>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</si>
  <si>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</si>
  <si>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</si>
  <si>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</si>
  <si>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</si>
  <si>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</si>
  <si>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</si>
  <si>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</si>
  <si>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</si>
  <si>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</si>
  <si>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</si>
  <si>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</si>
  <si>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</si>
  <si>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</si>
  <si>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</si>
  <si>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</si>
  <si>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</si>
  <si>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</si>
  <si>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</si>
  <si>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</si>
  <si>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</si>
  <si>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</si>
  <si>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</si>
  <si>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</si>
  <si>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</si>
  <si>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</si>
  <si>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</si>
  <si>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</si>
  <si>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</si>
  <si>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</si>
  <si>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</si>
  <si>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</si>
  <si>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</si>
  <si>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</si>
  <si>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</si>
  <si>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</si>
  <si>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</si>
  <si>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</si>
  <si>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</si>
  <si>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</si>
  <si>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</si>
  <si>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</si>
  <si>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</si>
  <si>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</si>
  <si>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</si>
  <si>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</si>
  <si>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</si>
  <si>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</si>
  <si>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</si>
  <si>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</si>
  <si>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</si>
  <si>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</si>
  <si>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</si>
  <si>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</si>
  <si>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</si>
  <si>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</si>
  <si>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</si>
  <si>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</si>
  <si>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</si>
  <si>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</si>
  <si>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</si>
  <si>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</si>
  <si>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</si>
  <si>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</si>
  <si>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</si>
  <si>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</si>
  <si>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</si>
  <si>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</si>
  <si>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</si>
  <si>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</si>
  <si>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</si>
  <si>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</si>
  <si>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</si>
  <si>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</si>
  <si>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</si>
  <si>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</si>
  <si>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</si>
  <si>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</si>
  <si>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</si>
  <si>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</si>
  <si>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</si>
  <si>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</si>
  <si>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</si>
  <si>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</si>
  <si>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</si>
  <si>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</si>
  <si>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</si>
  <si>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</si>
  <si>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</si>
  <si>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</si>
  <si>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</si>
  <si>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</si>
  <si>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</si>
  <si>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</si>
  <si>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</si>
  <si>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</si>
  <si>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</si>
  <si>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</si>
  <si>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</si>
  <si>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</si>
  <si>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</si>
  <si>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</si>
  <si>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</si>
  <si>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</si>
  <si>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</si>
  <si>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</si>
  <si>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</si>
  <si>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</si>
  <si>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</si>
  <si>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</si>
  <si>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</si>
  <si>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</si>
  <si>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</si>
  <si>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</si>
  <si>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</si>
  <si>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</si>
  <si>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</si>
  <si>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</si>
  <si>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</si>
  <si>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</si>
  <si>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</si>
  <si>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</si>
  <si>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</si>
  <si>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</si>
  <si>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</si>
  <si>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</si>
  <si>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</si>
  <si>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</si>
  <si>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</si>
  <si>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</si>
  <si>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</si>
  <si>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</si>
  <si>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</si>
  <si>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</si>
  <si>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</si>
  <si>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</si>
  <si>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</si>
  <si>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</si>
  <si>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</si>
  <si>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</si>
  <si>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</si>
  <si>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</si>
  <si>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</si>
  <si>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</si>
  <si>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</si>
  <si>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</si>
  <si>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</si>
  <si>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</si>
  <si>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</si>
  <si>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</si>
  <si>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</si>
  <si>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</si>
  <si>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</si>
  <si>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</si>
  <si>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</si>
  <si>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</si>
  <si>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</si>
  <si>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</si>
  <si>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</si>
  <si>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</si>
  <si>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</si>
  <si>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</si>
  <si>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</si>
  <si>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</si>
  <si>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</si>
  <si>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</si>
  <si>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</si>
  <si>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</si>
  <si>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</si>
  <si>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</si>
  <si>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</si>
  <si>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</si>
  <si>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</si>
  <si>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</si>
  <si>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</si>
  <si>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</si>
  <si>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</si>
  <si>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</si>
  <si>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</si>
  <si>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</si>
  <si>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</si>
  <si>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</si>
  <si>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</si>
  <si>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</si>
  <si>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</si>
  <si>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</si>
  <si>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</si>
  <si>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</si>
  <si>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</si>
  <si>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</si>
  <si>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</si>
  <si>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</si>
  <si>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</si>
  <si>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</si>
  <si>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</si>
  <si>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</si>
  <si>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</si>
  <si>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</si>
  <si>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</si>
  <si>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</si>
  <si>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</si>
  <si>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</si>
  <si>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</si>
  <si>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</si>
  <si>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</si>
  <si>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</si>
  <si>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</si>
  <si>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</si>
  <si>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</si>
  <si>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</si>
  <si>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</si>
  <si>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</si>
  <si>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</si>
  <si>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</si>
  <si>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</si>
  <si>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</si>
  <si>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</si>
  <si>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</si>
  <si>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</si>
  <si>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</si>
  <si>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</si>
  <si>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</si>
  <si>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</si>
  <si>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</si>
  <si>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</si>
  <si>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</si>
  <si>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</si>
  <si>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</si>
  <si>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</si>
  <si>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</si>
  <si>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</si>
  <si>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</si>
  <si>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</si>
  <si>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</si>
  <si>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</si>
  <si>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</si>
  <si>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</si>
  <si>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</si>
  <si>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</si>
  <si>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</si>
  <si>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</si>
  <si>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</si>
  <si>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</si>
  <si>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</si>
  <si>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</si>
  <si>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</si>
  <si>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</si>
  <si>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</si>
  <si>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</si>
  <si>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</si>
  <si>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</si>
  <si>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</si>
  <si>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</si>
  <si>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</si>
  <si>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</si>
  <si>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</si>
  <si>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</si>
  <si>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</si>
  <si>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</si>
  <si>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</si>
  <si>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</si>
  <si>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</si>
  <si>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</si>
  <si>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</si>
  <si>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</si>
  <si>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</si>
  <si>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</si>
  <si>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</si>
  <si>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</si>
  <si>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</si>
  <si>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</si>
  <si>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</si>
  <si>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</si>
  <si>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</si>
  <si>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</si>
  <si>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</si>
  <si>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</si>
  <si>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</si>
  <si>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</si>
  <si>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</si>
  <si>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</si>
  <si>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</si>
  <si>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</si>
  <si>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</si>
  <si>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</si>
  <si>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</si>
  <si>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</si>
  <si>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</si>
  <si>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</si>
  <si>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</si>
  <si>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</si>
  <si>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</si>
  <si>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</si>
  <si>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</si>
  <si>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</si>
  <si>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</si>
  <si>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</si>
  <si>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</si>
  <si>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</si>
  <si>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</si>
  <si>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</si>
  <si>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</si>
  <si>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</si>
  <si>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</si>
  <si>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</si>
  <si>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</si>
  <si>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</si>
  <si>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</si>
  <si>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</si>
  <si>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</si>
  <si>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</si>
  <si>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</si>
  <si>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</si>
  <si>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</si>
  <si>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</si>
  <si>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</si>
  <si>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</si>
  <si>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</si>
  <si>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</si>
  <si>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</si>
  <si>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</si>
  <si>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</si>
  <si>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</si>
  <si>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</si>
  <si>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</si>
  <si>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</si>
  <si>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</si>
  <si>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</si>
  <si>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</si>
  <si>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</si>
  <si>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</si>
  <si>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</si>
  <si>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</si>
  <si>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</si>
  <si>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</si>
  <si>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</si>
  <si>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</si>
  <si>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</si>
  <si>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</si>
  <si>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</si>
  <si>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</si>
  <si>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</si>
  <si>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</si>
  <si>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</si>
  <si>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</si>
  <si>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</si>
  <si>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</si>
  <si>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</si>
  <si>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</si>
  <si>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</si>
  <si>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</si>
  <si>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</si>
  <si>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</si>
  <si>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</si>
  <si>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</si>
  <si>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</si>
  <si>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</si>
  <si>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</si>
  <si>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</si>
  <si>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</si>
  <si>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</si>
  <si>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</si>
  <si>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</si>
  <si>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</si>
  <si>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</si>
  <si>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</si>
  <si>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</si>
  <si>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</si>
  <si>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</si>
  <si>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</si>
  <si>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</si>
  <si>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</si>
  <si>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</si>
  <si>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</si>
  <si>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</si>
  <si>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</si>
  <si>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</si>
  <si>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</si>
  <si>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</si>
  <si>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</si>
  <si>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</si>
  <si>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</si>
  <si>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</si>
  <si>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</si>
  <si>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</si>
  <si>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</si>
  <si>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</si>
  <si>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</si>
  <si>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</si>
  <si>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</si>
  <si>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</si>
  <si>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</si>
  <si>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</si>
  <si>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</si>
  <si>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</si>
  <si>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</si>
  <si>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</si>
  <si>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</si>
  <si>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</si>
  <si>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</si>
  <si>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</si>
  <si>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</si>
  <si>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</si>
  <si>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</si>
  <si>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</si>
  <si>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</si>
  <si>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</si>
  <si>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</si>
  <si>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</si>
  <si>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</si>
  <si>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</si>
  <si>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</si>
  <si>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</si>
  <si>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</si>
  <si>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</si>
  <si>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</si>
  <si>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</si>
  <si>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</si>
  <si>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</si>
  <si>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</si>
  <si>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</si>
  <si>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</si>
  <si>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</si>
  <si>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</si>
  <si>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</si>
  <si>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</si>
  <si>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</si>
  <si>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</si>
  <si>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</si>
  <si>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</si>
  <si>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</si>
  <si>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</si>
  <si>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</si>
  <si>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</si>
  <si>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</si>
  <si>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</si>
  <si>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</si>
  <si>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</si>
  <si>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</si>
  <si>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</si>
  <si>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</si>
  <si>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</si>
  <si>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</si>
  <si>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</si>
  <si>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</si>
  <si>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</si>
  <si>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</si>
  <si>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</si>
  <si>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</si>
  <si>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</si>
  <si>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</si>
  <si>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</si>
  <si>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</si>
  <si>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</si>
  <si>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</si>
  <si>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</si>
  <si>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</si>
  <si>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</si>
  <si>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</si>
  <si>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</si>
  <si>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</si>
  <si>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</si>
  <si>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</si>
  <si>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</si>
  <si>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</si>
  <si>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</si>
  <si>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</si>
  <si>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</si>
  <si>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</si>
  <si>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</si>
  <si>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</si>
  <si>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</si>
  <si>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</si>
  <si>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</si>
  <si>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</si>
  <si>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</si>
  <si>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</si>
  <si>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</si>
  <si>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</si>
  <si>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</si>
  <si>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</si>
  <si>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</si>
  <si>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</si>
  <si>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</si>
  <si>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</si>
  <si>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</si>
  <si>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</si>
  <si>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</si>
  <si>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</si>
  <si>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</si>
  <si>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</si>
  <si>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</si>
  <si>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</si>
  <si>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</si>
  <si>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</si>
  <si>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</si>
  <si>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</si>
  <si>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</si>
  <si>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</si>
  <si>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</si>
  <si>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</si>
  <si>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</si>
  <si>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</si>
  <si>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</si>
  <si>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</si>
  <si>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</si>
  <si>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</si>
  <si>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</si>
  <si>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</si>
  <si>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</si>
  <si>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</si>
  <si>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</si>
  <si>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</si>
  <si>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</si>
  <si>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</si>
  <si>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</si>
  <si>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</si>
  <si>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</si>
  <si>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</si>
  <si>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</si>
  <si>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</si>
  <si>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</si>
  <si>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</si>
  <si>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</si>
  <si>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</si>
  <si>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</si>
  <si>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</si>
  <si>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</si>
  <si>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</si>
  <si>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</si>
  <si>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</si>
  <si>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</si>
  <si>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</si>
  <si>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</si>
  <si>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</si>
  <si>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</si>
  <si>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</si>
  <si>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</si>
  <si>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</si>
  <si>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</si>
  <si>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</si>
  <si>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</si>
  <si>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</si>
  <si>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</si>
  <si>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</si>
  <si>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</si>
  <si>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</si>
  <si>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</si>
  <si>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</si>
  <si>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</si>
  <si>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</si>
  <si>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</si>
  <si>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</si>
  <si>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</si>
  <si>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</si>
  <si>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</si>
  <si>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</si>
  <si>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</si>
  <si>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</si>
  <si>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</si>
  <si>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</si>
  <si>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</si>
  <si>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</si>
  <si>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</si>
  <si>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</si>
  <si>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</si>
  <si>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</si>
  <si>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</si>
  <si>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</si>
  <si>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</si>
  <si>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</si>
  <si>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</si>
  <si>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</si>
  <si>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</si>
  <si>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</si>
  <si>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</si>
  <si>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</si>
  <si>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</si>
  <si>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</si>
  <si>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</si>
  <si>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</si>
  <si>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</si>
  <si>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</si>
  <si>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</si>
  <si>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</si>
  <si>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</si>
  <si>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</si>
  <si>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</si>
  <si>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</si>
  <si>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</si>
  <si>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</si>
  <si>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</si>
  <si>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</si>
  <si>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</si>
  <si>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</si>
  <si>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</si>
  <si>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</si>
  <si>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</si>
  <si>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</si>
  <si>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</si>
  <si>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</si>
  <si>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</si>
  <si>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</si>
  <si>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</si>
  <si>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</si>
  <si>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</si>
  <si>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</si>
  <si>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</si>
  <si>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</si>
  <si>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</si>
  <si>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</si>
  <si>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</si>
  <si>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</si>
  <si>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</si>
  <si>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</si>
  <si>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</si>
  <si>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</si>
  <si>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</si>
  <si>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</si>
  <si>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</si>
  <si>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</si>
  <si>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</si>
  <si>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</si>
  <si>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</si>
  <si>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</si>
  <si>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</si>
  <si>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</si>
  <si>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</si>
  <si>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</si>
  <si>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</si>
  <si>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</si>
  <si>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</si>
  <si>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</si>
  <si>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</si>
  <si>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</si>
  <si>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</si>
  <si>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</si>
  <si>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</si>
  <si>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</si>
  <si>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</si>
  <si>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</si>
  <si>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</si>
  <si>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</si>
  <si>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</si>
  <si>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</si>
  <si>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</si>
  <si>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</si>
  <si>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</si>
  <si>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</si>
  <si>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</si>
  <si>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</si>
  <si>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</si>
  <si>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</si>
  <si>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</si>
  <si>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</si>
  <si>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</si>
  <si>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</si>
  <si>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</si>
  <si>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</si>
  <si>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</si>
  <si>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</si>
  <si>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</si>
  <si>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</si>
  <si>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</si>
  <si>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</si>
  <si>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</si>
  <si>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</si>
  <si>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</si>
  <si>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</si>
  <si>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</si>
  <si>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</si>
  <si>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</si>
  <si>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</si>
  <si>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</si>
  <si>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</si>
  <si>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</si>
  <si>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</si>
  <si>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</si>
  <si>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</si>
  <si>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</si>
  <si>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</si>
  <si>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</si>
  <si>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</si>
  <si>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</si>
  <si>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</si>
  <si>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</si>
  <si>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</si>
  <si>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</si>
  <si>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</si>
  <si>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</si>
  <si>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</si>
  <si>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</si>
  <si>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</si>
  <si>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</si>
  <si>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</si>
  <si>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</si>
  <si>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</si>
  <si>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</si>
  <si>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</si>
  <si>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</si>
  <si>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</si>
  <si>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</si>
  <si>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</si>
  <si>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</si>
  <si>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</si>
  <si>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</si>
  <si>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</si>
  <si>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</si>
  <si>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</si>
  <si>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</si>
  <si>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</si>
  <si>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</si>
  <si>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</si>
  <si>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</si>
  <si>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</si>
  <si>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</si>
  <si>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</si>
  <si>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</si>
  <si>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</si>
  <si>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</si>
  <si>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</si>
  <si>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</si>
  <si>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</si>
  <si>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</si>
  <si>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</si>
  <si>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</si>
  <si>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</si>
  <si>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</si>
  <si>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</si>
  <si>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</si>
  <si>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</si>
  <si>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</si>
  <si>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</si>
  <si>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</si>
  <si>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</si>
  <si>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</si>
  <si>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</si>
  <si>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</si>
  <si>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</si>
  <si>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</si>
  <si>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</si>
  <si>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</si>
  <si>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</si>
  <si>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</si>
  <si>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</si>
  <si>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</si>
  <si>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</si>
  <si>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</si>
  <si>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</si>
  <si>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</si>
  <si>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</si>
  <si>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</si>
  <si>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</si>
  <si>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</si>
  <si>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</si>
  <si>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</si>
  <si>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</si>
  <si>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</si>
  <si>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</si>
  <si>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</si>
  <si>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</si>
  <si>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</si>
  <si>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</si>
  <si>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</si>
  <si>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</si>
  <si>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</si>
  <si>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</si>
  <si>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</si>
  <si>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</si>
  <si>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</si>
  <si>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</si>
  <si>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</si>
  <si>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</si>
  <si>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</si>
  <si>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</si>
  <si>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</si>
  <si>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</si>
  <si>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</si>
  <si>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</si>
  <si>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</si>
  <si>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</si>
  <si>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</si>
  <si>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</si>
  <si>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</si>
  <si>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</si>
  <si>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</si>
  <si>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</si>
  <si>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</si>
  <si>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</si>
  <si>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</si>
  <si>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</si>
  <si>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</si>
  <si>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</si>
  <si>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</si>
  <si>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</si>
  <si>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</si>
  <si>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</si>
  <si>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</si>
  <si>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</si>
  <si>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</si>
  <si>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</si>
  <si>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</si>
  <si>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</si>
  <si>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</si>
  <si>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</si>
  <si>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</si>
  <si>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</si>
  <si>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</si>
  <si>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</si>
  <si>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</si>
  <si>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</si>
  <si>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</si>
  <si>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</si>
  <si>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</si>
  <si>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</si>
  <si>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</si>
  <si>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</si>
  <si>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</si>
  <si>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</si>
  <si>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</si>
  <si>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</si>
  <si>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</si>
  <si>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</si>
  <si>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</si>
  <si>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</si>
  <si>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</si>
  <si>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</si>
  <si>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</si>
  <si>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</si>
  <si>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</si>
  <si>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</si>
  <si>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</si>
  <si>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</si>
  <si>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</si>
  <si>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</si>
  <si>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</si>
  <si>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</si>
  <si>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</si>
  <si>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</si>
  <si>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</si>
  <si>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</si>
  <si>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</si>
  <si>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</si>
  <si>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</si>
  <si>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</si>
  <si>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</si>
  <si>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</si>
  <si>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</si>
  <si>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</si>
  <si>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</si>
  <si>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</si>
  <si>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</si>
  <si>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</si>
  <si>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</si>
  <si>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</si>
  <si>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</si>
  <si>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</si>
  <si>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</si>
  <si>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</si>
  <si>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</si>
  <si>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</si>
  <si>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</si>
  <si>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</si>
  <si>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</si>
  <si>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</si>
  <si>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</si>
  <si>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</si>
  <si>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</si>
  <si>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</si>
  <si>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</si>
  <si>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</si>
  <si>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</si>
  <si>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</si>
  <si>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</si>
  <si>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</si>
  <si>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</si>
  <si>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</si>
  <si>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</si>
  <si>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</si>
  <si>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</si>
  <si>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</si>
  <si>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</si>
  <si>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</si>
  <si>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</si>
  <si>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</si>
  <si>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</si>
  <si>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</si>
  <si>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</si>
  <si>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</si>
  <si>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</si>
  <si>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</si>
  <si>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</si>
  <si>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</si>
  <si>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</si>
  <si>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</si>
  <si>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</si>
  <si>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</si>
  <si>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</si>
  <si>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</si>
  <si>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</si>
  <si>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</si>
  <si>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</si>
  <si>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</si>
  <si>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</si>
  <si>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</si>
  <si>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</si>
  <si>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</si>
  <si>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</si>
  <si>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</si>
  <si>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</si>
  <si>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</si>
  <si>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</si>
  <si>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</si>
  <si>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</si>
  <si>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</si>
  <si>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</si>
  <si>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</si>
  <si>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</si>
  <si>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</si>
  <si>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</si>
  <si>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</si>
  <si>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</si>
  <si>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</si>
  <si>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</si>
  <si>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</si>
  <si>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</si>
  <si>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</si>
  <si>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</si>
  <si>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</si>
  <si>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</si>
  <si>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</si>
  <si>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</si>
  <si>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</si>
  <si>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</si>
  <si>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</si>
  <si>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</si>
  <si>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</si>
  <si>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</si>
  <si>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</si>
  <si>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</si>
  <si>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</si>
  <si>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</si>
  <si>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</si>
  <si>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</si>
  <si>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</si>
  <si>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</si>
  <si>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</si>
  <si>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</si>
  <si>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</si>
  <si>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</si>
  <si>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</si>
  <si>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</si>
  <si>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</si>
  <si>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</si>
  <si>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</si>
  <si>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</si>
  <si>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</si>
  <si>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</si>
  <si>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</si>
  <si>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</si>
  <si>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</si>
  <si>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</si>
  <si>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</si>
  <si>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</si>
  <si>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</si>
  <si>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</si>
  <si>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</si>
  <si>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</si>
  <si>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</si>
  <si>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</si>
  <si>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</si>
  <si>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</si>
  <si>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</si>
  <si>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</si>
  <si>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</si>
  <si>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</si>
  <si>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</si>
  <si>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</si>
  <si>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</si>
  <si>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</si>
  <si>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</si>
  <si>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</si>
  <si>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</si>
  <si>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</si>
  <si>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</si>
  <si>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</si>
  <si>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</si>
  <si>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</si>
  <si>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</si>
  <si>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</si>
  <si>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</si>
  <si>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</si>
  <si>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</si>
  <si>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</si>
  <si>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</si>
  <si>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</si>
  <si>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</si>
  <si>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</si>
  <si>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</si>
  <si>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</si>
  <si>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</si>
  <si>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</si>
  <si>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</si>
  <si>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</si>
  <si>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</si>
  <si>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</si>
  <si>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</si>
  <si>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</si>
  <si>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</si>
  <si>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</si>
  <si>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</si>
  <si>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</si>
  <si>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</si>
  <si>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</si>
  <si>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</si>
  <si>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</si>
  <si>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</si>
  <si>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</si>
  <si>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</si>
  <si>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</si>
  <si>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</si>
  <si>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</si>
  <si>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</si>
  <si>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</si>
  <si>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</si>
  <si>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</si>
  <si>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</si>
  <si>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</si>
  <si>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</si>
  <si>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</si>
  <si>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</si>
  <si>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</si>
  <si>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</si>
  <si>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</si>
  <si>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</si>
  <si>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</si>
  <si>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</si>
  <si>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</si>
  <si>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</si>
  <si>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</si>
  <si>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</si>
  <si>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</si>
  <si>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</si>
  <si>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</si>
  <si>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</si>
  <si>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</si>
  <si>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</si>
  <si>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</si>
  <si>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</si>
  <si>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</si>
  <si>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</si>
  <si>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</si>
  <si>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</si>
  <si>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</si>
  <si>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</si>
  <si>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</si>
  <si>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</si>
  <si>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</si>
  <si>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</si>
  <si>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</si>
  <si>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</si>
  <si>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</si>
  <si>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</si>
  <si>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</si>
  <si>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</si>
  <si>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</si>
  <si>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</si>
  <si>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</si>
  <si>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</si>
  <si>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</si>
  <si>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</si>
  <si>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</si>
  <si>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</si>
  <si>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</si>
  <si>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</si>
  <si>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</si>
  <si>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</si>
  <si>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</si>
  <si>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</si>
  <si>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</si>
  <si>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</si>
  <si>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</si>
  <si>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</si>
  <si>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</si>
  <si>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</si>
  <si>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</si>
  <si>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</si>
  <si>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</si>
  <si>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</si>
  <si>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</si>
  <si>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</si>
  <si>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</si>
  <si>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</si>
  <si>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</si>
  <si>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</si>
  <si>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</si>
  <si>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</si>
  <si>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</si>
  <si>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</si>
  <si>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</si>
  <si>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</si>
  <si>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</si>
  <si>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</si>
  <si>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</si>
  <si>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</si>
  <si>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</si>
  <si>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</si>
  <si>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</si>
  <si>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</si>
  <si>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</si>
  <si>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</si>
  <si>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</si>
  <si>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</si>
  <si>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</si>
  <si>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</si>
  <si>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</si>
  <si>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</si>
  <si>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</si>
  <si>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</si>
  <si>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</si>
  <si>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</si>
  <si>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</si>
  <si>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</si>
  <si>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</si>
  <si>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</si>
  <si>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</si>
  <si>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</si>
  <si>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</si>
  <si>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</si>
  <si>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</si>
  <si>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</si>
  <si>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</si>
  <si>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</si>
  <si>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</si>
  <si>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</si>
  <si>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</si>
  <si>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</si>
  <si>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</si>
  <si>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</si>
  <si>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</si>
  <si>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</si>
  <si>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</si>
  <si>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</si>
  <si>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</si>
  <si>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</si>
  <si>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</si>
  <si>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</si>
  <si>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</si>
  <si>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</si>
  <si>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</si>
  <si>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</si>
  <si>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</si>
  <si>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</si>
  <si>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</si>
  <si>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</si>
  <si>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</si>
  <si>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</si>
  <si>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</si>
  <si>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</si>
  <si>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</si>
  <si>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</si>
  <si>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</si>
  <si>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</si>
  <si>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</si>
  <si>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</si>
  <si>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</si>
  <si>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</si>
  <si>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</si>
  <si>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</si>
  <si>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</si>
  <si>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</si>
  <si>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</si>
  <si>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</si>
  <si>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</si>
  <si>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</si>
  <si>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</si>
  <si>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</si>
  <si>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</si>
  <si>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</si>
  <si>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</si>
  <si>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</si>
  <si>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</si>
  <si>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</si>
  <si>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</si>
  <si>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</si>
  <si>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</si>
  <si>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</si>
  <si>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</si>
  <si>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</si>
  <si>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</si>
  <si>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</si>
  <si>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</si>
  <si>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</si>
  <si>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</si>
  <si>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</si>
  <si>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</si>
  <si>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</si>
  <si>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</si>
  <si>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</si>
  <si>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</si>
  <si>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</si>
  <si>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</si>
  <si>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</si>
  <si>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</si>
  <si>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</si>
  <si>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</si>
  <si>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</si>
  <si>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</si>
  <si>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</si>
  <si>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</si>
  <si>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</si>
  <si>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</si>
  <si>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</si>
  <si>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</si>
  <si>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</si>
  <si>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</si>
  <si>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</si>
  <si>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</si>
  <si>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</si>
  <si>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</si>
  <si>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</si>
  <si>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</si>
  <si>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</si>
  <si>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</si>
  <si>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</si>
  <si>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</si>
  <si>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</si>
  <si>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</si>
  <si>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</si>
  <si>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</si>
  <si>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</si>
  <si>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</si>
  <si>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</si>
  <si>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</si>
  <si>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</si>
  <si>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</si>
  <si>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</si>
  <si>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</si>
  <si>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</si>
  <si>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</si>
  <si>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</si>
  <si>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</si>
  <si>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</si>
  <si>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</si>
  <si>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</si>
  <si>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</si>
  <si>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</si>
  <si>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</si>
  <si>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</si>
  <si>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</si>
  <si>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</si>
  <si>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</si>
  <si>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</si>
  <si>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</si>
  <si>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</si>
  <si>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</si>
  <si>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</si>
  <si>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</si>
  <si>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</si>
  <si>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</si>
  <si>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</si>
  <si>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</si>
  <si>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</si>
  <si>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</si>
  <si>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</si>
  <si>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</si>
  <si>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</si>
  <si>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</si>
  <si>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</si>
  <si>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</si>
  <si>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</si>
  <si>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</si>
  <si>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</si>
  <si>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</si>
  <si>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</si>
  <si>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</si>
  <si>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</si>
  <si>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</si>
  <si>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</si>
  <si>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</si>
  <si>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</si>
  <si>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</si>
  <si>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</si>
  <si>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</si>
  <si>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</si>
  <si>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</si>
  <si>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</si>
  <si>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</si>
  <si>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</si>
  <si>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</si>
  <si>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</si>
  <si>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</si>
  <si>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</si>
  <si>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</si>
  <si>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</si>
  <si>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</si>
  <si>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</si>
  <si>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</si>
  <si>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</si>
  <si>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</si>
  <si>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</si>
  <si>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</si>
  <si>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</si>
  <si>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</si>
  <si>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</si>
  <si>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</si>
  <si>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</si>
  <si>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</si>
  <si>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</si>
  <si>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</si>
  <si>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</si>
  <si>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</si>
  <si>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</si>
  <si>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</si>
  <si>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</si>
  <si>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</si>
  <si>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</si>
  <si>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</si>
  <si>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</si>
  <si>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</si>
  <si>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</si>
  <si>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</si>
  <si>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</si>
  <si>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</si>
  <si>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</si>
  <si>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</si>
  <si>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</si>
  <si>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</si>
  <si>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</si>
  <si>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</si>
  <si>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</si>
  <si>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</si>
  <si>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</si>
  <si>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</si>
  <si>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</si>
  <si>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</si>
  <si>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</si>
  <si>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</si>
  <si>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</si>
  <si>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</si>
  <si>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</si>
  <si>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</si>
  <si>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</si>
  <si>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</si>
  <si>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</si>
  <si>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</si>
  <si>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</si>
  <si>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</si>
  <si>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</si>
  <si>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</si>
  <si>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</si>
  <si>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</si>
  <si>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</si>
  <si>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</si>
  <si>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</si>
  <si>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</si>
  <si>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</si>
  <si>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</si>
  <si>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</si>
  <si>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</si>
  <si>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</si>
  <si>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</si>
  <si>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</si>
  <si>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</si>
  <si>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</si>
  <si>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</si>
  <si>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</si>
  <si>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</si>
  <si>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</si>
  <si>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</si>
  <si>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</si>
  <si>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</si>
  <si>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</si>
  <si>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</si>
  <si>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</si>
  <si>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</si>
  <si>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</si>
  <si>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</si>
  <si>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</si>
  <si>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</si>
  <si>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</si>
  <si>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</si>
  <si>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</si>
  <si>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</si>
  <si>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</si>
  <si>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</si>
  <si>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</si>
  <si>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</si>
  <si>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</si>
  <si>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</si>
  <si>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</si>
  <si>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</si>
  <si>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</si>
  <si>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</si>
  <si>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</si>
  <si>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</si>
  <si>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</si>
  <si>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</si>
  <si>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</si>
  <si>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</si>
  <si>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</si>
  <si>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</si>
  <si>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</si>
  <si>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</si>
  <si>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</si>
  <si>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</si>
  <si>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</si>
  <si>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</si>
  <si>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</si>
  <si>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</si>
  <si>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</si>
  <si>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</si>
  <si>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</si>
  <si>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</si>
  <si>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</si>
  <si>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</si>
  <si>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</si>
  <si>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</si>
  <si>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</si>
  <si>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</si>
  <si>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</si>
  <si>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</si>
  <si>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</si>
  <si>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</si>
  <si>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</si>
  <si>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</si>
  <si>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</si>
  <si>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</si>
  <si>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</si>
  <si>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</si>
  <si>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</si>
  <si>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</si>
  <si>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</si>
  <si>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</si>
  <si>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</si>
  <si>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</si>
  <si>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</si>
  <si>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</si>
  <si>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</si>
  <si>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</si>
  <si>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</si>
  <si>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</si>
  <si>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</si>
  <si>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</si>
  <si>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</si>
  <si>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</si>
  <si>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</si>
  <si>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</si>
  <si>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</si>
  <si>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</si>
  <si>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</si>
  <si>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</si>
  <si>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</si>
  <si>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</si>
  <si>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</si>
  <si>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</si>
  <si>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</si>
  <si>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</si>
  <si>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</si>
  <si>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</si>
  <si>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</si>
  <si>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</si>
  <si>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</si>
  <si>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</si>
  <si>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</si>
  <si>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</si>
  <si>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</si>
  <si>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</si>
  <si>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</si>
  <si>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</si>
  <si>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</si>
  <si>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</si>
  <si>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</si>
  <si>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</si>
  <si>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</si>
  <si>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</si>
  <si>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</si>
  <si>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</si>
  <si>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</si>
  <si>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</si>
  <si>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</si>
  <si>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</si>
  <si>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</si>
  <si>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</si>
  <si>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</si>
  <si>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</si>
  <si>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</si>
  <si>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</si>
  <si>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</si>
  <si>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</si>
  <si>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</si>
  <si>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</si>
  <si>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</si>
  <si>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</si>
  <si>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</si>
  <si>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</si>
  <si>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</si>
  <si>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</si>
  <si>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</si>
  <si>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</si>
  <si>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</si>
  <si>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</si>
  <si>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</si>
  <si>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</si>
  <si>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</si>
  <si>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</si>
  <si>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</si>
  <si>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</si>
  <si>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</si>
  <si>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</si>
  <si>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</si>
  <si>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</si>
  <si>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</si>
  <si>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</si>
  <si>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</si>
  <si>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</si>
  <si>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</si>
  <si>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</si>
  <si>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</si>
  <si>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</si>
  <si>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</si>
  <si>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</si>
  <si>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</si>
  <si>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</si>
  <si>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</si>
  <si>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</si>
  <si>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</si>
  <si>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</si>
  <si>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</si>
  <si>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</si>
  <si>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</si>
  <si>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</si>
  <si>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</si>
  <si>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</si>
  <si>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</si>
  <si>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</si>
  <si>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</si>
  <si>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</si>
  <si>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</si>
  <si>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</si>
  <si>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</si>
  <si>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</si>
  <si>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</si>
  <si>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</si>
  <si>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</si>
  <si>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</si>
  <si>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</si>
  <si>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</si>
  <si>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</si>
  <si>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</si>
  <si>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</si>
  <si>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</si>
  <si>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</si>
  <si>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</si>
  <si>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</si>
  <si>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</si>
  <si>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</si>
  <si>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</si>
  <si>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</si>
  <si>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</si>
  <si>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</si>
  <si>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</si>
  <si>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</si>
  <si>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</si>
  <si>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</si>
  <si>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</si>
  <si>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</si>
  <si>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</si>
  <si>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</si>
  <si>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</si>
  <si>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</si>
  <si>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</si>
  <si>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</si>
  <si>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</si>
  <si>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</si>
  <si>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</si>
  <si>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</si>
  <si>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</si>
  <si>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</si>
  <si>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</si>
  <si>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</si>
  <si>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</si>
  <si>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</si>
  <si>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</si>
  <si>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</si>
  <si>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</si>
  <si>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</si>
  <si>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</si>
  <si>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</si>
  <si>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</si>
  <si>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</si>
  <si>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</si>
  <si>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</si>
  <si>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</si>
  <si>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</si>
  <si>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</si>
  <si>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</si>
  <si>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</si>
  <si>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</si>
  <si>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</si>
  <si>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</si>
  <si>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</si>
  <si>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</si>
  <si>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</si>
  <si>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</si>
  <si>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</si>
  <si>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</si>
  <si>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</si>
  <si>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</si>
  <si>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</si>
  <si>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</si>
  <si>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</si>
  <si>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</si>
  <si>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</si>
  <si>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</si>
  <si>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</si>
  <si>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</si>
  <si>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</si>
  <si>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</si>
  <si>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</si>
  <si>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</si>
  <si>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</si>
  <si>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</si>
  <si>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</si>
  <si>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</si>
  <si>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</si>
  <si>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</si>
  <si>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</si>
  <si>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</si>
  <si>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</si>
  <si>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</si>
  <si>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</si>
  <si>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</si>
  <si>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</si>
  <si>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</si>
  <si>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</si>
  <si>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</si>
  <si>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</si>
  <si>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</si>
  <si>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</si>
  <si>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</si>
  <si>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</si>
  <si>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</si>
  <si>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</si>
  <si>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</si>
  <si>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</si>
  <si>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</si>
  <si>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</si>
  <si>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</si>
  <si>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</si>
  <si>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</si>
  <si>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</si>
  <si>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</si>
  <si>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</si>
  <si>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</si>
  <si>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</si>
  <si>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</si>
  <si>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</si>
  <si>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</si>
  <si>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</si>
  <si>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</si>
  <si>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</si>
  <si>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</si>
  <si>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</si>
  <si>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</si>
  <si>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</si>
  <si>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</si>
  <si>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</si>
  <si>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</si>
  <si>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</si>
  <si>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</si>
  <si>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</si>
  <si>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</si>
  <si>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</si>
  <si>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</si>
  <si>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</si>
  <si>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</si>
  <si>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</si>
  <si>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</si>
  <si>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</si>
  <si>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</si>
  <si>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</si>
  <si>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</si>
  <si>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</si>
  <si>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</si>
  <si>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</si>
  <si>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</si>
  <si>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</si>
  <si>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</si>
  <si>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</si>
  <si>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</si>
  <si>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</si>
  <si>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</si>
  <si>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</si>
  <si>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</si>
  <si>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</si>
  <si>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</si>
  <si>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</si>
  <si>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</si>
  <si>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</si>
  <si>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</si>
  <si>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</si>
  <si>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</si>
  <si>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</si>
  <si>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</si>
  <si>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</si>
  <si>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</si>
  <si>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</si>
  <si>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</si>
  <si>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</si>
  <si>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</si>
  <si>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</si>
  <si>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</si>
  <si>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</si>
  <si>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</si>
  <si>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</si>
  <si>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</si>
  <si>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</si>
  <si>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</si>
  <si>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</si>
  <si>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</si>
  <si>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</si>
  <si>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</si>
  <si>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</si>
  <si>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</si>
  <si>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</si>
  <si>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</si>
  <si>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</si>
  <si>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</si>
  <si>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</si>
  <si>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</si>
  <si>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</si>
  <si>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</si>
  <si>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</si>
  <si>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</si>
  <si>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</si>
  <si>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</si>
  <si>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</si>
  <si>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</si>
  <si>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</si>
  <si>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</si>
  <si>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</si>
  <si>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</si>
  <si>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</si>
  <si>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</si>
  <si>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</si>
  <si>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</si>
  <si>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</si>
  <si>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</si>
  <si>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</si>
  <si>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</si>
  <si>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</si>
  <si>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</si>
  <si>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</si>
  <si>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</si>
  <si>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</si>
  <si>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</si>
  <si>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</si>
  <si>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</si>
  <si>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</si>
  <si>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</si>
  <si>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</si>
  <si>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</si>
  <si>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</si>
  <si>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</si>
  <si>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</si>
  <si>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</si>
  <si>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</si>
  <si>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</si>
  <si>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</si>
  <si>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</si>
  <si>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</si>
  <si>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</si>
  <si>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</si>
  <si>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</si>
  <si>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</si>
  <si>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</si>
  <si>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</si>
  <si>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</si>
  <si>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</si>
  <si>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</si>
  <si>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</si>
  <si>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</si>
  <si>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</si>
  <si>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</si>
  <si>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</si>
  <si>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</si>
  <si>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</si>
  <si>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</si>
  <si>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</si>
  <si>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</si>
  <si>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</si>
  <si>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</si>
  <si>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</si>
  <si>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</si>
  <si>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</si>
  <si>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</si>
  <si>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</si>
  <si>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</si>
  <si>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</si>
  <si>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</si>
  <si>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</si>
  <si>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</si>
  <si>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</si>
  <si>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</si>
  <si>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</si>
  <si>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</si>
  <si>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</si>
  <si>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</si>
  <si>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</si>
  <si>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</si>
  <si>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</si>
  <si>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</si>
  <si>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</si>
  <si>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</si>
  <si>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</si>
  <si>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</si>
  <si>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</si>
  <si>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</si>
  <si>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</si>
  <si>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</si>
  <si>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</si>
  <si>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</si>
  <si>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</si>
  <si>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</si>
  <si>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</si>
  <si>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</si>
  <si>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</si>
  <si>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</si>
  <si>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</si>
  <si>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</si>
  <si>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</si>
  <si>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</si>
  <si>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</si>
  <si>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</si>
  <si>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</si>
  <si>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</si>
  <si>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</si>
  <si>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</si>
  <si>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</si>
  <si>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</si>
  <si>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</si>
  <si>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</si>
  <si>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</si>
  <si>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</si>
  <si>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</si>
  <si>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</si>
  <si>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</si>
  <si>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</si>
  <si>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</si>
  <si>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</si>
  <si>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</si>
  <si>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</si>
  <si>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</si>
  <si>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</si>
  <si>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</si>
  <si>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</si>
  <si>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</si>
  <si>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</si>
  <si>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</si>
  <si>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</si>
  <si>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</si>
  <si>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</si>
  <si>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</si>
  <si>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</si>
  <si>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</si>
  <si>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</si>
  <si>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</si>
  <si>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</si>
  <si>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</si>
  <si>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</si>
  <si>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</si>
  <si>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</si>
  <si>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</si>
  <si>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</si>
  <si>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</si>
  <si>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</si>
  <si>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</si>
  <si>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</si>
  <si>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</si>
  <si>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</si>
  <si>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</si>
  <si>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</si>
  <si>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</si>
  <si>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</si>
  <si>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</si>
  <si>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</si>
  <si>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</si>
  <si>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</si>
  <si>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</si>
  <si>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</si>
  <si>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</si>
  <si>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</si>
  <si>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</si>
  <si>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</si>
  <si>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</si>
  <si>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</si>
  <si>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</si>
  <si>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</si>
  <si>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</si>
  <si>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</si>
  <si>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</si>
  <si>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</si>
  <si>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</si>
  <si>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</si>
  <si>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</si>
  <si>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</si>
  <si>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</si>
  <si>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</si>
  <si>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</si>
  <si>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</si>
  <si>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</si>
  <si>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</si>
  <si>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</si>
  <si>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</si>
  <si>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</si>
  <si>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</si>
  <si>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</si>
  <si>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</si>
  <si>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</si>
  <si>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</si>
  <si>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</si>
  <si>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</si>
  <si>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</si>
  <si>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</si>
  <si>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</si>
  <si>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</si>
  <si>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</si>
  <si>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</si>
  <si>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</si>
  <si>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</si>
  <si>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</si>
  <si>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</si>
  <si>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</si>
  <si>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</si>
  <si>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</si>
  <si>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</si>
  <si>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</si>
  <si>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</si>
  <si>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</si>
  <si>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</si>
  <si>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</si>
  <si>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</si>
  <si>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</si>
  <si>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</si>
  <si>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</si>
  <si>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</si>
  <si>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</si>
  <si>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</si>
  <si>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</si>
  <si>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</si>
  <si>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</si>
  <si>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</si>
  <si>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</si>
  <si>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</si>
  <si>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</si>
  <si>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</si>
  <si>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</si>
  <si>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</si>
  <si>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</si>
  <si>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</si>
  <si>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</si>
  <si>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</si>
  <si>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</si>
  <si>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</si>
  <si>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</si>
  <si>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</si>
  <si>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</si>
  <si>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</si>
  <si>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</si>
  <si>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</si>
  <si>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</si>
  <si>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</si>
  <si>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</si>
  <si>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</si>
  <si>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</si>
  <si>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</si>
  <si>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</si>
  <si>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</si>
  <si>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</si>
  <si>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</si>
  <si>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</si>
  <si>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</si>
  <si>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</si>
  <si>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</si>
  <si>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</si>
  <si>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</si>
  <si>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</si>
  <si>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</si>
  <si>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</si>
  <si>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</si>
  <si>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</si>
  <si>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</si>
  <si>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</si>
  <si>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</si>
  <si>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</si>
  <si>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</si>
  <si>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</si>
  <si>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</si>
  <si>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</si>
  <si>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</si>
  <si>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</si>
  <si>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</si>
  <si>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</si>
  <si>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</si>
  <si>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</si>
  <si>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</si>
  <si>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</si>
  <si>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</si>
  <si>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</si>
  <si>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</si>
  <si>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</si>
  <si>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</si>
  <si>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</si>
  <si>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</si>
  <si>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</si>
  <si>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</si>
  <si>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</si>
  <si>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</si>
  <si>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</si>
  <si>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</si>
  <si>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</si>
  <si>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</si>
  <si>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</si>
  <si>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</si>
  <si>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</si>
  <si>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</si>
  <si>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</si>
  <si>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</si>
  <si>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</si>
  <si>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</si>
  <si>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</si>
  <si>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</si>
  <si>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</si>
  <si>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</si>
  <si>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</si>
  <si>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</si>
  <si>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</si>
  <si>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</si>
  <si>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</si>
  <si>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</si>
  <si>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</si>
  <si>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</si>
  <si>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</si>
  <si>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</si>
  <si>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</si>
  <si>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</si>
  <si>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</si>
  <si>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</si>
  <si>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</si>
  <si>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</si>
  <si>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</si>
  <si>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</si>
  <si>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</si>
  <si>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</si>
  <si>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</si>
  <si>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</si>
  <si>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</si>
  <si>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</si>
  <si>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</si>
  <si>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</si>
  <si>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</si>
  <si>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</si>
  <si>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</si>
  <si>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</si>
  <si>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</si>
  <si>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</si>
  <si>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</si>
  <si>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</si>
  <si>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</si>
  <si>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</si>
  <si>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</si>
  <si>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</si>
  <si>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</si>
  <si>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</si>
  <si>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</si>
  <si>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</si>
  <si>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</si>
  <si>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</si>
  <si>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</si>
  <si>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</si>
  <si>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</si>
  <si>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</si>
  <si>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</si>
  <si>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</si>
  <si>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</si>
  <si>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</si>
  <si>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</si>
  <si>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</si>
  <si>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</si>
  <si>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</si>
  <si>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</si>
  <si>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</si>
  <si>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</si>
  <si>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</si>
  <si>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</si>
  <si>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</si>
  <si>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</si>
  <si>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</si>
  <si>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</si>
  <si>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</si>
  <si>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</si>
  <si>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</si>
  <si>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</si>
  <si>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</si>
  <si>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</si>
  <si>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</si>
  <si>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</si>
  <si>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</si>
  <si>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</si>
  <si>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</si>
  <si>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</si>
  <si>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</si>
  <si>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</si>
  <si>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</si>
  <si>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</si>
  <si>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</si>
  <si>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</si>
  <si>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</si>
  <si>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</si>
  <si>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</si>
  <si>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</si>
  <si>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</si>
  <si>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</si>
  <si>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</si>
  <si>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</si>
  <si>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</si>
  <si>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</si>
  <si>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</si>
  <si>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</si>
  <si>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</si>
  <si>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</si>
  <si>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</si>
  <si>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</si>
  <si>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</si>
  <si>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</si>
  <si>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</si>
  <si>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</si>
  <si>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</si>
  <si>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</si>
  <si>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</si>
  <si>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</si>
  <si>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</si>
  <si>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</si>
  <si>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</si>
  <si>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</si>
  <si>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</si>
  <si>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</si>
  <si>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</si>
  <si>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</si>
  <si>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</si>
  <si>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</si>
  <si>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</si>
  <si>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</si>
  <si>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</si>
  <si>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</si>
  <si>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</si>
  <si>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</si>
  <si>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</si>
  <si>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</si>
  <si>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</si>
  <si>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</si>
  <si>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</si>
  <si>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</si>
  <si>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</si>
  <si>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</si>
  <si>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</si>
  <si>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</si>
  <si>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</si>
  <si>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</si>
  <si>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</si>
  <si>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</si>
  <si>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</si>
  <si>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</si>
  <si>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</si>
  <si>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</si>
  <si>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</si>
  <si>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</si>
  <si>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</si>
  <si>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</si>
  <si>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</si>
  <si>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</si>
  <si>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</si>
  <si>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</si>
  <si>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</si>
  <si>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</si>
  <si>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</si>
  <si>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</si>
  <si>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</si>
  <si>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</si>
  <si>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</si>
  <si>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</si>
  <si>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</si>
  <si>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</si>
  <si>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</si>
  <si>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</si>
  <si>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</si>
  <si>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</si>
  <si>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</si>
  <si>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</si>
  <si>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</si>
  <si>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</si>
  <si>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</si>
  <si>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</si>
  <si>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</si>
  <si>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</si>
  <si>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</si>
  <si>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</si>
  <si>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</si>
  <si>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</si>
  <si>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</si>
  <si>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</si>
  <si>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</si>
  <si>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</si>
  <si>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</si>
  <si>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</si>
  <si>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</si>
  <si>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</si>
  <si>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</si>
  <si>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</si>
  <si>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</si>
  <si>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</si>
  <si>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</si>
  <si>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</si>
  <si>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</si>
  <si>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</si>
  <si>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</si>
  <si>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</si>
  <si>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</si>
  <si>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</si>
  <si>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</si>
  <si>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</si>
  <si>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</si>
  <si>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</si>
  <si>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</si>
  <si>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</si>
  <si>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</si>
  <si>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</si>
  <si>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</si>
  <si>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</si>
  <si>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</si>
  <si>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</si>
  <si>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</si>
  <si>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</si>
  <si>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</si>
  <si>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</si>
  <si>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</si>
  <si>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</si>
  <si>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</si>
  <si>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</si>
  <si>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</si>
  <si>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</si>
  <si>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</si>
  <si>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</si>
  <si>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</si>
  <si>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</si>
  <si>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</si>
  <si>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</si>
  <si>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</si>
  <si>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</si>
  <si>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</si>
  <si>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</si>
  <si>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</si>
  <si>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</si>
  <si>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</si>
  <si>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</si>
  <si>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</si>
  <si>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</si>
  <si>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</si>
  <si>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</si>
  <si>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</si>
  <si>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</si>
  <si>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</si>
  <si>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</si>
  <si>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</si>
  <si>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</si>
  <si>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</si>
  <si>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</si>
  <si>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</si>
  <si>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</si>
  <si>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</si>
  <si>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</si>
  <si>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</si>
  <si>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</si>
  <si>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</si>
  <si>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</si>
  <si>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</si>
  <si>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</si>
  <si>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</si>
  <si>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</si>
  <si>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</si>
  <si>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</si>
  <si>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</si>
  <si>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</si>
  <si>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</si>
  <si>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</si>
  <si>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</si>
  <si>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</si>
  <si>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</si>
  <si>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</si>
  <si>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</si>
  <si>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</si>
  <si>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</si>
  <si>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</si>
  <si>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</si>
  <si>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</si>
  <si>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</si>
  <si>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</si>
  <si>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</si>
  <si>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</si>
  <si>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</si>
  <si>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</si>
  <si>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</si>
  <si>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</si>
  <si>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</si>
  <si>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</si>
  <si>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</si>
  <si>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</si>
  <si>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</si>
  <si>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</si>
  <si>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</si>
  <si>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</si>
  <si>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</si>
  <si>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</si>
  <si>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</si>
  <si>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</si>
  <si>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</si>
  <si>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</si>
  <si>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</si>
  <si>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</si>
  <si>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</si>
  <si>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</si>
  <si>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</si>
  <si>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</si>
  <si>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</si>
  <si>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</si>
  <si>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</si>
  <si>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</si>
  <si>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</si>
  <si>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</si>
  <si>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</si>
  <si>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</si>
  <si>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</si>
  <si>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</si>
  <si>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</si>
  <si>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</si>
  <si>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</si>
  <si>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</si>
  <si>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</si>
  <si>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</si>
  <si>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</si>
  <si>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</si>
  <si>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</si>
  <si>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</si>
  <si>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</si>
  <si>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</si>
  <si>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</si>
  <si>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</si>
  <si>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</si>
  <si>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</si>
  <si>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</si>
  <si>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</si>
  <si>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</si>
  <si>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</si>
  <si>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</si>
  <si>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</si>
  <si>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</si>
  <si>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</si>
  <si>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</si>
  <si>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</si>
  <si>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</si>
  <si>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</si>
  <si>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</si>
  <si>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</si>
  <si>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</si>
  <si>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</si>
  <si>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</si>
  <si>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</si>
  <si>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</si>
  <si>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</si>
  <si>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</si>
  <si>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</si>
  <si>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</si>
  <si>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</si>
  <si>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</si>
  <si>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</si>
  <si>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</si>
  <si>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</si>
  <si>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</si>
  <si>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</si>
  <si>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</si>
  <si>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</si>
  <si>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</si>
  <si>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</si>
  <si>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</si>
  <si>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</si>
  <si>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</si>
  <si>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</si>
  <si>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</si>
  <si>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</si>
  <si>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</si>
  <si>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</si>
  <si>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</si>
  <si>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</si>
  <si>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</si>
  <si>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</si>
  <si>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</si>
  <si>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</si>
  <si>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</si>
  <si>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</si>
  <si>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</si>
  <si>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</si>
  <si>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</si>
  <si>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</si>
  <si>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</si>
  <si>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</si>
  <si>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</si>
  <si>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</si>
  <si>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</si>
  <si>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</si>
  <si>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</si>
  <si>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</si>
  <si>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</si>
  <si>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</si>
  <si>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</si>
  <si>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</si>
  <si>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</si>
  <si>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</si>
  <si>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</si>
  <si>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</si>
  <si>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</si>
  <si>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</si>
  <si>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</si>
  <si>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</si>
  <si>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</si>
  <si>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</si>
  <si>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</si>
  <si>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</si>
  <si>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</si>
  <si>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</si>
  <si>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</si>
  <si>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</si>
  <si>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</si>
  <si>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</si>
  <si>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</si>
  <si>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</si>
  <si>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</si>
  <si>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</si>
  <si>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</si>
  <si>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</si>
  <si>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</si>
  <si>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</si>
  <si>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</si>
  <si>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</si>
  <si>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</si>
  <si>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</si>
  <si>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</si>
  <si>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</si>
  <si>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</si>
  <si>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</si>
  <si>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</si>
  <si>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</si>
  <si>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</si>
  <si>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</si>
  <si>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</si>
  <si>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</si>
  <si>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</si>
  <si>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</si>
  <si>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</si>
  <si>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</si>
  <si>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</si>
  <si>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</si>
  <si>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</si>
  <si>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</si>
  <si>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</si>
  <si>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</si>
  <si>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</si>
  <si>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</si>
  <si>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</si>
  <si>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</si>
  <si>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</si>
  <si>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</si>
  <si>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</si>
  <si>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</si>
  <si>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</si>
  <si>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</si>
  <si>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</si>
  <si>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</si>
  <si>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</si>
  <si>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</si>
  <si>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</si>
  <si>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</si>
  <si>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</si>
  <si>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</si>
  <si>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</si>
  <si>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</si>
  <si>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</si>
  <si>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</si>
  <si>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</si>
  <si>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</si>
  <si>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</si>
  <si>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</si>
  <si>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</si>
  <si>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</si>
  <si>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</si>
  <si>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</si>
  <si>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</si>
  <si>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</si>
  <si>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</si>
  <si>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</si>
  <si>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</si>
  <si>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</si>
  <si>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</si>
  <si>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</si>
  <si>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</si>
  <si>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</si>
  <si>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</si>
  <si>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</si>
  <si>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</si>
  <si>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</si>
  <si>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</si>
  <si>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</si>
  <si>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</si>
  <si>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</si>
  <si>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</si>
  <si>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</si>
  <si>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</si>
  <si>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</si>
  <si>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</si>
  <si>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</si>
  <si>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</si>
  <si>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</si>
  <si>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</si>
  <si>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</si>
  <si>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</si>
  <si>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</si>
  <si>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</si>
  <si>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</si>
  <si>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</si>
  <si>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</si>
  <si>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</si>
  <si>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</si>
  <si>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</si>
  <si>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</si>
  <si>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</si>
  <si>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</si>
  <si>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</si>
  <si>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</si>
  <si>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</si>
  <si>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</si>
  <si>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</si>
  <si>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</si>
  <si>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</si>
  <si>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</si>
  <si>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</si>
  <si>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</si>
  <si>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</si>
  <si>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</si>
  <si>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</si>
  <si>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</si>
  <si>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</si>
  <si>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</si>
  <si>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</si>
  <si>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</si>
  <si>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</si>
  <si>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</si>
  <si>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</si>
  <si>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</si>
  <si>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</si>
  <si>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</si>
  <si>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</si>
  <si>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</si>
  <si>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</si>
  <si>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</si>
  <si>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</si>
  <si>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</si>
  <si>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</si>
  <si>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</si>
  <si>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</si>
  <si>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</si>
  <si>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</si>
  <si>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</si>
  <si>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</si>
  <si>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</si>
  <si>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</si>
  <si>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</si>
  <si>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</si>
  <si>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</si>
  <si>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</si>
  <si>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</si>
  <si>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</si>
  <si>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</si>
  <si>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</si>
  <si>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</si>
  <si>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</si>
  <si>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</si>
  <si>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</si>
  <si>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</si>
  <si>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</si>
  <si>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</si>
  <si>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</si>
  <si>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</si>
  <si>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</si>
  <si>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</si>
  <si>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</si>
  <si>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</si>
  <si>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</si>
  <si>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</si>
  <si>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</si>
  <si>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</si>
  <si>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</si>
  <si>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</si>
  <si>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</si>
  <si>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</si>
  <si>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</si>
  <si>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</si>
  <si>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</si>
  <si>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</si>
  <si>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</si>
  <si>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</si>
  <si>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</si>
  <si>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</si>
  <si>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</si>
  <si>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</si>
  <si>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</si>
  <si>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</si>
  <si>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</si>
  <si>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</si>
  <si>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</si>
  <si>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</si>
  <si>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</si>
  <si>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</si>
  <si>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</si>
  <si>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</si>
  <si>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</si>
  <si>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</si>
  <si>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</si>
  <si>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</si>
  <si>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</si>
  <si>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</si>
  <si>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</si>
  <si>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</si>
  <si>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</si>
  <si>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</si>
  <si>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</si>
  <si>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</si>
  <si>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</si>
  <si>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</si>
  <si>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</si>
  <si>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</si>
  <si>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</si>
  <si>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</si>
  <si>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</si>
  <si>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</si>
  <si>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</si>
  <si>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</si>
  <si>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</si>
  <si>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</si>
  <si>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</si>
  <si>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</si>
  <si>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</si>
  <si>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</si>
  <si>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</si>
  <si>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</si>
  <si>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</si>
  <si>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</si>
  <si>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</si>
  <si>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</si>
  <si>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</si>
  <si>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</si>
  <si>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</si>
  <si>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</si>
  <si>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</si>
  <si>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</si>
  <si>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</si>
  <si>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</si>
  <si>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</si>
  <si>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</si>
  <si>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</si>
  <si>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</si>
  <si>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</si>
  <si>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</si>
  <si>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</si>
  <si>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</si>
  <si>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</si>
  <si>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</si>
  <si>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</si>
  <si>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</si>
  <si>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</si>
  <si>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</si>
  <si>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</si>
  <si>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</si>
  <si>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</si>
  <si>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</si>
  <si>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</si>
  <si>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</si>
  <si>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</si>
  <si>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</si>
  <si>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</si>
  <si>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</si>
  <si>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</si>
  <si>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</si>
  <si>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</si>
  <si>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</si>
  <si>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</si>
  <si>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</si>
  <si>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</si>
  <si>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</si>
  <si>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</si>
  <si>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</si>
  <si>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</si>
  <si>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</si>
  <si>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</si>
  <si>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</si>
  <si>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</si>
  <si>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</si>
  <si>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</si>
  <si>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</si>
  <si>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</si>
  <si>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</si>
  <si>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</si>
  <si>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</si>
  <si>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</si>
  <si>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</si>
  <si>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</si>
  <si>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</si>
  <si>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</si>
  <si>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</si>
  <si>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</si>
  <si>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</si>
  <si>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</si>
  <si>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</si>
  <si>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</si>
  <si>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</si>
  <si>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</si>
  <si>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</si>
  <si>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</si>
  <si>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</si>
  <si>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</si>
  <si>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</si>
  <si>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</si>
  <si>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</si>
  <si>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</si>
  <si>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</si>
  <si>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</si>
  <si>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</si>
  <si>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</si>
  <si>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</si>
  <si>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</si>
  <si>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</si>
  <si>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</si>
  <si>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</si>
  <si>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</si>
  <si>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</si>
  <si>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</si>
  <si>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</si>
  <si>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</si>
  <si>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</si>
  <si>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</si>
  <si>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</si>
  <si>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</si>
  <si>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</si>
  <si>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</si>
  <si>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</si>
  <si>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</si>
  <si>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</si>
  <si>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</si>
  <si>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</si>
  <si>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</si>
  <si>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</si>
  <si>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</si>
  <si>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</si>
  <si>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</si>
  <si>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</si>
  <si>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</si>
  <si>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</si>
  <si>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</si>
  <si>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</si>
  <si>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</si>
  <si>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</si>
  <si>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</si>
  <si>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</si>
  <si>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</si>
  <si>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</si>
  <si>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</si>
  <si>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</si>
  <si>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</si>
  <si>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</si>
  <si>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</si>
  <si>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</si>
  <si>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</si>
  <si>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</si>
  <si>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</si>
  <si>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</si>
  <si>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</si>
  <si>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</si>
  <si>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</si>
  <si>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</si>
  <si>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</si>
  <si>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</si>
  <si>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</si>
  <si>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</si>
  <si>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</si>
  <si>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</si>
  <si>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</si>
  <si>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</si>
  <si>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</si>
  <si>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</si>
  <si>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</si>
  <si>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</si>
  <si>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</si>
  <si>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</si>
  <si>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</si>
  <si>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</si>
  <si>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</si>
  <si>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</si>
  <si>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</si>
  <si>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</si>
  <si>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</si>
  <si>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</si>
  <si>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</si>
  <si>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</si>
  <si>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</si>
  <si>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</si>
  <si>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</si>
  <si>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</si>
  <si>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</si>
  <si>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</si>
  <si>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</si>
  <si>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</si>
  <si>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</si>
  <si>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</si>
  <si>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</si>
  <si>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</si>
  <si>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</si>
  <si>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</si>
  <si>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</si>
  <si>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</si>
  <si>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</si>
  <si>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</si>
  <si>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</si>
  <si>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</si>
  <si>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</si>
  <si>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</si>
  <si>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</si>
  <si>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</si>
  <si>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</si>
  <si>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</si>
  <si>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</si>
  <si>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</si>
  <si>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</si>
  <si>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</si>
  <si>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</si>
  <si>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</si>
  <si>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</si>
  <si>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</si>
  <si>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</si>
  <si>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</si>
  <si>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</si>
  <si>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</si>
  <si>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</si>
  <si>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</si>
  <si>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</si>
  <si>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</si>
  <si>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</si>
  <si>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</si>
  <si>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</si>
  <si>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</si>
  <si>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</si>
  <si>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</si>
  <si>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</si>
  <si>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</si>
  <si>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</si>
  <si>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</si>
  <si>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</si>
  <si>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</si>
  <si>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</si>
  <si>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</si>
  <si>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</si>
  <si>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</si>
  <si>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</si>
  <si>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</si>
  <si>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</si>
  <si>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</si>
  <si>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</si>
  <si>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</si>
  <si>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</si>
  <si>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</si>
  <si>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</si>
  <si>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</si>
  <si>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</si>
  <si>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</si>
  <si>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</si>
  <si>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</si>
  <si>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</si>
  <si>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</si>
  <si>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</si>
  <si>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</si>
  <si>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</si>
  <si>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</si>
  <si>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</si>
  <si>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</si>
  <si>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</si>
  <si>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</si>
  <si>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</si>
  <si>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</si>
  <si>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</si>
  <si>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</si>
  <si>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</si>
  <si>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</si>
  <si>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</si>
  <si>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</si>
  <si>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</si>
  <si>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</si>
  <si>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</si>
  <si>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</si>
  <si>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</si>
  <si>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</si>
  <si>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</si>
  <si>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</si>
  <si>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</si>
  <si>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</si>
  <si>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</si>
  <si>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</si>
  <si>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</si>
  <si>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</si>
  <si>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</si>
  <si>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</si>
  <si>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</si>
  <si>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</si>
  <si>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</si>
  <si>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</si>
  <si>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</si>
  <si>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</si>
  <si>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</si>
  <si>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</si>
  <si>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</si>
  <si>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</si>
  <si>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</si>
  <si>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</si>
  <si>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</si>
  <si>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</si>
  <si>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</si>
  <si>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</si>
  <si>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</si>
  <si>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</si>
  <si>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</si>
  <si>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</si>
  <si>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</si>
  <si>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</si>
  <si>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</si>
  <si>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</si>
  <si>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</si>
  <si>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</si>
  <si>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</si>
  <si>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</si>
  <si>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</si>
  <si>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</si>
  <si>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</si>
  <si>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</si>
  <si>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</si>
  <si>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</si>
  <si>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</si>
  <si>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</si>
  <si>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</si>
  <si>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</si>
  <si>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</si>
  <si>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</si>
  <si>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</si>
  <si>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</si>
  <si>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</si>
  <si>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</si>
  <si>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</si>
  <si>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</si>
  <si>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</si>
  <si>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</si>
  <si>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</si>
  <si>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</si>
  <si>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</si>
  <si>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</si>
  <si>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</si>
  <si>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</si>
  <si>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</si>
  <si>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</si>
  <si>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</si>
  <si>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</si>
  <si>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</si>
  <si>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</si>
  <si>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</si>
  <si>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</si>
  <si>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</si>
  <si>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</si>
  <si>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</si>
  <si>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</si>
  <si>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</si>
  <si>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</si>
  <si>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</si>
  <si>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</si>
  <si>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</si>
  <si>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</si>
  <si>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</si>
  <si>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</si>
  <si>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</si>
  <si>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</si>
  <si>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</si>
  <si>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</si>
  <si>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</si>
  <si>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</si>
  <si>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</si>
  <si>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</si>
  <si>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</si>
  <si>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</si>
  <si>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</si>
  <si>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</si>
  <si>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</si>
  <si>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</si>
  <si>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</si>
  <si>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</si>
  <si>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</si>
  <si>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</si>
  <si>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</si>
  <si>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</si>
  <si>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</si>
  <si>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</si>
  <si>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</si>
  <si>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</si>
  <si>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</si>
  <si>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</si>
  <si>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</si>
  <si>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</si>
  <si>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</si>
  <si>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</si>
  <si>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</si>
  <si>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</si>
  <si>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</si>
  <si>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</si>
  <si>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</si>
  <si>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</si>
  <si>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</si>
  <si>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</si>
  <si>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</si>
  <si>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</si>
  <si>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</si>
  <si>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</si>
  <si>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</si>
  <si>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</si>
  <si>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</si>
  <si>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</si>
  <si>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</si>
  <si>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</si>
  <si>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</si>
  <si>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</si>
  <si>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</si>
  <si>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</si>
  <si>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</si>
  <si>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</si>
  <si>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</si>
  <si>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</si>
  <si>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</si>
  <si>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</si>
  <si>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</si>
  <si>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</si>
  <si>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</si>
  <si>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</si>
  <si>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</si>
  <si>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</si>
  <si>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</si>
  <si>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</si>
  <si>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</si>
  <si>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</si>
  <si>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</si>
  <si>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</si>
  <si>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</si>
  <si>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</si>
  <si>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</si>
  <si>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</si>
  <si>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</si>
  <si>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</si>
  <si>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</si>
  <si>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</si>
  <si>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</si>
  <si>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</si>
  <si>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</si>
  <si>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</si>
  <si>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</si>
  <si>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</si>
  <si>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</si>
  <si>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</si>
  <si>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</si>
  <si>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</si>
  <si>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</si>
  <si>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</si>
  <si>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</si>
  <si>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</si>
  <si>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</si>
  <si>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</si>
  <si>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</si>
  <si>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</si>
  <si>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</si>
  <si>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</si>
  <si>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</si>
  <si>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</si>
  <si>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</si>
  <si>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</si>
  <si>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</si>
  <si>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</si>
  <si>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</si>
  <si>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</si>
  <si>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</si>
  <si>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</si>
  <si>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</si>
  <si>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</si>
  <si>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</si>
  <si>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</si>
  <si>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</si>
  <si>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</si>
  <si>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</si>
  <si>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</si>
  <si>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</si>
  <si>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</si>
  <si>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</si>
  <si>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</si>
  <si>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</si>
  <si>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</si>
  <si>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</si>
  <si>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</si>
  <si>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</si>
  <si>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</si>
  <si>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</si>
  <si>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</si>
  <si>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</si>
  <si>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</si>
  <si>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</si>
  <si>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</si>
  <si>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</si>
  <si>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</si>
  <si>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</si>
  <si>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</si>
  <si>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</si>
  <si>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</si>
  <si>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</si>
  <si>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</si>
  <si>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</si>
  <si>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</si>
  <si>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</si>
  <si>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</si>
  <si>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</si>
  <si>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</si>
  <si>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</si>
  <si>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</si>
  <si>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</si>
  <si>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</si>
  <si>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</si>
  <si>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</si>
  <si>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</si>
  <si>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</si>
  <si>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</si>
  <si>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</si>
  <si>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</si>
  <si>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</si>
  <si>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</si>
  <si>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</si>
  <si>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</si>
  <si>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</si>
  <si>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</si>
  <si>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</si>
  <si>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</si>
  <si>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</si>
  <si>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</si>
  <si>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</si>
  <si>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</si>
  <si>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</si>
  <si>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</si>
  <si>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</si>
  <si>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</si>
  <si>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</si>
  <si>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</si>
  <si>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</si>
  <si>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</si>
  <si>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</si>
  <si>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</si>
  <si>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</si>
  <si>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</si>
  <si>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</si>
  <si>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</si>
  <si>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</si>
  <si>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</si>
  <si>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</si>
  <si>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</si>
  <si>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</si>
  <si>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</si>
  <si>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</si>
  <si>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</si>
  <si>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</si>
  <si>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</si>
  <si>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</si>
  <si>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</si>
  <si>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</si>
  <si>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</si>
  <si>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</si>
  <si>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</si>
  <si>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</si>
  <si>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</si>
  <si>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</si>
  <si>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</si>
  <si>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</si>
  <si>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</si>
  <si>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</si>
  <si>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</si>
  <si>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</si>
  <si>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</si>
  <si>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</si>
  <si>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</si>
  <si>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</si>
  <si>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</si>
  <si>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</si>
  <si>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</si>
  <si>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</si>
  <si>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</si>
  <si>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</si>
  <si>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</si>
  <si>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</si>
  <si>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</si>
  <si>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</si>
  <si>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</si>
  <si>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</si>
  <si>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</si>
  <si>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</si>
  <si>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</si>
  <si>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</si>
  <si>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</si>
  <si>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</si>
  <si>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</si>
  <si>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</si>
  <si>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</si>
  <si>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</si>
  <si>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</si>
  <si>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</si>
  <si>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</si>
  <si>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</si>
  <si>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</si>
  <si>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</si>
  <si>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</si>
  <si>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</si>
  <si>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</si>
  <si>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</si>
  <si>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</si>
  <si>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</si>
  <si>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</si>
  <si>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</si>
  <si>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</si>
  <si>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</si>
  <si>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</si>
  <si>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</si>
  <si>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</si>
  <si>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</si>
  <si>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</si>
  <si>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</si>
  <si>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</si>
  <si>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</si>
  <si>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</si>
  <si>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</si>
  <si>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</si>
  <si>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</si>
  <si>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</si>
  <si>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</si>
  <si>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</si>
  <si>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</si>
  <si>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</si>
  <si>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</si>
  <si>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</si>
  <si>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</si>
  <si>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</si>
  <si>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</si>
  <si>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</si>
  <si>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</si>
  <si>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</si>
  <si>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</si>
  <si>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</si>
  <si>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</si>
  <si>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</si>
  <si>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</si>
  <si>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</si>
  <si>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</si>
  <si>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</si>
  <si>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</si>
  <si>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</si>
  <si>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</si>
  <si>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</si>
  <si>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</si>
  <si>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</si>
  <si>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</si>
  <si>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</si>
  <si>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</si>
  <si>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</si>
  <si>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</si>
  <si>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</si>
  <si>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</si>
  <si>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</si>
  <si>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</si>
  <si>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</si>
  <si>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</si>
  <si>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</si>
  <si>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</si>
  <si>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</si>
  <si>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</si>
  <si>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</si>
  <si>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</si>
  <si>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</si>
  <si>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</si>
  <si>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</si>
  <si>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</si>
  <si>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</si>
  <si>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</si>
  <si>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</si>
  <si>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</si>
  <si>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</si>
  <si>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</si>
  <si>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</si>
  <si>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</si>
  <si>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</si>
  <si>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</si>
  <si>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</si>
  <si>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</si>
  <si>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</si>
  <si>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</si>
  <si>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</si>
  <si>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</si>
  <si>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</si>
  <si>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</si>
  <si>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</si>
  <si>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</si>
  <si>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</si>
  <si>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</si>
  <si>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</si>
  <si>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</si>
  <si>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</si>
  <si>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</si>
  <si>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</si>
  <si>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</si>
  <si>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</si>
  <si>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</si>
  <si>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</si>
  <si>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</si>
  <si>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</si>
  <si>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</si>
  <si>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</si>
  <si>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</si>
  <si>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</si>
  <si>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</si>
  <si>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</si>
  <si>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</si>
  <si>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</si>
  <si>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</si>
  <si>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</si>
  <si>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</si>
  <si>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</si>
  <si>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</si>
  <si>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</si>
  <si>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</si>
  <si>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</si>
  <si>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</si>
  <si>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</si>
  <si>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</si>
  <si>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</si>
  <si>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</si>
  <si>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</si>
  <si>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</si>
  <si>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</si>
  <si>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</si>
  <si>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</si>
  <si>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</si>
  <si>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</si>
  <si>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</si>
  <si>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</si>
  <si>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</si>
  <si>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</si>
  <si>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</si>
  <si>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</si>
  <si>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</si>
  <si>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</si>
  <si>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</si>
  <si>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</si>
  <si>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</si>
  <si>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</si>
  <si>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</si>
  <si>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</si>
  <si>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</si>
  <si>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</si>
  <si>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</si>
  <si>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</si>
  <si>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</si>
  <si>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</si>
  <si>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</si>
  <si>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</si>
  <si>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</si>
  <si>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</si>
  <si>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</si>
  <si>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</si>
  <si>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</si>
  <si>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</si>
  <si>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</si>
  <si>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</si>
  <si>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</si>
  <si>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</si>
  <si>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</si>
  <si>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</si>
  <si>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</si>
  <si>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</si>
  <si>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</si>
  <si>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</si>
  <si>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</si>
  <si>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</si>
  <si>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</si>
  <si>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</si>
  <si>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</si>
  <si>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</si>
  <si>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</si>
  <si>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</si>
  <si>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</si>
  <si>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</si>
  <si>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</si>
  <si>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</si>
  <si>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</si>
  <si>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</si>
  <si>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</si>
  <si>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</si>
  <si>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</si>
  <si>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</si>
  <si>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</si>
  <si>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</si>
  <si>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</si>
  <si>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</si>
  <si>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</si>
  <si>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</si>
  <si>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</si>
  <si>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</si>
  <si>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</si>
  <si>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</si>
  <si>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</si>
  <si>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</si>
  <si>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</si>
  <si>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</si>
  <si>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</si>
  <si>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</si>
  <si>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</si>
  <si>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</si>
  <si>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</si>
  <si>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</si>
  <si>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</si>
  <si>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</si>
  <si>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</si>
  <si>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</si>
  <si>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</si>
  <si>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</si>
  <si>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</si>
  <si>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</si>
  <si>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</si>
  <si>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</si>
  <si>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</si>
  <si>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</si>
  <si>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</si>
  <si>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</si>
  <si>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</si>
  <si>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</si>
  <si>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</si>
  <si>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</si>
  <si>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</si>
  <si>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</si>
  <si>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</si>
  <si>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</si>
  <si>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</si>
  <si>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</si>
  <si>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</si>
  <si>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</si>
  <si>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</si>
  <si>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</si>
  <si>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</si>
  <si>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</si>
  <si>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</si>
  <si>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</si>
  <si>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</si>
  <si>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</si>
  <si>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</si>
  <si>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</si>
  <si>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</si>
  <si>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</si>
  <si>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</si>
  <si>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</si>
  <si>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</si>
  <si>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</si>
  <si>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</si>
  <si>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</si>
  <si>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</si>
  <si>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</si>
  <si>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</si>
  <si>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</si>
  <si>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</si>
  <si>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</si>
  <si>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</si>
  <si>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</si>
  <si>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</si>
  <si>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</si>
  <si>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</si>
  <si>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</si>
  <si>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</si>
  <si>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</si>
  <si>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</si>
  <si>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</si>
  <si>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</si>
  <si>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</si>
  <si>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</si>
  <si>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</si>
  <si>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</si>
  <si>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</si>
  <si>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</si>
  <si>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</si>
  <si>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</si>
  <si>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</si>
  <si>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</si>
  <si>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</si>
  <si>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</si>
  <si>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</si>
  <si>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</si>
  <si>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</si>
  <si>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</si>
  <si>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</si>
  <si>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</si>
  <si>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</si>
  <si>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</si>
  <si>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</si>
  <si>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</si>
  <si>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</si>
  <si>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</si>
  <si>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</si>
  <si>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</si>
  <si>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</si>
  <si>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</si>
  <si>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</si>
  <si>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</si>
  <si>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</si>
  <si>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</si>
  <si>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</si>
  <si>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</si>
  <si>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</si>
  <si>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</si>
  <si>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</si>
  <si>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</si>
  <si>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</si>
  <si>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</si>
  <si>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</si>
  <si>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</si>
  <si>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</si>
  <si>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</si>
  <si>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</si>
  <si>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</si>
  <si>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</si>
  <si>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</si>
  <si>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</si>
  <si>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</si>
  <si>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</si>
  <si>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</si>
  <si>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</si>
  <si>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</si>
  <si>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</si>
  <si>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</si>
  <si>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</si>
  <si>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</si>
  <si>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</si>
  <si>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</si>
  <si>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</si>
  <si>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</si>
  <si>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</si>
  <si>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</si>
  <si>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</si>
  <si>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</si>
  <si>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</si>
  <si>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</si>
  <si>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</si>
  <si>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</si>
  <si>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</si>
  <si>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</si>
  <si>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</si>
  <si>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</si>
  <si>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</si>
  <si>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</si>
  <si>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</si>
  <si>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</si>
  <si>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</si>
  <si>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</si>
  <si>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</si>
  <si>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</si>
  <si>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</si>
  <si>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</si>
  <si>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</si>
  <si>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</si>
  <si>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</si>
  <si>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</si>
  <si>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</si>
  <si>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</si>
  <si>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</si>
  <si>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</si>
  <si>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</si>
  <si>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</si>
  <si>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</si>
  <si>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</si>
  <si>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</si>
  <si>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</si>
  <si>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</si>
  <si>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</si>
  <si>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</si>
  <si>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</si>
  <si>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</si>
  <si>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</si>
  <si>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</si>
  <si>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</si>
  <si>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</si>
  <si>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</si>
  <si>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</si>
  <si>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</si>
  <si>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</si>
  <si>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</si>
  <si>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</si>
  <si>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</si>
  <si>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</si>
  <si>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</si>
  <si>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</si>
  <si>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</si>
  <si>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</si>
  <si>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</si>
  <si>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</si>
  <si>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</si>
  <si>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</si>
  <si>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</si>
  <si>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</si>
  <si>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</si>
  <si>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</si>
  <si>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</si>
  <si>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</si>
  <si>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</si>
  <si>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</si>
  <si>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</si>
  <si>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</si>
  <si>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</si>
  <si>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</si>
  <si>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</si>
  <si>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</si>
  <si>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</si>
  <si>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</si>
  <si>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</si>
  <si>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</si>
  <si>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</si>
  <si>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</si>
  <si>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</si>
  <si>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</si>
  <si>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</si>
  <si>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</si>
  <si>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</si>
  <si>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</si>
  <si>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</si>
  <si>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</si>
  <si>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</si>
  <si>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</si>
  <si>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</si>
  <si>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</si>
  <si>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</si>
  <si>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</si>
  <si>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</si>
  <si>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</si>
  <si>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</si>
  <si>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</si>
  <si>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</si>
  <si>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</si>
  <si>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</si>
  <si>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</si>
  <si>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</si>
  <si>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</si>
  <si>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</si>
  <si>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</si>
  <si>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</si>
  <si>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</si>
  <si>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</si>
  <si>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</si>
  <si>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</si>
  <si>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</si>
  <si>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</si>
  <si>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</si>
  <si>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</si>
  <si>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</si>
  <si>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</si>
  <si>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</si>
  <si>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</si>
  <si>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</si>
  <si>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</si>
  <si>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</si>
  <si>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</si>
  <si>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</si>
  <si>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</si>
  <si>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</si>
  <si>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</si>
  <si>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</si>
  <si>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</si>
  <si>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</si>
  <si>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</si>
  <si>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</si>
  <si>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</si>
  <si>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</si>
  <si>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</si>
  <si>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</si>
  <si>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</si>
  <si>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</si>
  <si>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</si>
  <si>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</si>
  <si>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</si>
  <si>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</si>
  <si>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</si>
  <si>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</si>
  <si>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</si>
  <si>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</si>
  <si>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</si>
  <si>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</si>
  <si>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</si>
  <si>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</si>
  <si>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</si>
  <si>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</si>
  <si>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</si>
  <si>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</si>
  <si>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</si>
  <si>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</si>
  <si>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</si>
  <si>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</si>
  <si>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</si>
  <si>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</si>
  <si>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</si>
  <si>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</si>
  <si>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</si>
  <si>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</si>
  <si>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</si>
  <si>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</si>
  <si>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</si>
  <si>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</si>
  <si>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</si>
  <si>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</si>
  <si>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</si>
  <si>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</si>
  <si>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</si>
  <si>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</si>
  <si>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</si>
  <si>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</si>
  <si>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</si>
  <si>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</si>
  <si>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</si>
  <si>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</si>
  <si>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</si>
  <si>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</si>
  <si>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</si>
  <si>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</si>
  <si>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</si>
  <si>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</si>
  <si>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</si>
  <si>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</si>
  <si>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</si>
  <si>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</si>
  <si>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</si>
  <si>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</si>
  <si>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</si>
  <si>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</si>
  <si>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</si>
  <si>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</si>
  <si>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</si>
  <si>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</si>
  <si>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</si>
  <si>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</si>
  <si>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</si>
  <si>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</si>
  <si>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</si>
  <si>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</si>
  <si>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</si>
  <si>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</si>
  <si>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</si>
  <si>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</si>
  <si>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</si>
  <si>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</si>
  <si>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</si>
  <si>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Hotel Motel Poc  ET-10 8MM/16D Pre Foam Memory Border 23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</si>
</sst>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D18" sqref="D1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34290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/>
      <c r="E2" s="43"/>
      <c r="F2" s="17">
        <f>D2</f>
        <v>0</v>
      </c>
      <c r="G2" s="17">
        <f>E2</f>
        <v>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/>
      </c>
      <c r="Y2" s="31" t="str">
        <f>LEFT(X2,2)</f>
        <v/>
      </c>
      <c r="Z2" s="31" t="str">
        <f>MID(X2,4,2)</f>
        <v/>
      </c>
      <c r="AA2" s="31" t="str">
        <f>RIGHT(X2,2)</f>
        <v/>
      </c>
      <c r="AB2" s="20" t="str">
        <f>Y2</f>
        <v/>
      </c>
      <c r="AC2" s="20" t="str">
        <f>Z2</f>
        <v/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 t="e">
        <f>SUM(AH2:AH9)</f>
        <v>#VALUE!</v>
      </c>
      <c r="AJ2" s="45" t="e">
        <f>ROUND(AI2,3)</f>
        <v>#VALUE!</v>
      </c>
      <c r="AK2" s="45" t="e">
        <f>AJ2</f>
        <v>#VALUE!</v>
      </c>
      <c r="AL2" s="45" t="e">
        <f>+AK2+AQ2</f>
        <v>#VALUE!</v>
      </c>
      <c r="AM2" s="45" t="e">
        <f>+SUM(((AK2*3%*18%)))</f>
        <v>#VALUE!</v>
      </c>
      <c r="AN2" s="45" t="e">
        <f t="shared" ref="AN2" si="1">+SUM(((AK2*14.33%*53%)))</f>
        <v>#VALUE!</v>
      </c>
      <c r="AO2" s="45" t="e">
        <f t="shared" ref="AO2" si="2">+SUM(((AK2*5.92%*53%)))</f>
        <v>#VALUE!</v>
      </c>
      <c r="AP2" s="45" t="e">
        <f t="shared" ref="AP2" si="3">+SUM(((AK2*2.08%*53%)))</f>
        <v>#VALUE!</v>
      </c>
      <c r="AQ2" s="45" t="e">
        <f>SUM(AM2:AP2)</f>
        <v>#VALUE!</v>
      </c>
      <c r="AR2" s="46" t="e">
        <f>ROUNDUP(AL2,0)</f>
        <v>#VALUE!</v>
      </c>
      <c r="AS2" s="40" t="e">
        <f>AK2</f>
        <v>#VALUE!</v>
      </c>
      <c r="AT2" s="32" t="e">
        <f>AR2</f>
        <v>#VALUE!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>
        <f t="shared" si="4"/>
        <v>0</v>
      </c>
      <c r="E3" s="17">
        <f t="shared" si="4"/>
        <v>0</v>
      </c>
      <c r="F3" s="17">
        <f t="shared" si="4"/>
        <v>0</v>
      </c>
      <c r="G3" s="17">
        <f t="shared" si="4"/>
        <v>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0</v>
      </c>
      <c r="Y3" s="31" t="str">
        <f t="shared" ref="Y3:Y9" si="6">LEFT(X3,2)</f>
        <v>0</v>
      </c>
      <c r="Z3" s="31" t="str">
        <f t="shared" ref="Z3:Z9" si="7">MID(X3,4,2)</f>
        <v/>
      </c>
      <c r="AA3" s="31" t="str">
        <f t="shared" ref="AA3:AA9" si="8">RIGHT(X3,2)</f>
        <v>0</v>
      </c>
      <c r="AB3" s="20" t="str">
        <f>AB2</f>
        <v/>
      </c>
      <c r="AC3" s="20" t="str">
        <f>AC2</f>
        <v/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 t="e">
        <f t="shared" ref="AS3:AS9" si="9">AS2</f>
        <v>#VALUE!</v>
      </c>
      <c r="AT3" s="32" t="e">
        <f t="shared" ref="AT3:AT9" si="10">AT2</f>
        <v>#VALUE!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>
        <f t="shared" si="4"/>
        <v>0</v>
      </c>
      <c r="E4" s="17">
        <f t="shared" si="4"/>
        <v>0</v>
      </c>
      <c r="F4" s="17">
        <f t="shared" si="4"/>
        <v>0</v>
      </c>
      <c r="G4" s="17">
        <f t="shared" si="4"/>
        <v>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18733</v>
      </c>
      <c r="R4" s="43" t="s">
        <v>34292</v>
      </c>
      <c r="S4" s="43" t="s">
        <v>192</v>
      </c>
      <c r="T4" s="18" t="e">
        <f>AD4</f>
        <v>#VALUE!</v>
      </c>
      <c r="U4" s="17" t="s">
        <v>2292</v>
      </c>
      <c r="V4" s="17" t="s">
        <v>2276</v>
      </c>
      <c r="W4" s="17" t="s">
        <v>2295</v>
      </c>
      <c r="X4" s="30" t="str">
        <f t="shared" si="5"/>
        <v>0</v>
      </c>
      <c r="Y4" s="31" t="str">
        <f t="shared" si="6"/>
        <v>0</v>
      </c>
      <c r="Z4" s="31" t="str">
        <f t="shared" si="7"/>
        <v/>
      </c>
      <c r="AA4" s="31" t="str">
        <f t="shared" si="8"/>
        <v>0</v>
      </c>
      <c r="AB4" s="20" t="str">
        <f t="shared" ref="AB4:AC9" si="11">AB3</f>
        <v/>
      </c>
      <c r="AC4" s="20" t="str">
        <f t="shared" si="11"/>
        <v/>
      </c>
      <c r="AD4" s="21" t="e">
        <f>ROUNDUP(((((AB4+AC4)*2)+3)*0.0254),3)</f>
        <v>#VALUE!</v>
      </c>
      <c r="AF4" s="22" t="e">
        <f t="shared" ref="AF4:AF9" si="12">T4</f>
        <v>#VALUE!</v>
      </c>
      <c r="AG4" s="26">
        <f>VLOOKUP(Q4,'SFG-RM'!A:B,2,0)</f>
        <v>23.78928427</v>
      </c>
      <c r="AH4" s="20" t="e">
        <f t="shared" si="0"/>
        <v>#VALUE!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 t="e">
        <f t="shared" si="9"/>
        <v>#VALUE!</v>
      </c>
      <c r="AT4" s="32" t="e">
        <f t="shared" si="10"/>
        <v>#VALUE!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>
        <f t="shared" si="4"/>
        <v>0</v>
      </c>
      <c r="E5" s="17">
        <f t="shared" si="4"/>
        <v>0</v>
      </c>
      <c r="F5" s="17">
        <f t="shared" si="4"/>
        <v>0</v>
      </c>
      <c r="G5" s="17">
        <f t="shared" si="4"/>
        <v>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0</v>
      </c>
      <c r="Y5" s="31" t="str">
        <f t="shared" si="6"/>
        <v>0</v>
      </c>
      <c r="Z5" s="31" t="str">
        <f t="shared" si="7"/>
        <v/>
      </c>
      <c r="AA5" s="31" t="str">
        <f t="shared" si="8"/>
        <v>0</v>
      </c>
      <c r="AB5" s="20" t="str">
        <f t="shared" si="11"/>
        <v/>
      </c>
      <c r="AC5" s="20" t="str">
        <f t="shared" si="11"/>
        <v/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 t="e">
        <f t="shared" si="9"/>
        <v>#VALUE!</v>
      </c>
      <c r="AT5" s="32" t="e">
        <f t="shared" si="10"/>
        <v>#VALUE!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>
        <f t="shared" si="4"/>
        <v>0</v>
      </c>
      <c r="E6" s="17">
        <f t="shared" si="4"/>
        <v>0</v>
      </c>
      <c r="F6" s="17">
        <f t="shared" si="4"/>
        <v>0</v>
      </c>
      <c r="G6" s="17">
        <f t="shared" si="4"/>
        <v>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0</v>
      </c>
      <c r="Y6" s="31" t="str">
        <f t="shared" si="6"/>
        <v>0</v>
      </c>
      <c r="Z6" s="31" t="str">
        <f t="shared" si="7"/>
        <v/>
      </c>
      <c r="AA6" s="31" t="str">
        <f t="shared" si="8"/>
        <v>0</v>
      </c>
      <c r="AB6" s="20" t="str">
        <f t="shared" si="11"/>
        <v/>
      </c>
      <c r="AC6" s="20" t="str">
        <f t="shared" si="11"/>
        <v/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 t="e">
        <f t="shared" si="9"/>
        <v>#VALUE!</v>
      </c>
      <c r="AT6" s="32" t="e">
        <f t="shared" si="10"/>
        <v>#VALUE!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>
        <f t="shared" si="4"/>
        <v>0</v>
      </c>
      <c r="E7" s="17">
        <f t="shared" si="4"/>
        <v>0</v>
      </c>
      <c r="F7" s="17">
        <f t="shared" si="4"/>
        <v>0</v>
      </c>
      <c r="G7" s="17">
        <f t="shared" si="4"/>
        <v>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0</v>
      </c>
      <c r="Y7" s="31" t="str">
        <f t="shared" si="6"/>
        <v>0</v>
      </c>
      <c r="Z7" s="31" t="str">
        <f t="shared" si="7"/>
        <v/>
      </c>
      <c r="AA7" s="31" t="str">
        <f t="shared" si="8"/>
        <v>0</v>
      </c>
      <c r="AB7" s="20" t="str">
        <f t="shared" si="11"/>
        <v/>
      </c>
      <c r="AC7" s="20" t="str">
        <f t="shared" si="11"/>
        <v/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 t="e">
        <f t="shared" si="9"/>
        <v>#VALUE!</v>
      </c>
      <c r="AT7" s="32" t="e">
        <f t="shared" si="10"/>
        <v>#VALUE!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>
        <f t="shared" si="4"/>
        <v>0</v>
      </c>
      <c r="E8" s="17">
        <f t="shared" si="4"/>
        <v>0</v>
      </c>
      <c r="F8" s="17">
        <f t="shared" si="4"/>
        <v>0</v>
      </c>
      <c r="G8" s="17">
        <f t="shared" si="4"/>
        <v>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18744</v>
      </c>
      <c r="R8" s="43" t="s">
        <v>34291</v>
      </c>
      <c r="S8" s="43" t="s">
        <v>192</v>
      </c>
      <c r="T8" s="44">
        <v>0.92</v>
      </c>
      <c r="U8" s="17" t="s">
        <v>2292</v>
      </c>
      <c r="V8" s="17" t="s">
        <v>2276</v>
      </c>
      <c r="W8" s="17" t="s">
        <v>2295</v>
      </c>
      <c r="X8" s="30" t="str">
        <f t="shared" si="5"/>
        <v>0</v>
      </c>
      <c r="Y8" s="31" t="str">
        <f t="shared" si="6"/>
        <v>0</v>
      </c>
      <c r="Z8" s="31" t="str">
        <f t="shared" si="7"/>
        <v/>
      </c>
      <c r="AA8" s="31" t="str">
        <f t="shared" si="8"/>
        <v>0</v>
      </c>
      <c r="AB8" s="20" t="str">
        <f t="shared" si="11"/>
        <v/>
      </c>
      <c r="AC8" s="20" t="str">
        <f t="shared" si="11"/>
        <v/>
      </c>
      <c r="AF8" s="22">
        <f t="shared" si="12"/>
        <v>0.92</v>
      </c>
      <c r="AG8" s="26">
        <f>VLOOKUP(Q8,'SFG-RM'!A:B,2,0)</f>
        <v>14.621455289401199</v>
      </c>
      <c r="AH8" s="20">
        <f t="shared" si="0"/>
        <v>13.451738866249103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 t="e">
        <f t="shared" si="9"/>
        <v>#VALUE!</v>
      </c>
      <c r="AT8" s="32" t="e">
        <f t="shared" si="10"/>
        <v>#VALUE!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>
        <f t="shared" si="4"/>
        <v>0</v>
      </c>
      <c r="E9" s="17">
        <f t="shared" si="4"/>
        <v>0</v>
      </c>
      <c r="F9" s="17">
        <f t="shared" si="4"/>
        <v>0</v>
      </c>
      <c r="G9" s="17">
        <f t="shared" si="4"/>
        <v>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0</v>
      </c>
      <c r="Y9" s="31" t="str">
        <f t="shared" si="6"/>
        <v>0</v>
      </c>
      <c r="Z9" s="31" t="str">
        <f t="shared" si="7"/>
        <v/>
      </c>
      <c r="AA9" s="31" t="str">
        <f t="shared" si="8"/>
        <v>0</v>
      </c>
      <c r="AB9" s="20" t="str">
        <f t="shared" si="11"/>
        <v/>
      </c>
      <c r="AC9" s="20" t="str">
        <f t="shared" si="11"/>
        <v/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 t="e">
        <f t="shared" si="9"/>
        <v>#VALUE!</v>
      </c>
      <c r="AT9" s="32" t="e">
        <f t="shared" si="10"/>
        <v>#VALUE!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2024-03-31T04:21:46Z</dcterms:modified>
</cp:coreProperties>
</file>