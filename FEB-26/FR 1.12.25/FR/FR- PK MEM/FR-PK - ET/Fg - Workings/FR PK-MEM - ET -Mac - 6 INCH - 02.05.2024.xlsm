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-Macros-22.11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G18" i="13"/>
  <c r="G11" i="13" l="1"/>
  <c r="G5" i="13" l="1"/>
  <c r="G6" i="13" l="1"/>
  <c r="G4" i="13" l="1"/>
  <c r="E4" i="13"/>
  <c r="H19" i="13"/>
  <c r="D19" i="13"/>
  <c r="H18" i="13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E2" i="13"/>
  <c r="D2" i="13"/>
</calcChain>
</file>

<file path=xl/sharedStrings.xml><?xml version="1.0" encoding="utf-8"?>
<sst xmlns="http://schemas.openxmlformats.org/spreadsheetml/2006/main" count="9605" uniqueCount="340">
  <si>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</si>
  <si>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</si>
  <si>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</si>
  <si>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</si>
  <si>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</si>
  <si>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</si>
  <si>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</si>
  <si>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</si>
  <si>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</si>
  <si>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</si>
  <si>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</si>
  <si>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</si>
  <si>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</si>
  <si>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</si>
  <si>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</si>
  <si>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</si>
  <si>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</si>
  <si>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</si>
  <si>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</si>
  <si>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</si>
  <si>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</si>
  <si>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</si>
  <si>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</si>
  <si>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</si>
  <si>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</si>
  <si>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</si>
  <si>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</si>
  <si>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</si>
  <si>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</si>
  <si>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</si>
  <si>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</si>
  <si>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</si>
  <si>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</si>
  <si>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</si>
  <si>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</si>
  <si>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</si>
  <si>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</si>
  <si>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</si>
  <si>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</si>
  <si>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</si>
  <si>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</si>
  <si>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</si>
  <si>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</si>
  <si>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</si>
  <si>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</si>
  <si>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</si>
  <si>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</si>
  <si>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</si>
  <si>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</si>
  <si>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</si>
  <si>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</si>
  <si>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</si>
  <si>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</si>
  <si>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</si>
  <si>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</si>
  <si>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</si>
  <si>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</si>
  <si>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</si>
  <si>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</si>
  <si>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</si>
  <si>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</si>
  <si>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</si>
  <si>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</si>
  <si>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</si>
  <si>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</si>
  <si>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</si>
  <si>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</si>
  <si>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</si>
  <si>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</si>
  <si>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</si>
  <si>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</si>
  <si>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</si>
  <si>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</si>
  <si>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</si>
  <si>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</si>
  <si>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</si>
  <si>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</si>
  <si>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</si>
  <si>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</si>
  <si>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</si>
  <si>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</si>
  <si>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</si>
  <si>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</si>
  <si>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</si>
  <si>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</si>
  <si>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</si>
  <si>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</si>
  <si>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</si>
  <si>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</si>
  <si>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</si>
  <si>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</si>
  <si>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</si>
  <si>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</si>
  <si>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</si>
  <si>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</si>
  <si>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</si>
  <si>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</si>
  <si>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</si>
  <si>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</si>
  <si>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</si>
  <si>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</si>
  <si>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</si>
  <si>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</si>
  <si>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</si>
  <si>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</si>
  <si>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</si>
  <si>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</si>
  <si>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</si>
  <si>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</si>
  <si>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</si>
  <si>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</si>
  <si>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</si>
  <si>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</si>
  <si>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</si>
  <si>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</si>
  <si>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</si>
  <si>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</si>
  <si>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</si>
  <si>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</si>
  <si>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</si>
  <si>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</si>
  <si>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</si>
  <si>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</si>
  <si>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</si>
  <si>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</si>
  <si>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</si>
  <si>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</si>
  <si>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</si>
  <si>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</si>
  <si>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</si>
  <si>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</si>
  <si>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</si>
  <si>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</si>
  <si>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</si>
  <si>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</si>
  <si>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</si>
  <si>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</si>
  <si>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</si>
  <si>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</si>
  <si>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RTHTMTPKMFET72X33X06</t>
  </si>
  <si>
    <t>OEFRPKSR71X32X110</t>
  </si>
  <si>
    <t>SFG-FRPKET-MEM-BOR-72X33X06</t>
  </si>
  <si>
    <t>SFG-FRBNPK-ET-CVR-72X33X06</t>
  </si>
  <si>
    <t>RML-CS-PL-6.5"</t>
  </si>
  <si>
    <t>28D-PU-FOAM-71.50X32.50X10MM</t>
  </si>
  <si>
    <t>RTHTMTPKMFET72X39X06</t>
  </si>
  <si>
    <t>OEFRPKSR71X38X110</t>
  </si>
  <si>
    <t>SFG-FRPKET-MEM-BOR-72X39X06</t>
  </si>
  <si>
    <t>SFG-FRBNPK-ET-CVR-72X39X06</t>
  </si>
  <si>
    <t>28D-PU-FOAM-71.50X38.50X10MM</t>
  </si>
  <si>
    <t>RTHTMTPKMFET72X45X06</t>
  </si>
  <si>
    <t>OEFRPKSR71X44X110</t>
  </si>
  <si>
    <t>SFG-FRPKET-MEM-BOR-72X45X06</t>
  </si>
  <si>
    <t>SFG-FRBNPK-ET-CVR-72X45X06</t>
  </si>
  <si>
    <t>28D-PU-FOAM-71.50X44.50X10MM</t>
  </si>
  <si>
    <t>RTHTMTPKMFET72X51X06</t>
  </si>
  <si>
    <t>OEFRPKSR71X50X110</t>
  </si>
  <si>
    <t>SFG-FRPKET-MEM-BOR-72X51X06</t>
  </si>
  <si>
    <t>SFG-FRBNPK-ET-CVR-72X51X06</t>
  </si>
  <si>
    <t>28D-PU-FOAM-71.50X50.50X10MM</t>
  </si>
  <si>
    <t>RTHTMTPKMFET72X54X06</t>
  </si>
  <si>
    <t>OEFRPKSR71X53X110</t>
  </si>
  <si>
    <t>SFG-FRPKET-MEM-BOR-72X54X06</t>
  </si>
  <si>
    <t>SFG-FRBNPK-ET-CVR-72X54X06</t>
  </si>
  <si>
    <t>28D-PU-FOAM-71.50X53.50X10MM</t>
  </si>
  <si>
    <t>RTHTMTPKMFET72X57X06</t>
  </si>
  <si>
    <t>OEFRPKSR71X56X110</t>
  </si>
  <si>
    <t>SFG-FRPKET-MEM-BOR-72X57X06</t>
  </si>
  <si>
    <t>SFG-FRBNPK-ET-CVR-72X57X06</t>
  </si>
  <si>
    <t>28D-PU-FOAM-71.50X56.50X10MM</t>
  </si>
  <si>
    <t>RTHTMTPKMFET72X63X06</t>
  </si>
  <si>
    <t>OEFRPKSR71X62X110</t>
  </si>
  <si>
    <t>SFG-FRPKET-MEM-BOR-72X63X06</t>
  </si>
  <si>
    <t>SFG-FRBNPK-ET-CVR-72X63X06</t>
  </si>
  <si>
    <t>28D-PU-FOAM-71.50X62.50X10MM</t>
  </si>
  <si>
    <t>RTHTMTPKMFET72X69X06</t>
  </si>
  <si>
    <t>OEFRPKSR71X68X110</t>
  </si>
  <si>
    <t>SFG-FRPKET-MEM-BOR-72X69X06</t>
  </si>
  <si>
    <t>SFG-FRBNPK-ET-CVR-72X69X06</t>
  </si>
  <si>
    <t>28D-PU-FOAM-71.50X68.50X10MM</t>
  </si>
  <si>
    <t>RTHTMTPKMFET75X33X06</t>
  </si>
  <si>
    <t>OEFRPKSR74X32X110</t>
  </si>
  <si>
    <t>SFG-FRPKET-MEM-BOR-75X33X06</t>
  </si>
  <si>
    <t>SFG-FRBNPK-ET-CVR-75X33X06</t>
  </si>
  <si>
    <t>28D-PU-FOAM-74.50X32.50X10MM</t>
  </si>
  <si>
    <t>RTHTMTPKMFET75X39X06</t>
  </si>
  <si>
    <t>OEFRPKSR74X38X110</t>
  </si>
  <si>
    <t>SFG-FRPKET-MEM-BOR-75X39X06</t>
  </si>
  <si>
    <t>SFG-FRBNPK-ET-CVR-75X39X06</t>
  </si>
  <si>
    <t>28D-PU-FOAM-74.50X38.50X10MM</t>
  </si>
  <si>
    <t>RTHTMTPKMFET75X45X06</t>
  </si>
  <si>
    <t>OEFRPKSR74X44X110</t>
  </si>
  <si>
    <t>SFG-FRPKET-MEM-BOR-75X45X06</t>
  </si>
  <si>
    <t>SFG-FRBNPK-ET-CVR-75X45X06</t>
  </si>
  <si>
    <t>28D-PU-FOAM-74.50X44.50X10MM</t>
  </si>
  <si>
    <t>RTHTMTPKMFET75X51X06</t>
  </si>
  <si>
    <t>OEFRPKSR74X50X110</t>
  </si>
  <si>
    <t>SFG-FRPKET-MEM-BOR-75X51X06</t>
  </si>
  <si>
    <t>SFG-FRBNPK-ET-CVR-75X51X06</t>
  </si>
  <si>
    <t>28D-PU-FOAM-74.50X50.50X10MM</t>
  </si>
  <si>
    <t>RTHTMTPKMFET75X54X06</t>
  </si>
  <si>
    <t>OEFRPKSR74X53X110</t>
  </si>
  <si>
    <t>SFG-FRPKET-MEM-BOR-75X54X06</t>
  </si>
  <si>
    <t>SFG-FRBNPK-ET-CVR-75X54X06</t>
  </si>
  <si>
    <t>28D-PU-FOAM-74.50X53.50X10MM</t>
  </si>
  <si>
    <t>RTHTMTPKMFET75X57X06</t>
  </si>
  <si>
    <t>OEFRPKSR74X56X110</t>
  </si>
  <si>
    <t>SFG-FRPKET-MEM-BOR-75X57X06</t>
  </si>
  <si>
    <t>SFG-FRBNPK-ET-CVR-75X57X06</t>
  </si>
  <si>
    <t>28D-PU-FOAM-74.50X56.50X10MM</t>
  </si>
  <si>
    <t>RTHTMTPKMFET75X63X06</t>
  </si>
  <si>
    <t>OEFRPKSR74X62X110</t>
  </si>
  <si>
    <t>SFG-FRPKET-MEM-BOR-75X63X06</t>
  </si>
  <si>
    <t>SFG-FRBNPK-ET-CVR-75X63X06</t>
  </si>
  <si>
    <t>28D-PU-FOAM-74.50X62.50X10MM</t>
  </si>
  <si>
    <t>RTHTMTPKMFET75X69X06</t>
  </si>
  <si>
    <t>OEFRPKSR74X68X110</t>
  </si>
  <si>
    <t>SFG-FRPKET-MEM-BOR-75X69X06</t>
  </si>
  <si>
    <t>SFG-FRBNPK-ET-CVR-75X69X06</t>
  </si>
  <si>
    <t>28D-PU-FOAM-74.50X68.50X10MM</t>
  </si>
  <si>
    <t>RTHTMTPKMFET78X33X06</t>
  </si>
  <si>
    <t>OEFRPKSR77X32X110</t>
  </si>
  <si>
    <t>SFG-FRPKET-MEM-BOR-78X33X06</t>
  </si>
  <si>
    <t>SFG-FRBNPK-ET-CVR-78X33X06</t>
  </si>
  <si>
    <t>28D-PU-FOAM-77.50X32.50X10MM</t>
  </si>
  <si>
    <t>RTHTMTPKMFET78X39X06</t>
  </si>
  <si>
    <t>OEFRPKSR77X38X110</t>
  </si>
  <si>
    <t>SFG-FRPKET-MEM-BOR-78X39X06</t>
  </si>
  <si>
    <t>SFG-FRBNPK-ET-CVR-78X39X06</t>
  </si>
  <si>
    <t>28D-PU-FOAM-77.50X38.50X10MM</t>
  </si>
  <si>
    <t>RTHTMTPKMFET78X45X06</t>
  </si>
  <si>
    <t>OEFRPKSR77X44X110</t>
  </si>
  <si>
    <t>SFG-FRPKET-MEM-BOR-78X45X06</t>
  </si>
  <si>
    <t>SFG-FRBNPK-ET-CVR-78X45X06</t>
  </si>
  <si>
    <t>28D-PU-FOAM-77.50X44.50X10MM</t>
  </si>
  <si>
    <t>RTHTMTPKMFET78X51X06</t>
  </si>
  <si>
    <t>OEFRPKSR77X50X110</t>
  </si>
  <si>
    <t>SFG-FRPKET-MEM-BOR-78X51X06</t>
  </si>
  <si>
    <t>SFG-FRBNPK-ET-CVR-78X51X06</t>
  </si>
  <si>
    <t>28D-PU-FOAM-77.50X50.50X10MM</t>
  </si>
  <si>
    <t>RTHTMTPKMFET78X54X06</t>
  </si>
  <si>
    <t>OEFRPKSR77X53X110</t>
  </si>
  <si>
    <t>SFG-FRPKET-MEM-BOR-78X54X06</t>
  </si>
  <si>
    <t>SFG-FRBNPK-ET-CVR-78X54X06</t>
  </si>
  <si>
    <t>28D-PU-FOAM-77.50X53.50X10MM</t>
  </si>
  <si>
    <t>RTHTMTPKMFET78X57X06</t>
  </si>
  <si>
    <t>OEFRPKSR77X56X110</t>
  </si>
  <si>
    <t>SFG-FRPKET-MEM-BOR-78X57X06</t>
  </si>
  <si>
    <t>SFG-FRBNPK-ET-CVR-78X57X06</t>
  </si>
  <si>
    <t>28D-PU-FOAM-77.50X56.50X10MM</t>
  </si>
  <si>
    <t>RTHTMTPKMFET78X63X06</t>
  </si>
  <si>
    <t>OEFRPKSR77X62X110</t>
  </si>
  <si>
    <t>SFG-FRPKET-MEM-BOR-78X63X06</t>
  </si>
  <si>
    <t>SFG-FRBNPK-ET-CVR-78X63X06</t>
  </si>
  <si>
    <t>28D-PU-FOAM-77.50X62.50X10MM</t>
  </si>
  <si>
    <t>RTHTMTPKMFET78X69X06</t>
  </si>
  <si>
    <t>OEFRPKSR77X68X110</t>
  </si>
  <si>
    <t>SFG-FRPKET-MEM-BOR-78X69X06</t>
  </si>
  <si>
    <t>SFG-FRBNPK-ET-CVR-78X69X06</t>
  </si>
  <si>
    <t>28D-PU-FOAM-77.50X68.50X10MM</t>
  </si>
  <si>
    <t>RTHTMTPKMFET80X33X06</t>
  </si>
  <si>
    <t>OEFRPKSR79X32X110</t>
  </si>
  <si>
    <t>SFG-FRPKET-MEM-BOR-80X33X06</t>
  </si>
  <si>
    <t>SFG-FRBNPK-ET-CVR-80X33X06</t>
  </si>
  <si>
    <t>28D-PU-FOAM-79.50X32.50X10MM</t>
  </si>
  <si>
    <t>RTHTMTPKMFET80X39X06</t>
  </si>
  <si>
    <t>OEFRPKSR79X38X110</t>
  </si>
  <si>
    <t>SFG-FRPKET-MEM-BOR-80X39X06</t>
  </si>
  <si>
    <t>SFG-FRBNPK-ET-CVR-80X39X06</t>
  </si>
  <si>
    <t>28D-PU-FOAM-79.50X38.50X10MM</t>
  </si>
  <si>
    <t>RTHTMTPKMFET80X45X06</t>
  </si>
  <si>
    <t>OEFRPKSR79X44X110</t>
  </si>
  <si>
    <t>SFG-FRPKET-MEM-BOR-80X45X06</t>
  </si>
  <si>
    <t>SFG-FRBNPK-ET-CVR-80X45X06</t>
  </si>
  <si>
    <t>28D-PU-FOAM-79.50X44.50X10MM</t>
  </si>
  <si>
    <t>RTHTMTPKMFET80X51X06</t>
  </si>
  <si>
    <t>OEFRPKSR79X50X110</t>
  </si>
  <si>
    <t>SFG-FRPKET-MEM-BOR-80X51X06</t>
  </si>
  <si>
    <t>SFG-FRBNPK-ET-CVR-80X51X06</t>
  </si>
  <si>
    <t>28D-PU-FOAM-79.50X50.50X10MM</t>
  </si>
  <si>
    <t>RTHTMTPKMFET80X54X06</t>
  </si>
  <si>
    <t>OEFRPKSR79X53X110</t>
  </si>
  <si>
    <t>SFG-FRPKET-MEM-BOR-80X54X06</t>
  </si>
  <si>
    <t>SFG-FRBNPK-ET-CVR-80X54X06</t>
  </si>
  <si>
    <t>28D-PU-FOAM-79.50X53.50X10MM</t>
  </si>
  <si>
    <t>RTHTMTPKMFET80X57X06</t>
  </si>
  <si>
    <t>OEFRPKSR79X56X110</t>
  </si>
  <si>
    <t>SFG-FRPKET-MEM-BOR-80X57X06</t>
  </si>
  <si>
    <t>SFG-FRBNPK-ET-CVR-80X57X06</t>
  </si>
  <si>
    <t>28D-PU-FOAM-79.50X56.50X10MM</t>
  </si>
  <si>
    <t>RTHTMTPKMFET80X63X06</t>
  </si>
  <si>
    <t>OEFRPKSR79X62X110</t>
  </si>
  <si>
    <t>SFG-FRPKET-MEM-BOR-80X63X06</t>
  </si>
  <si>
    <t>SFG-FRBNPK-ET-CVR-80X63X06</t>
  </si>
  <si>
    <t>28D-PU-FOAM-79.50X62.50X10MM</t>
  </si>
  <si>
    <t>RTHTMTPKMFET80X69X06</t>
  </si>
  <si>
    <t>OEFRPKSR79X68X110</t>
  </si>
  <si>
    <t>SFG-FRPKET-MEM-BOR-80X69X06</t>
  </si>
  <si>
    <t>SFG-FRBNPK-ET-CVR-80X69X06</t>
  </si>
  <si>
    <t>28D-PU-FOAM-79.50X68.50X10MM</t>
  </si>
  <si>
    <t>RTHTMTPKMFET84X33X06</t>
  </si>
  <si>
    <t>OEFRPKSR83X32X110</t>
  </si>
  <si>
    <t>SFG-FRPKET-MEM-BOR-84X33X06</t>
  </si>
  <si>
    <t>SFG-FRBNPK-ET-CVR-84X33X06</t>
  </si>
  <si>
    <t>28D-PU-FOAM-83.50X32.50X10MM</t>
  </si>
  <si>
    <t>RTHTMTPKMFET84X39X06</t>
  </si>
  <si>
    <t>OEFRPKSR83X38X110</t>
  </si>
  <si>
    <t>SFG-FRPKET-MEM-BOR-84X39X06</t>
  </si>
  <si>
    <t>SFG-FRBNPK-ET-CVR-84X39X06</t>
  </si>
  <si>
    <t>28D-PU-FOAM-83.50X38.50X10MM</t>
  </si>
  <si>
    <t>RTHTMTPKMFET84X45X06</t>
  </si>
  <si>
    <t>OEFRPKSR83X44X110</t>
  </si>
  <si>
    <t>SFG-FRPKET-MEM-BOR-84X45X06</t>
  </si>
  <si>
    <t>SFG-FRBNPK-ET-CVR-84X45X06</t>
  </si>
  <si>
    <t>28D-PU-FOAM-83.50X44.50X10MM</t>
  </si>
  <si>
    <t>RTHTMTPKMFET84X51X06</t>
  </si>
  <si>
    <t>OEFRPKSR83X50X110</t>
  </si>
  <si>
    <t>SFG-FRPKET-MEM-BOR-84X51X06</t>
  </si>
  <si>
    <t>SFG-FRBNPK-ET-CVR-84X51X06</t>
  </si>
  <si>
    <t>28D-PU-FOAM-83.50X50.50X10MM</t>
  </si>
  <si>
    <t>RTHTMTPKMFET84X54X06</t>
  </si>
  <si>
    <t>OEFRPKSR83X53X110</t>
  </si>
  <si>
    <t>SFG-FRPKET-MEM-BOR-84X54X06</t>
  </si>
  <si>
    <t>SFG-FRBNPK-ET-CVR-84X54X06</t>
  </si>
  <si>
    <t>28D-PU-FOAM-83.50X53.50X10MM</t>
  </si>
  <si>
    <t>RTHTMTPKMFET84X57X06</t>
  </si>
  <si>
    <t>OEFRPKSR83X56X110</t>
  </si>
  <si>
    <t>SFG-FRPKET-MEM-BOR-84X57X06</t>
  </si>
  <si>
    <t>SFG-FRBNPK-ET-CVR-84X57X06</t>
  </si>
  <si>
    <t>28D-PU-FOAM-83.50X56.50X10MM</t>
  </si>
  <si>
    <t>RTHTMTPKMFET84X63X06</t>
  </si>
  <si>
    <t>OEFRPKSR83X62X110</t>
  </si>
  <si>
    <t>SFG-FRPKET-MEM-BOR-84X63X06</t>
  </si>
  <si>
    <t>SFG-FRBNPK-ET-CVR-84X63X06</t>
  </si>
  <si>
    <t>28D-PU-FOAM-83.50X62.50X10MM</t>
  </si>
  <si>
    <t>RTHTMTPKMFET84X69X06</t>
  </si>
  <si>
    <t>OEFRPKSR83X68X110</t>
  </si>
  <si>
    <t>SFG-FRPKET-MEM-BOR-84X69X06</t>
  </si>
  <si>
    <t>SFG-FRBNPK-ET-CVR-84X69X06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</si>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</sst>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3" sqref="E2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RTHTMTPKMFET75X36X06</v>
      </c>
      <c r="E2" s="1" t="str">
        <f>"OEFRPKSR"&amp;(K2-1)&amp;"X"&amp;(L2-1)&amp;"X"&amp;IF(M2=6,"110",IF(M2=8,"160",IF(M2=10,"200",0)))</f>
        <v>OEFRPKSR74X35X110</v>
      </c>
      <c r="F2" s="39" t="s">
        <v>11</v>
      </c>
      <c r="G2" s="40">
        <v>1</v>
      </c>
      <c r="H2" s="40">
        <f t="shared" ref="H2:H23" si="0">ROUND(G2,3)</f>
        <v>1</v>
      </c>
      <c r="I2" s="20" t="s">
        <v>22</v>
      </c>
      <c r="J2" s="5"/>
      <c r="K2" s="6">
        <v>75</v>
      </c>
      <c r="L2" s="6">
        <v>36</v>
      </c>
      <c r="M2" s="35">
        <v>6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6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23" si="1">"RTHTMTPKMFET"&amp;$K$2&amp;"X"&amp;$L$2&amp;"X"&amp;IF($M$2=10,$M$2,"0"&amp;$M$2)</f>
        <v>RTHTMTPKMFET75X36X06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41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40">
        <f>ROUND(G3,3)</f>
        <v>3.3980000000000001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6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RTHTMTPKMFET75X36X06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40">
        <f>ROUND(G4,3)</f>
        <v>0</v>
      </c>
      <c r="I4" s="8" t="s">
        <v>15</v>
      </c>
      <c r="J4" s="12"/>
      <c r="O4" s="18"/>
      <c r="R4" s="32" t="s">
        <v>112</v>
      </c>
      <c r="S4" s="32" t="s">
        <v>115</v>
      </c>
      <c r="T4" s="32">
        <v>6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RTHTMTPKMFET75X36X06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40">
        <f>ROUND(G5,3)</f>
        <v>2E-3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6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RTHTMTPKMFET75X36X06</v>
      </c>
      <c r="E6" s="21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40">
        <f>ROUND(G6,3)</f>
        <v>24</v>
      </c>
      <c r="I6" s="8" t="s">
        <v>15</v>
      </c>
      <c r="J6" s="12"/>
      <c r="R6" s="32" t="s">
        <v>112</v>
      </c>
      <c r="S6" s="32" t="s">
        <v>117</v>
      </c>
      <c r="T6" s="32">
        <v>6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RTHTMTPKMFET75X36X06</v>
      </c>
      <c r="E7" s="19" t="s">
        <v>131</v>
      </c>
      <c r="F7" s="11" t="s">
        <v>18</v>
      </c>
      <c r="G7" s="10">
        <f>IF(K2&lt;79,(L2+1),(K2+1))*0.0254</f>
        <v>0.93979999999999997</v>
      </c>
      <c r="H7" s="40">
        <f>ROUND(G7,3)</f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6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RTHTMTPKMFET75X36X06</v>
      </c>
      <c r="E8" s="19" t="str">
        <f>"SFG-FRPKET-MEM-BOR-"&amp;K2&amp;"X"&amp;L2&amp;"X"&amp;IF(M2=10,10,"0"&amp;M2)</f>
        <v>SFG-FRPKET-MEM-BOR-75X36X06</v>
      </c>
      <c r="F8" s="11" t="s">
        <v>11</v>
      </c>
      <c r="G8" s="10">
        <v>1</v>
      </c>
      <c r="H8" s="40">
        <f>ROUND(G8,3)</f>
        <v>1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6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RTHTMTPKMFET75X36X06</v>
      </c>
      <c r="E9" s="19" t="str">
        <f>"SFG-FRBNPK-ET-CVR-"&amp;K2&amp;"X"&amp;L2&amp;"X"&amp;IF(M2=10,10,"0"&amp;M2)</f>
        <v>SFG-FRBNPK-ET-CVR-75X36X06</v>
      </c>
      <c r="F9" s="11" t="s">
        <v>11</v>
      </c>
      <c r="G9" s="10">
        <v>1</v>
      </c>
      <c r="H9" s="40">
        <f>ROUND(G9,3)</f>
        <v>1</v>
      </c>
      <c r="I9" s="20" t="s">
        <v>22</v>
      </c>
      <c r="J9" s="12"/>
      <c r="K9" s="18"/>
      <c r="L9" s="18"/>
      <c r="M9" s="18"/>
      <c r="N9" s="18"/>
      <c r="O9" s="18"/>
      <c r="P9" s="23"/>
      <c r="Q9" s="18"/>
      <c r="R9" s="32" t="s">
        <v>112</v>
      </c>
      <c r="S9" s="32" t="s">
        <v>120</v>
      </c>
      <c r="T9" s="32">
        <v>6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RTHTMTPKMFET75X36X06</v>
      </c>
      <c r="E10" s="37" t="s">
        <v>132</v>
      </c>
      <c r="F10" s="11" t="s">
        <v>18</v>
      </c>
      <c r="G10" s="10">
        <f>IF(K2&lt;79,(L2+1),(K2+1))*0.0254</f>
        <v>0.93979999999999997</v>
      </c>
      <c r="H10" s="40">
        <f>ROUND(G10,3)</f>
        <v>0.94</v>
      </c>
      <c r="I10" s="20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6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RTHTMTPKMFET75X36X06</v>
      </c>
      <c r="E11" s="9" t="s">
        <v>125</v>
      </c>
      <c r="F11" s="11" t="s">
        <v>126</v>
      </c>
      <c r="G11" s="10">
        <f>((K2-0.5)*(L2-0.5)/144)*0.00729*2</f>
        <v>0.26778093749999998</v>
      </c>
      <c r="H11" s="40">
        <f>ROUND(G11,3)</f>
        <v>0.26800000000000002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2" t="s">
        <v>121</v>
      </c>
      <c r="S11" s="32" t="s">
        <v>114</v>
      </c>
      <c r="T11" s="32">
        <v>6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RTHTMTPKMFET75X36X06</v>
      </c>
      <c r="E12" s="38" t="s">
        <v>127</v>
      </c>
      <c r="F12" s="15" t="s">
        <v>18</v>
      </c>
      <c r="G12" s="10">
        <f>(K2+L2+4)*2*0.0254*3</f>
        <v>17.526</v>
      </c>
      <c r="H12" s="40">
        <f>ROUND(G12,3)</f>
        <v>17.526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6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RTHTMTPKMFET75X36X06</v>
      </c>
      <c r="E13" s="38" t="s">
        <v>25</v>
      </c>
      <c r="F13" s="15" t="s">
        <v>18</v>
      </c>
      <c r="G13" s="10">
        <f>(K2+L2+4)*2*0.0254*(4.73+1.42)*3</f>
        <v>107.78489999999999</v>
      </c>
      <c r="H13" s="40">
        <f>ROUND(G13,3)</f>
        <v>107.785</v>
      </c>
      <c r="I13" s="8" t="s">
        <v>15</v>
      </c>
      <c r="J13" s="12"/>
      <c r="K13" s="22"/>
      <c r="R13" s="32" t="s">
        <v>121</v>
      </c>
      <c r="S13" s="32" t="s">
        <v>116</v>
      </c>
      <c r="T13" s="32">
        <v>6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RTHTMTPKMFET75X36X06</v>
      </c>
      <c r="E14" s="38" t="str">
        <f>IF(M2=6,"RML-CS-PL-6.5""",IF(M2=8,"RML-CS-PL-8.5",IF(M2=10,"RML-CS-PL-10.5",IF(M2=12,"RML-CS-PL-12.25"))))</f>
        <v>RML-CS-PL-6.5"</v>
      </c>
      <c r="F14" s="15" t="s">
        <v>11</v>
      </c>
      <c r="G14" s="10">
        <v>4</v>
      </c>
      <c r="H14" s="40">
        <f>ROUND(G14,3)</f>
        <v>4</v>
      </c>
      <c r="I14" s="8" t="s">
        <v>15</v>
      </c>
      <c r="J14" s="12"/>
      <c r="M14" s="22"/>
      <c r="O14" s="22"/>
      <c r="R14" s="32" t="s">
        <v>121</v>
      </c>
      <c r="S14" s="32" t="s">
        <v>117</v>
      </c>
      <c r="T14" s="32">
        <v>6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RTHTMTPKMFET75X36X06</v>
      </c>
      <c r="E15" s="38" t="s">
        <v>29</v>
      </c>
      <c r="F15" s="15" t="s">
        <v>11</v>
      </c>
      <c r="G15" s="10">
        <v>1</v>
      </c>
      <c r="H15" s="40">
        <f>ROUND(G15,3)</f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6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RTHTMTPKMFET75X36X06</v>
      </c>
      <c r="E16" s="38" t="s">
        <v>30</v>
      </c>
      <c r="F16" s="15" t="s">
        <v>11</v>
      </c>
      <c r="G16" s="14">
        <v>1</v>
      </c>
      <c r="H16" s="40">
        <f>ROUND(G16,3)</f>
        <v>1</v>
      </c>
      <c r="I16" s="8" t="s">
        <v>15</v>
      </c>
      <c r="J16" s="12"/>
      <c r="M16" s="22"/>
      <c r="N16"/>
      <c r="O16"/>
      <c r="R16" s="32" t="s">
        <v>121</v>
      </c>
      <c r="S16" s="32" t="s">
        <v>119</v>
      </c>
      <c r="T16" s="32">
        <v>6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RTHTMTPKMFET75X36X06</v>
      </c>
      <c r="E17" s="9" t="s">
        <v>31</v>
      </c>
      <c r="F17" s="11" t="s">
        <v>11</v>
      </c>
      <c r="G17" s="14">
        <v>1</v>
      </c>
      <c r="H17" s="40">
        <f>ROUND(G17,3)</f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6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RTHTMTPKMFET75X36X06</v>
      </c>
      <c r="E18" s="9" t="s">
        <v>133</v>
      </c>
      <c r="F18" s="11" t="s">
        <v>14</v>
      </c>
      <c r="G18" s="10">
        <f>IF(K2&lt;79,((L2*2)+(M2*2)+4),((K2*2)+(M2*2)+4))*0.0254*89.5*0.0254*0.00009*1300</f>
        <v>0.59450977871999999</v>
      </c>
      <c r="H18" s="40">
        <f>ROUND(G18,3)</f>
        <v>0.59499999999999997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6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RTHTMTPKMFET75X36X06</v>
      </c>
      <c r="E19" s="42" t="str">
        <f>"25D-HXA-CONV-FM-"&amp;(K2-0.5)&amp;"0"&amp;"X"&amp;(L2-0.5)&amp;"0"&amp;"X25MM"</f>
        <v>25D-HXA-CONV-FM-74.50X35.50X25MM</v>
      </c>
      <c r="F19" s="8" t="s">
        <v>11</v>
      </c>
      <c r="G19" s="14">
        <v>1</v>
      </c>
      <c r="H19" s="40">
        <f>ROUND(G19,3)</f>
        <v>1</v>
      </c>
      <c r="I19" s="20" t="s">
        <v>22</v>
      </c>
      <c r="J19" s="12"/>
      <c r="N19"/>
      <c r="O19"/>
      <c r="R19" s="32" t="s">
        <v>122</v>
      </c>
      <c r="S19" s="32" t="s">
        <v>114</v>
      </c>
      <c r="T19" s="32">
        <v>6</v>
      </c>
      <c r="U19" s="33" t="s">
        <v>129</v>
      </c>
    </row>
    <row r="20" spans="1:21" x14ac:dyDescent="0.25">
      <c r="J20" s="12"/>
      <c r="N20" s="31"/>
      <c r="O20"/>
      <c r="R20" s="32" t="s">
        <v>122</v>
      </c>
      <c r="S20" s="32" t="s">
        <v>115</v>
      </c>
      <c r="T20" s="32">
        <v>6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6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6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6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6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6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6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6</v>
      </c>
      <c r="U27" s="33" t="s">
        <v>129</v>
      </c>
    </row>
    <row r="28" spans="1:21" x14ac:dyDescent="0.25">
      <c r="E28" s="22"/>
      <c r="I28" s="22"/>
      <c r="M28" s="22"/>
      <c r="N28"/>
      <c r="O28"/>
      <c r="R28" s="32" t="s">
        <v>123</v>
      </c>
      <c r="S28" s="32" t="s">
        <v>115</v>
      </c>
      <c r="T28" s="32">
        <v>6</v>
      </c>
      <c r="U28" s="33" t="s">
        <v>129</v>
      </c>
    </row>
    <row r="29" spans="1:21" x14ac:dyDescent="0.25">
      <c r="E29" s="22"/>
      <c r="N29"/>
      <c r="O29"/>
      <c r="R29" s="32" t="s">
        <v>123</v>
      </c>
      <c r="S29" s="32" t="s">
        <v>116</v>
      </c>
      <c r="T29" s="32">
        <v>6</v>
      </c>
      <c r="U29" s="33" t="s">
        <v>129</v>
      </c>
    </row>
    <row r="30" spans="1:21" x14ac:dyDescent="0.25">
      <c r="H30" s="22"/>
      <c r="N30"/>
      <c r="O30"/>
      <c r="R30" s="32" t="s">
        <v>123</v>
      </c>
      <c r="S30" s="32" t="s">
        <v>117</v>
      </c>
      <c r="T30" s="32">
        <v>6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6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6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6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6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6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6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6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6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6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6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6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0.55400000000000005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131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132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133</v>
      </c>
      <c r="E42" t="s">
        <v>14</v>
      </c>
      <c r="F42">
        <v>0.63500000000000001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131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132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133</v>
      </c>
      <c r="E63" t="s">
        <v>14</v>
      </c>
      <c r="F63">
        <v>0.71599999999999997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131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132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133</v>
      </c>
      <c r="E84" t="s">
        <v>14</v>
      </c>
      <c r="F84">
        <v>0.79700000000000004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131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132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133</v>
      </c>
      <c r="E105" t="s">
        <v>14</v>
      </c>
      <c r="F105">
        <v>0.83799999999999997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131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132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133</v>
      </c>
      <c r="E126" t="s">
        <v>14</v>
      </c>
      <c r="F126">
        <v>0.878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131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132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133</v>
      </c>
      <c r="E147" t="s">
        <v>14</v>
      </c>
      <c r="F147">
        <v>0.95899999999999996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131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132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133</v>
      </c>
      <c r="E168" t="s">
        <v>14</v>
      </c>
      <c r="F168">
        <v>1.04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131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132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133</v>
      </c>
      <c r="E189" t="s">
        <v>14</v>
      </c>
      <c r="F189">
        <v>0.55400000000000005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131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132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133</v>
      </c>
      <c r="E210" t="s">
        <v>14</v>
      </c>
      <c r="F210">
        <v>0.63500000000000001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131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132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133</v>
      </c>
      <c r="E231" t="s">
        <v>14</v>
      </c>
      <c r="F231">
        <v>0.71599999999999997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131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132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133</v>
      </c>
      <c r="E252" t="s">
        <v>14</v>
      </c>
      <c r="F252">
        <v>0.79700000000000004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131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132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133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131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132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133</v>
      </c>
      <c r="E294" t="s">
        <v>14</v>
      </c>
      <c r="F294">
        <v>0.878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131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132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133</v>
      </c>
      <c r="E315" t="s">
        <v>14</v>
      </c>
      <c r="F315">
        <v>0.95899999999999996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131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132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133</v>
      </c>
      <c r="E336" t="s">
        <v>14</v>
      </c>
      <c r="F336">
        <v>1.04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131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132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133</v>
      </c>
      <c r="E357" t="s">
        <v>14</v>
      </c>
      <c r="F357">
        <v>0.55400000000000005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131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132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133</v>
      </c>
      <c r="E378" t="s">
        <v>14</v>
      </c>
      <c r="F378">
        <v>0.63500000000000001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131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132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133</v>
      </c>
      <c r="E399" t="s">
        <v>14</v>
      </c>
      <c r="F399">
        <v>0.71599999999999997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131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132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133</v>
      </c>
      <c r="E420" t="s">
        <v>14</v>
      </c>
      <c r="F420">
        <v>0.79700000000000004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131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132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133</v>
      </c>
      <c r="E441" t="s">
        <v>14</v>
      </c>
      <c r="F441">
        <v>0.83799999999999997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131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132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133</v>
      </c>
      <c r="E462" t="s">
        <v>14</v>
      </c>
      <c r="F462">
        <v>0.878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131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132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133</v>
      </c>
      <c r="E483" t="s">
        <v>14</v>
      </c>
      <c r="F483">
        <v>0.95899999999999996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131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132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133</v>
      </c>
      <c r="E504" t="s">
        <v>14</v>
      </c>
      <c r="F504">
        <v>1.04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131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132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133</v>
      </c>
      <c r="E525" t="s">
        <v>14</v>
      </c>
      <c r="F525">
        <v>1.1890000000000001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131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132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133</v>
      </c>
      <c r="E546" t="s">
        <v>14</v>
      </c>
      <c r="F546">
        <v>1.1890000000000001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131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132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133</v>
      </c>
      <c r="E567" t="s">
        <v>14</v>
      </c>
      <c r="F567">
        <v>1.1890000000000001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131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133</v>
      </c>
      <c r="E588" t="s">
        <v>14</v>
      </c>
      <c r="F588">
        <v>1.1890000000000001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131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132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133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131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132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133</v>
      </c>
      <c r="E630" t="s">
        <v>14</v>
      </c>
      <c r="F630">
        <v>1.1890000000000001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131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132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133</v>
      </c>
      <c r="E651" t="s">
        <v>14</v>
      </c>
      <c r="F651">
        <v>1.1890000000000001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131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132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133</v>
      </c>
      <c r="E673" t="s">
        <v>14</v>
      </c>
      <c r="F673">
        <v>1.1890000000000001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131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132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133</v>
      </c>
      <c r="E694" t="s">
        <v>14</v>
      </c>
      <c r="F694">
        <v>1.2430000000000001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131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132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133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131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132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133</v>
      </c>
      <c r="E736" t="s">
        <v>14</v>
      </c>
      <c r="F736">
        <v>1.2430000000000001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131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132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133</v>
      </c>
      <c r="E757" t="s">
        <v>14</v>
      </c>
      <c r="F757">
        <v>1.2430000000000001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131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132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133</v>
      </c>
      <c r="E778" t="s">
        <v>14</v>
      </c>
      <c r="F778">
        <v>1.2430000000000001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131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132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133</v>
      </c>
      <c r="E799" t="s">
        <v>14</v>
      </c>
      <c r="F799">
        <v>1.2430000000000001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131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132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133</v>
      </c>
      <c r="E820" t="s">
        <v>14</v>
      </c>
      <c r="F820">
        <v>1.2430000000000001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131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132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133</v>
      </c>
      <c r="E842" t="s">
        <v>14</v>
      </c>
      <c r="F842">
        <v>1.2430000000000001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25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5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25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5"/>
      <c r="B4" s="26" t="s">
        <v>58</v>
      </c>
      <c r="C4" s="26" t="s">
        <v>59</v>
      </c>
      <c r="D4" s="43" t="s">
        <v>60</v>
      </c>
      <c r="E4" s="26" t="s">
        <v>3</v>
      </c>
      <c r="F4" s="43" t="s">
        <v>61</v>
      </c>
      <c r="G4" s="26" t="s">
        <v>62</v>
      </c>
      <c r="H4" s="26" t="s">
        <v>6</v>
      </c>
      <c r="I4" s="26" t="s">
        <v>63</v>
      </c>
      <c r="J4" s="43" t="s">
        <v>64</v>
      </c>
      <c r="K4" s="43" t="s">
        <v>65</v>
      </c>
      <c r="L4" s="43" t="s">
        <v>66</v>
      </c>
      <c r="M4" s="27" t="s">
        <v>67</v>
      </c>
      <c r="N4" s="28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0.55400000000000005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131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132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0.63500000000000001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131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132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0.71599999999999997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131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132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0.79700000000000004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131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132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0.83799999999999997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131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132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0.878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131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132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0.95899999999999996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131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132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1.04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131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132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0.55400000000000005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131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132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0.63500000000000001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131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132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0.71599999999999997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131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132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0.79700000000000004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131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132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131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132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0.878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131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132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0.95899999999999996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131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132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1.04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131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132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0.55400000000000005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131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132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0.63500000000000001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131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132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0.71599999999999997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131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132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0.79700000000000004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131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132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0.83799999999999997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131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132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0.878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0.95899999999999996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131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132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1.04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131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132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1.1890000000000001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131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132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1.1890000000000001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131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132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1.1890000000000001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131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1.1890000000000001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131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132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131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132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1.1890000000000001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131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132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1.1890000000000001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131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132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1.1890000000000001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131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132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1.2430000000000001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131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132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131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132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1.2430000000000001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131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132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1.2430000000000001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131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132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1.2430000000000001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131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132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1.2430000000000001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131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132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1.2430000000000001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131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132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1.2430000000000001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2025-11-22T12:18:50Z</dcterms:modified>
</cp:coreProperties>
</file>