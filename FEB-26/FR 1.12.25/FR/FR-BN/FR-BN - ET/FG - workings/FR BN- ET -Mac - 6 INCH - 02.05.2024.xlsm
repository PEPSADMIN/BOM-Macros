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GURU\22.11.2025\FR-Macros-22.11.25\FR\FR-BN\FR-BN - E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3" l="1"/>
  <c r="G10" i="13"/>
  <c r="E2" i="13" l="1"/>
  <c r="E20" i="13"/>
  <c r="G6" i="13" l="1"/>
  <c r="G19" i="13" l="1"/>
  <c r="G5" i="13" l="1"/>
  <c r="G4" i="13" l="1"/>
  <c r="E4" i="13"/>
  <c r="H20" i="13"/>
  <c r="D20" i="13"/>
  <c r="H19" i="13"/>
  <c r="D19" i="13"/>
  <c r="H18" i="13"/>
  <c r="D18" i="13"/>
  <c r="H17" i="13"/>
  <c r="D17" i="13"/>
  <c r="H16" i="13"/>
  <c r="D16" i="13"/>
  <c r="H15" i="13"/>
  <c r="E15" i="13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H10" i="13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<sst xmlns="http://schemas.openxmlformats.org/spreadsheetml/2006/main" count="9610" uniqueCount="342">
  <si>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</si>
  <si>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</si>
  <si>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</si>
  <si>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</si>
  <si>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</si>
  <si>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</si>
  <si>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</si>
  <si>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</si>
  <si>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</si>
  <si>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</si>
  <si>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</si>
  <si>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</si>
  <si>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</si>
  <si>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</si>
  <si>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</si>
  <si>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</si>
  <si>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</si>
  <si>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</si>
  <si>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</si>
  <si>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</si>
  <si>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</si>
  <si>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</si>
  <si>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</si>
  <si>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</si>
  <si>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</si>
  <si>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</si>
  <si>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</si>
  <si>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</si>
  <si>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</si>
  <si>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</si>
  <si>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</si>
  <si>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</si>
  <si>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</si>
  <si>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</si>
  <si>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</si>
  <si>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</si>
  <si>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</si>
  <si>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</si>
  <si>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</si>
  <si>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</si>
  <si>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</si>
  <si>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</si>
  <si>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</si>
  <si>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</si>
  <si>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</si>
  <si>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</si>
  <si>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</si>
  <si>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</si>
  <si>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</si>
  <si>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</si>
  <si>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</si>
  <si>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</si>
  <si>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</si>
  <si>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</si>
  <si>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</si>
  <si>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</si>
  <si>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</si>
  <si>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</si>
  <si>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</si>
  <si>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</si>
  <si>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</si>
  <si>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</si>
  <si>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</si>
  <si>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</si>
  <si>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</si>
  <si>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</si>
  <si>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</si>
  <si>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</si>
  <si>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</si>
  <si>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</si>
  <si>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</si>
  <si>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</si>
  <si>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</si>
  <si>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</si>
  <si>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</si>
  <si>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</si>
  <si>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</si>
  <si>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</si>
  <si>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</si>
  <si>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</si>
  <si>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</si>
  <si>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</si>
  <si>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</si>
  <si>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</si>
  <si>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</si>
  <si>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</si>
  <si>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</si>
  <si>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</si>
  <si>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</si>
  <si>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</si>
  <si>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</si>
  <si>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</si>
  <si>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</si>
  <si>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</si>
  <si>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</si>
  <si>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</si>
  <si>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</si>
  <si>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</si>
  <si>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</si>
  <si>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</si>
  <si>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</si>
  <si>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</si>
  <si>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</si>
  <si>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</si>
  <si>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</si>
  <si>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</si>
  <si>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</si>
  <si>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</si>
  <si>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</si>
  <si>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</si>
  <si>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</si>
  <si>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</si>
  <si>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</si>
  <si>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</si>
  <si>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</si>
  <si>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</si>
  <si>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</si>
  <si>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</si>
  <si>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</si>
  <si>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</si>
  <si>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</si>
  <si>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</si>
  <si>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</si>
  <si>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</si>
  <si>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</si>
  <si>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</si>
  <si>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</si>
  <si>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</si>
  <si>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</si>
  <si>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</si>
  <si>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</si>
  <si>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</si>
  <si>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Hogring</t>
  </si>
  <si>
    <t>Border</t>
  </si>
  <si>
    <t>ET Cover</t>
  </si>
  <si>
    <t>Back panel</t>
  </si>
  <si>
    <t>SFG-RTHTMTRG-BONPOC-BP</t>
  </si>
  <si>
    <t>Sheet Foam 1 ET</t>
  </si>
  <si>
    <t>RMI-PVC-50</t>
  </si>
  <si>
    <t>RTHTMTBNET72X33X06</t>
  </si>
  <si>
    <t>OEFRBNSR71X32X100</t>
  </si>
  <si>
    <t>SFG-FRBNET-BOR-72X33X06</t>
  </si>
  <si>
    <t>SFG-FRBNPK-ET-CVR-72X33X06</t>
  </si>
  <si>
    <t>RML-CS-PL-6.5"</t>
  </si>
  <si>
    <t>23D-CONV-FOAM-71.50X32.50X15MM</t>
  </si>
  <si>
    <t>RTHTMTBNET72X39X06</t>
  </si>
  <si>
    <t>OEFRBNSR71X38X100</t>
  </si>
  <si>
    <t>SFG-FRBNET-BOR-72X39X06</t>
  </si>
  <si>
    <t>SFG-FRBNPK-ET-CVR-72X39X06</t>
  </si>
  <si>
    <t>23D-CONV-FOAM-71.50X38.50X15MM</t>
  </si>
  <si>
    <t>RTHTMTBNET72X45X06</t>
  </si>
  <si>
    <t>OEFRBNSR71X44X100</t>
  </si>
  <si>
    <t>SFG-FRBNET-BOR-72X45X06</t>
  </si>
  <si>
    <t>SFG-FRBNPK-ET-CVR-72X45X06</t>
  </si>
  <si>
    <t>23D-CONV-FOAM-71.50X44.50X15MM</t>
  </si>
  <si>
    <t>RTHTMTBNET72X51X06</t>
  </si>
  <si>
    <t>OEFRBNSR71X50X100</t>
  </si>
  <si>
    <t>SFG-FRBNET-BOR-72X51X06</t>
  </si>
  <si>
    <t>SFG-FRBNPK-ET-CVR-72X51X06</t>
  </si>
  <si>
    <t>23D-CONV-FOAM-71.50X50.50X15MM</t>
  </si>
  <si>
    <t>RTHTMTBNET72X54X06</t>
  </si>
  <si>
    <t>OEFRBNSR71X53X100</t>
  </si>
  <si>
    <t>SFG-FRBNET-BOR-72X54X06</t>
  </si>
  <si>
    <t>SFG-FRBNPK-ET-CVR-72X54X06</t>
  </si>
  <si>
    <t>23D-CONV-FOAM-71.50X53.50X15MM</t>
  </si>
  <si>
    <t>RTHTMTBNET72X57X06</t>
  </si>
  <si>
    <t>OEFRBNSR71X56X100</t>
  </si>
  <si>
    <t>SFG-FRBNET-BOR-72X57X06</t>
  </si>
  <si>
    <t>SFG-FRBNPK-ET-CVR-72X57X06</t>
  </si>
  <si>
    <t>23D-CONV-FOAM-71.50X56.50X15MM</t>
  </si>
  <si>
    <t>RTHTMTBNET72X63X06</t>
  </si>
  <si>
    <t>OEFRBNSR71X62X100</t>
  </si>
  <si>
    <t>SFG-FRBNET-BOR-72X63X06</t>
  </si>
  <si>
    <t>SFG-FRBNPK-ET-CVR-72X63X06</t>
  </si>
  <si>
    <t>23D-CONV-FOAM-71.50X62.50X15MM</t>
  </si>
  <si>
    <t>RTHTMTBNET72X69X06</t>
  </si>
  <si>
    <t>OEFRBNSR71X68X100</t>
  </si>
  <si>
    <t>SFG-FRBNET-BOR-72X69X06</t>
  </si>
  <si>
    <t>SFG-FRBNPK-ET-CVR-72X69X06</t>
  </si>
  <si>
    <t>23D-CONV-FOAM-71.50X68.50X15MM</t>
  </si>
  <si>
    <t>RTHTMTBNET75X33X06</t>
  </si>
  <si>
    <t>OEFRBNSR74X32X100</t>
  </si>
  <si>
    <t>SFG-FRBNET-BOR-75X33X06</t>
  </si>
  <si>
    <t>SFG-FRBNPK-ET-CVR-75X33X06</t>
  </si>
  <si>
    <t>23D-CONV-FOAM-74.50X32.50X15MM</t>
  </si>
  <si>
    <t>RTHTMTBNET75X39X06</t>
  </si>
  <si>
    <t>OEFRBNSR74X38X100</t>
  </si>
  <si>
    <t>SFG-FRBNET-BOR-75X39X06</t>
  </si>
  <si>
    <t>SFG-FRBNPK-ET-CVR-75X39X06</t>
  </si>
  <si>
    <t>23D-CONV-FOAM-74.50X38.50X15MM</t>
  </si>
  <si>
    <t>RTHTMTBNET75X45X06</t>
  </si>
  <si>
    <t>OEFRBNSR74X44X100</t>
  </si>
  <si>
    <t>SFG-FRBNET-BOR-75X45X06</t>
  </si>
  <si>
    <t>SFG-FRBNPK-ET-CVR-75X45X06</t>
  </si>
  <si>
    <t>23D-CONV-FOAM-74.50X44.50X15MM</t>
  </si>
  <si>
    <t>RTHTMTBNET75X51X06</t>
  </si>
  <si>
    <t>OEFRBNSR74X50X100</t>
  </si>
  <si>
    <t>SFG-FRBNET-BOR-75X51X06</t>
  </si>
  <si>
    <t>SFG-FRBNPK-ET-CVR-75X51X06</t>
  </si>
  <si>
    <t>23D-CONV-FOAM-74.50X50.50X15MM</t>
  </si>
  <si>
    <t>RTHTMTBNET75X54X06</t>
  </si>
  <si>
    <t>OEFRBNSR74X53X100</t>
  </si>
  <si>
    <t>SFG-FRBNET-BOR-75X54X06</t>
  </si>
  <si>
    <t>SFG-FRBNPK-ET-CVR-75X54X06</t>
  </si>
  <si>
    <t>23D-CONV-FOAM-74.50X53.50X15MM</t>
  </si>
  <si>
    <t>RTHTMTBNET75X57X06</t>
  </si>
  <si>
    <t>OEFRBNSR74X56X100</t>
  </si>
  <si>
    <t>SFG-FRBNET-BOR-75X57X06</t>
  </si>
  <si>
    <t>SFG-FRBNPK-ET-CVR-75X57X06</t>
  </si>
  <si>
    <t>23D-CONV-FOAM-74.50X56.50X15MM</t>
  </si>
  <si>
    <t>RTHTMTBNET75X63X06</t>
  </si>
  <si>
    <t>OEFRBNSR74X62X100</t>
  </si>
  <si>
    <t>SFG-FRBNET-BOR-75X63X06</t>
  </si>
  <si>
    <t>SFG-FRBNPK-ET-CVR-75X63X06</t>
  </si>
  <si>
    <t>23D-CONV-FOAM-74.50X62.50X15MM</t>
  </si>
  <si>
    <t>RTHTMTBNET75X69X06</t>
  </si>
  <si>
    <t>OEFRBNSR74X68X100</t>
  </si>
  <si>
    <t>SFG-FRBNET-BOR-75X69X06</t>
  </si>
  <si>
    <t>SFG-FRBNPK-ET-CVR-75X69X06</t>
  </si>
  <si>
    <t>23D-CONV-FOAM-74.50X68.50X15MM</t>
  </si>
  <si>
    <t>RTHTMTBNET78X33X06</t>
  </si>
  <si>
    <t>OEFRBNSR77X32X100</t>
  </si>
  <si>
    <t>SFG-FRBNET-BOR-78X33X06</t>
  </si>
  <si>
    <t>SFG-FRBNPK-ET-CVR-78X33X06</t>
  </si>
  <si>
    <t>23D-CONV-FOAM-77.50X32.50X15MM</t>
  </si>
  <si>
    <t>RTHTMTBNET78X39X06</t>
  </si>
  <si>
    <t>OEFRBNSR77X38X100</t>
  </si>
  <si>
    <t>SFG-FRBNET-BOR-78X39X06</t>
  </si>
  <si>
    <t>SFG-FRBNPK-ET-CVR-78X39X06</t>
  </si>
  <si>
    <t>23D-CONV-FOAM-77.50X38.50X15MM</t>
  </si>
  <si>
    <t>RTHTMTBNET78X45X06</t>
  </si>
  <si>
    <t>OEFRBNSR77X44X100</t>
  </si>
  <si>
    <t>SFG-FRBNET-BOR-78X45X06</t>
  </si>
  <si>
    <t>SFG-FRBNPK-ET-CVR-78X45X06</t>
  </si>
  <si>
    <t>23D-CONV-FOAM-77.50X44.50X15MM</t>
  </si>
  <si>
    <t>RTHTMTBNET78X51X06</t>
  </si>
  <si>
    <t>OEFRBNSR77X50X100</t>
  </si>
  <si>
    <t>SFG-FRBNET-BOR-78X51X06</t>
  </si>
  <si>
    <t>SFG-FRBNPK-ET-CVR-78X51X06</t>
  </si>
  <si>
    <t>23D-CONV-FOAM-77.50X50.50X15MM</t>
  </si>
  <si>
    <t>RTHTMTBNET78X54X06</t>
  </si>
  <si>
    <t>OEFRBNSR77X53X100</t>
  </si>
  <si>
    <t>SFG-FRBNET-BOR-78X54X06</t>
  </si>
  <si>
    <t>SFG-FRBNPK-ET-CVR-78X54X06</t>
  </si>
  <si>
    <t>23D-CONV-FOAM-77.50X53.50X15MM</t>
  </si>
  <si>
    <t>RTHTMTBNET78X57X06</t>
  </si>
  <si>
    <t>OEFRBNSR77X56X100</t>
  </si>
  <si>
    <t>SFG-FRBNET-BOR-78X57X06</t>
  </si>
  <si>
    <t>SFG-FRBNPK-ET-CVR-78X57X06</t>
  </si>
  <si>
    <t>23D-CONV-FOAM-77.50X56.50X15MM</t>
  </si>
  <si>
    <t>RTHTMTBNET78X63X06</t>
  </si>
  <si>
    <t>OEFRBNSR77X62X100</t>
  </si>
  <si>
    <t>SFG-FRBNET-BOR-78X63X06</t>
  </si>
  <si>
    <t>SFG-FRBNPK-ET-CVR-78X63X06</t>
  </si>
  <si>
    <t>23D-CONV-FOAM-77.50X62.50X15MM</t>
  </si>
  <si>
    <t>RTHTMTBNET78X69X06</t>
  </si>
  <si>
    <t>OEFRBNSR77X68X100</t>
  </si>
  <si>
    <t>SFG-FRBNET-BOR-78X69X06</t>
  </si>
  <si>
    <t>SFG-FRBNPK-ET-CVR-78X69X06</t>
  </si>
  <si>
    <t>23D-CONV-FOAM-77.50X68.50X15MM</t>
  </si>
  <si>
    <t>RTHTMTBNET80X33X06</t>
  </si>
  <si>
    <t>OEFRBNSR79X32X100</t>
  </si>
  <si>
    <t>SFG-FRBNET-BOR-80X33X06</t>
  </si>
  <si>
    <t>SFG-FRBNPK-ET-CVR-80X33X06</t>
  </si>
  <si>
    <t>23D-CONV-FOAM-79.50X32.50X15MM</t>
  </si>
  <si>
    <t>RTHTMTBNET80X39X06</t>
  </si>
  <si>
    <t>OEFRBNSR79X38X100</t>
  </si>
  <si>
    <t>SFG-FRBNET-BOR-80X39X06</t>
  </si>
  <si>
    <t>SFG-FRBNPK-ET-CVR-80X39X06</t>
  </si>
  <si>
    <t>23D-CONV-FOAM-79.50X38.50X15MM</t>
  </si>
  <si>
    <t>RTHTMTBNET80X45X06</t>
  </si>
  <si>
    <t>OEFRBNSR79X44X100</t>
  </si>
  <si>
    <t>SFG-FRBNET-BOR-80X45X06</t>
  </si>
  <si>
    <t>SFG-FRBNPK-ET-CVR-80X45X06</t>
  </si>
  <si>
    <t>23D-CONV-FOAM-79.50X44.50X15MM</t>
  </si>
  <si>
    <t>RTHTMTBNET80X51X06</t>
  </si>
  <si>
    <t>OEFRBNSR79X50X100</t>
  </si>
  <si>
    <t>SFG-FRBNET-BOR-80X51X06</t>
  </si>
  <si>
    <t>SFG-FRBNPK-ET-CVR-80X51X06</t>
  </si>
  <si>
    <t>23D-CONV-FOAM-79.50X50.50X15MM</t>
  </si>
  <si>
    <t>RTHTMTBNET80X54X06</t>
  </si>
  <si>
    <t>OEFRBNSR79X53X100</t>
  </si>
  <si>
    <t>SFG-FRBNET-BOR-80X54X06</t>
  </si>
  <si>
    <t>SFG-FRBNPK-ET-CVR-80X54X06</t>
  </si>
  <si>
    <t>23D-CONV-FOAM-79.50X53.50X15MM</t>
  </si>
  <si>
    <t>RTHTMTBNET80X57X06</t>
  </si>
  <si>
    <t>OEFRBNSR79X56X100</t>
  </si>
  <si>
    <t>SFG-FRBNET-BOR-80X57X06</t>
  </si>
  <si>
    <t>SFG-FRBNPK-ET-CVR-80X57X06</t>
  </si>
  <si>
    <t>23D-CONV-FOAM-79.50X56.50X15MM</t>
  </si>
  <si>
    <t>RTHTMTBNET80X63X06</t>
  </si>
  <si>
    <t>OEFRBNSR79X62X100</t>
  </si>
  <si>
    <t>SFG-FRBNET-BOR-80X63X06</t>
  </si>
  <si>
    <t>SFG-FRBNPK-ET-CVR-80X63X06</t>
  </si>
  <si>
    <t>23D-CONV-FOAM-79.50X62.50X15MM</t>
  </si>
  <si>
    <t>RTHTMTBNET80X69X06</t>
  </si>
  <si>
    <t>OEFRBNSR79X68X100</t>
  </si>
  <si>
    <t>SFG-FRBNET-BOR-80X69X06</t>
  </si>
  <si>
    <t>SFG-FRBNPK-ET-CVR-80X69X06</t>
  </si>
  <si>
    <t>23D-CONV-FOAM-79.50X68.50X15MM</t>
  </si>
  <si>
    <t>RTHTMTBNET84X33X06</t>
  </si>
  <si>
    <t>OEFRBNSR83X32X100</t>
  </si>
  <si>
    <t>SFG-FRBNET-BOR-84X33X06</t>
  </si>
  <si>
    <t>SFG-FRBNPK-ET-CVR-84X33X06</t>
  </si>
  <si>
    <t>23D-CONV-FOAM-83.50X32.50X15MM</t>
  </si>
  <si>
    <t>RTHTMTBNET84X39X06</t>
  </si>
  <si>
    <t>OEFRBNSR83X38X100</t>
  </si>
  <si>
    <t>SFG-FRBNET-BOR-84X39X06</t>
  </si>
  <si>
    <t>SFG-FRBNPK-ET-CVR-84X39X06</t>
  </si>
  <si>
    <t>23D-CONV-FOAM-83.50X38.50X15MM</t>
  </si>
  <si>
    <t>RTHTMTBNET84X45X06</t>
  </si>
  <si>
    <t>OEFRBNSR83X44X100</t>
  </si>
  <si>
    <t>SFG-FRBNET-BOR-84X45X06</t>
  </si>
  <si>
    <t>SFG-FRBNPK-ET-CVR-84X45X06</t>
  </si>
  <si>
    <t>23D-CONV-FOAM-83.50X44.50X15MM</t>
  </si>
  <si>
    <t>RTHTMTBNET84X51X06</t>
  </si>
  <si>
    <t>OEFRBNSR83X50X100</t>
  </si>
  <si>
    <t>SFG-FRBNET-BOR-84X51X06</t>
  </si>
  <si>
    <t>SFG-FRBNPK-ET-CVR-84X51X06</t>
  </si>
  <si>
    <t>23D-CONV-FOAM-83.50X50.50X15MM</t>
  </si>
  <si>
    <t>RTHTMTBNET84X54X06</t>
  </si>
  <si>
    <t>OEFRBNSR83X53X100</t>
  </si>
  <si>
    <t>SFG-FRBNET-BOR-84X54X06</t>
  </si>
  <si>
    <t>SFG-FRBNPK-ET-CVR-84X54X06</t>
  </si>
  <si>
    <t>23D-CONV-FOAM-83.50X53.50X15MM</t>
  </si>
  <si>
    <t>RTHTMTBNET84X57X06</t>
  </si>
  <si>
    <t>OEFRBNSR83X56X100</t>
  </si>
  <si>
    <t>SFG-FRBNET-BOR-84X57X06</t>
  </si>
  <si>
    <t>SFG-FRBNPK-ET-CVR-84X57X06</t>
  </si>
  <si>
    <t>23D-CONV-FOAM-83.50X56.50X15MM</t>
  </si>
  <si>
    <t>RTHTMTBNET84X63X06</t>
  </si>
  <si>
    <t>OEFRBNSR83X62X100</t>
  </si>
  <si>
    <t>SFG-FRBNET-BOR-84X63X06</t>
  </si>
  <si>
    <t>SFG-FRBNPK-ET-CVR-84X63X06</t>
  </si>
  <si>
    <t>23D-CONV-FOAM-83.50X62.50X15MM</t>
  </si>
  <si>
    <t>RTHTMTBNET84X69X06</t>
  </si>
  <si>
    <t>OEFRBNSR83X68X100</t>
  </si>
  <si>
    <t>SFG-FRBNET-BOR-84X69X06</t>
  </si>
  <si>
    <t>SFG-FRBNPK-ET-CVR-84X69X06</t>
  </si>
  <si>
    <t>23D-CONV-FOAM-83.50X68.50X15MM</t>
  </si>
  <si>
    <t>SFG-RTHTMTRG-BONPOC-QUILT</t>
  </si>
  <si>
    <t>Quilt  Flanging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</si>
</sst>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4" sqref="G24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4.8554687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40">
        <v>1</v>
      </c>
      <c r="B2" s="7" t="s">
        <v>12</v>
      </c>
      <c r="C2" s="7" t="s">
        <v>13</v>
      </c>
      <c r="D2" s="7" t="str">
        <f t="shared" ref="D2:D21" si="0">"RTHTMTBNET"&amp;$K$2&amp;"X"&amp;$L$2&amp;"X"&amp;IF($M$2=10,$M$2,"0"&amp;$M$2)</f>
        <v>RTHTMTBNET75X36X06</v>
      </c>
      <c r="E2" s="1" t="str">
        <f>"OEFRBNSR"&amp;(K2-1)&amp;"X"&amp;(L2-1)&amp;"X"&amp;IF(M2=6,"130",IF(M2=8,"150",IF(M2=10,"180",0)))</f>
        <v>OEFRBNSR74X35X130</v>
      </c>
      <c r="F2" s="35" t="s">
        <v>11</v>
      </c>
      <c r="G2" s="36">
        <v>1</v>
      </c>
      <c r="H2" s="36">
        <f t="shared" ref="H2:H13" si="1">ROUND(G2,3)</f>
        <v>1</v>
      </c>
      <c r="I2" s="18" t="s">
        <v>22</v>
      </c>
      <c r="J2" s="5"/>
      <c r="K2" s="6">
        <v>75</v>
      </c>
      <c r="L2" s="6">
        <v>36</v>
      </c>
      <c r="M2" s="32">
        <v>6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6</v>
      </c>
      <c r="U2" s="31" t="s">
        <v>129</v>
      </c>
    </row>
    <row r="3" spans="1:21" s="17" customFormat="1" x14ac:dyDescent="0.25">
      <c r="A3" s="40">
        <v>2</v>
      </c>
      <c r="B3" s="7" t="s">
        <v>12</v>
      </c>
      <c r="C3" s="9" t="s">
        <v>16</v>
      </c>
      <c r="D3" s="7" t="str">
        <f t="shared" si="0"/>
        <v>RTHTMTBNET75X36X06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7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6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6</v>
      </c>
      <c r="U3" s="31" t="s">
        <v>129</v>
      </c>
    </row>
    <row r="4" spans="1:21" x14ac:dyDescent="0.25">
      <c r="A4" s="40">
        <v>3</v>
      </c>
      <c r="B4" s="7" t="s">
        <v>12</v>
      </c>
      <c r="C4" s="9" t="s">
        <v>16</v>
      </c>
      <c r="D4" s="7" t="str">
        <f t="shared" si="0"/>
        <v>RTHTMTBNET75X36X06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6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6</v>
      </c>
      <c r="U4" s="31" t="s">
        <v>129</v>
      </c>
    </row>
    <row r="5" spans="1:21" x14ac:dyDescent="0.25">
      <c r="A5" s="40">
        <v>4</v>
      </c>
      <c r="B5" s="7" t="s">
        <v>12</v>
      </c>
      <c r="C5" s="9" t="s">
        <v>16</v>
      </c>
      <c r="D5" s="7" t="str">
        <f t="shared" si="0"/>
        <v>RTHTMTBNET75X36X06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6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6</v>
      </c>
      <c r="U5" s="31" t="s">
        <v>129</v>
      </c>
    </row>
    <row r="6" spans="1:21" x14ac:dyDescent="0.25">
      <c r="A6" s="40">
        <v>5</v>
      </c>
      <c r="B6" s="7" t="s">
        <v>12</v>
      </c>
      <c r="C6" s="9" t="s">
        <v>132</v>
      </c>
      <c r="D6" s="7" t="str">
        <f t="shared" si="0"/>
        <v>RTHTMTBNET75X36X06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6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6</v>
      </c>
      <c r="U6" s="31" t="s">
        <v>129</v>
      </c>
    </row>
    <row r="7" spans="1:21" x14ac:dyDescent="0.25">
      <c r="A7" s="40">
        <v>6</v>
      </c>
      <c r="B7" s="7" t="s">
        <v>23</v>
      </c>
      <c r="C7" s="9" t="s">
        <v>24</v>
      </c>
      <c r="D7" s="7" t="str">
        <f t="shared" si="0"/>
        <v>RTHTMTBNET75X36X06</v>
      </c>
      <c r="E7" s="44" t="s">
        <v>340</v>
      </c>
      <c r="F7" s="11" t="s">
        <v>18</v>
      </c>
      <c r="G7" s="10">
        <f>IF(K2&lt;79,(L2+1),(K2+1))*0.0254</f>
        <v>0.93979999999999997</v>
      </c>
      <c r="H7" s="36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6</v>
      </c>
      <c r="U7" s="31" t="s">
        <v>129</v>
      </c>
    </row>
    <row r="8" spans="1:21" x14ac:dyDescent="0.25">
      <c r="A8" s="40">
        <v>7</v>
      </c>
      <c r="B8" s="7" t="s">
        <v>23</v>
      </c>
      <c r="C8" s="9" t="s">
        <v>133</v>
      </c>
      <c r="D8" s="7" t="str">
        <f t="shared" si="0"/>
        <v>RTHTMTBNET75X36X06</v>
      </c>
      <c r="E8" s="38" t="str">
        <f>"SFG-FRBNET-BOR-"&amp;K2&amp;"X"&amp;L2&amp;"X"&amp;IF(M2=10,10,"0"&amp;M2)</f>
        <v>SFG-FRBNET-BOR-75X36X06</v>
      </c>
      <c r="F8" s="11" t="s">
        <v>11</v>
      </c>
      <c r="G8" s="10">
        <v>1</v>
      </c>
      <c r="H8" s="36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6</v>
      </c>
      <c r="U8" s="31" t="s">
        <v>129</v>
      </c>
    </row>
    <row r="9" spans="1:21" x14ac:dyDescent="0.25">
      <c r="A9" s="40">
        <v>8</v>
      </c>
      <c r="B9" s="7" t="s">
        <v>23</v>
      </c>
      <c r="C9" s="9" t="s">
        <v>134</v>
      </c>
      <c r="D9" s="7" t="str">
        <f t="shared" si="0"/>
        <v>RTHTMTBNET75X36X06</v>
      </c>
      <c r="E9" s="38" t="str">
        <f>"SFG-FRBNPK-ET-CVR-"&amp;K2&amp;"X"&amp;L2&amp;"X"&amp;IF(M2=10,10,"0"&amp;M2)</f>
        <v>SFG-FRBNPK-ET-CVR-75X36X06</v>
      </c>
      <c r="F9" s="11" t="s">
        <v>11</v>
      </c>
      <c r="G9" s="10">
        <v>1</v>
      </c>
      <c r="H9" s="36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6</v>
      </c>
      <c r="U9" s="31" t="s">
        <v>129</v>
      </c>
    </row>
    <row r="10" spans="1:21" x14ac:dyDescent="0.25">
      <c r="A10" s="40">
        <v>9</v>
      </c>
      <c r="B10" s="7" t="s">
        <v>23</v>
      </c>
      <c r="C10" s="9" t="s">
        <v>135</v>
      </c>
      <c r="D10" s="7" t="str">
        <f t="shared" si="0"/>
        <v>RTHTMTBNET75X36X06</v>
      </c>
      <c r="E10" s="38" t="s">
        <v>136</v>
      </c>
      <c r="F10" s="11" t="s">
        <v>18</v>
      </c>
      <c r="G10" s="10">
        <f>IF(K2&lt;79,(L2+1),(K2+1))*0.0254</f>
        <v>0.93979999999999997</v>
      </c>
      <c r="H10" s="36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6</v>
      </c>
      <c r="U10" s="31" t="s">
        <v>129</v>
      </c>
    </row>
    <row r="11" spans="1:21" x14ac:dyDescent="0.25">
      <c r="A11" s="40">
        <v>10</v>
      </c>
      <c r="B11" s="7" t="s">
        <v>131</v>
      </c>
      <c r="C11" s="9" t="s">
        <v>16</v>
      </c>
      <c r="D11" s="7" t="str">
        <f t="shared" si="0"/>
        <v>RTHTMTBNET75X36X06</v>
      </c>
      <c r="E11" s="9" t="s">
        <v>125</v>
      </c>
      <c r="F11" s="11" t="s">
        <v>126</v>
      </c>
      <c r="G11" s="10">
        <f>((K2-4)*(L2-4)/144)*0.00729*3</f>
        <v>0.34505999999999998</v>
      </c>
      <c r="H11" s="36">
        <f>ROUND(G11,3)</f>
        <v>0.34499999999999997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6</v>
      </c>
      <c r="U11" s="31" t="s">
        <v>129</v>
      </c>
    </row>
    <row r="12" spans="1:21" x14ac:dyDescent="0.25">
      <c r="A12" s="40">
        <v>11</v>
      </c>
      <c r="B12" s="7" t="s">
        <v>23</v>
      </c>
      <c r="C12" s="34" t="s">
        <v>341</v>
      </c>
      <c r="D12" s="7" t="str">
        <f t="shared" si="0"/>
        <v>RTHTMTBNET75X36X06</v>
      </c>
      <c r="E12" s="34" t="s">
        <v>25</v>
      </c>
      <c r="F12" s="39" t="s">
        <v>18</v>
      </c>
      <c r="G12" s="10">
        <f>(K2+L2+1.5)*2*0.0254*20</f>
        <v>114.3</v>
      </c>
      <c r="H12" s="36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6</v>
      </c>
      <c r="U12" s="31" t="s">
        <v>129</v>
      </c>
    </row>
    <row r="13" spans="1:21" x14ac:dyDescent="0.25">
      <c r="A13" s="40">
        <v>12</v>
      </c>
      <c r="B13" s="7" t="s">
        <v>26</v>
      </c>
      <c r="C13" s="34" t="s">
        <v>27</v>
      </c>
      <c r="D13" s="7" t="str">
        <f t="shared" si="0"/>
        <v>RTHTMTBNET75X36X06</v>
      </c>
      <c r="E13" s="34" t="s">
        <v>127</v>
      </c>
      <c r="F13" s="39" t="s">
        <v>18</v>
      </c>
      <c r="G13" s="10">
        <f>(K2+L2+4)*2*0.0254*3</f>
        <v>17.526</v>
      </c>
      <c r="H13" s="36">
        <f t="shared" ref="H13:H20" si="2">ROUND(G13,3)</f>
        <v>17.526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6</v>
      </c>
      <c r="U13" s="31" t="s">
        <v>129</v>
      </c>
    </row>
    <row r="14" spans="1:21" x14ac:dyDescent="0.25">
      <c r="A14" s="40">
        <v>13</v>
      </c>
      <c r="B14" s="7" t="s">
        <v>26</v>
      </c>
      <c r="C14" s="34" t="s">
        <v>27</v>
      </c>
      <c r="D14" s="7" t="str">
        <f t="shared" si="0"/>
        <v>RTHTMTBNET75X36X06</v>
      </c>
      <c r="E14" s="34" t="s">
        <v>25</v>
      </c>
      <c r="F14" s="39" t="s">
        <v>18</v>
      </c>
      <c r="G14" s="10">
        <f>(K2+L2+4)*2*0.0254*(4.73+1.42)*3</f>
        <v>107.78489999999999</v>
      </c>
      <c r="H14" s="36">
        <f t="shared" si="2"/>
        <v>107.785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6</v>
      </c>
      <c r="U14" s="31" t="s">
        <v>129</v>
      </c>
    </row>
    <row r="15" spans="1:21" x14ac:dyDescent="0.25">
      <c r="A15" s="40">
        <v>14</v>
      </c>
      <c r="B15" s="7" t="s">
        <v>28</v>
      </c>
      <c r="C15" s="34" t="s">
        <v>28</v>
      </c>
      <c r="D15" s="7" t="str">
        <f t="shared" si="0"/>
        <v>RTHTMTBNET75X36X06</v>
      </c>
      <c r="E15" s="34" t="str">
        <f>IF(M2=6,"RML-CS-PL-6.5""",IF(M2=8,"RML-CS-PL-8.5",IF(M2=10,"RML-CS-PL-10.5",IF(M2=12,"RML-CS-PL-12.25"))))</f>
        <v>RML-CS-PL-6.5"</v>
      </c>
      <c r="F15" s="39" t="s">
        <v>11</v>
      </c>
      <c r="G15" s="10">
        <v>4</v>
      </c>
      <c r="H15" s="36">
        <f t="shared" si="2"/>
        <v>4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6</v>
      </c>
      <c r="U15" s="31" t="s">
        <v>129</v>
      </c>
    </row>
    <row r="16" spans="1:21" x14ac:dyDescent="0.25">
      <c r="A16" s="40">
        <v>15</v>
      </c>
      <c r="B16" s="7" t="s">
        <v>28</v>
      </c>
      <c r="C16" s="34" t="s">
        <v>28</v>
      </c>
      <c r="D16" s="7" t="str">
        <f t="shared" si="0"/>
        <v>RTHTMTBNET75X36X06</v>
      </c>
      <c r="E16" s="34" t="s">
        <v>29</v>
      </c>
      <c r="F16" s="39" t="s">
        <v>11</v>
      </c>
      <c r="G16" s="10">
        <v>1</v>
      </c>
      <c r="H16" s="36">
        <f t="shared" si="2"/>
        <v>1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6</v>
      </c>
      <c r="U16" s="31" t="s">
        <v>129</v>
      </c>
    </row>
    <row r="17" spans="1:21" x14ac:dyDescent="0.25">
      <c r="A17" s="40">
        <v>16</v>
      </c>
      <c r="B17" s="7" t="s">
        <v>28</v>
      </c>
      <c r="C17" s="34" t="s">
        <v>28</v>
      </c>
      <c r="D17" s="7" t="str">
        <f t="shared" si="0"/>
        <v>RTHTMTBNET75X36X06</v>
      </c>
      <c r="E17" s="34" t="s">
        <v>30</v>
      </c>
      <c r="F17" s="39" t="s">
        <v>11</v>
      </c>
      <c r="G17" s="14">
        <v>1</v>
      </c>
      <c r="H17" s="36">
        <f t="shared" si="2"/>
        <v>1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6</v>
      </c>
      <c r="U17" s="31" t="s">
        <v>129</v>
      </c>
    </row>
    <row r="18" spans="1:21" x14ac:dyDescent="0.25">
      <c r="A18" s="40">
        <v>17</v>
      </c>
      <c r="B18" s="7" t="s">
        <v>28</v>
      </c>
      <c r="C18" s="9" t="s">
        <v>28</v>
      </c>
      <c r="D18" s="7" t="str">
        <f t="shared" si="0"/>
        <v>RTHTMTBNET75X36X06</v>
      </c>
      <c r="E18" s="9" t="s">
        <v>31</v>
      </c>
      <c r="F18" s="11" t="s">
        <v>11</v>
      </c>
      <c r="G18" s="14">
        <v>1</v>
      </c>
      <c r="H18" s="36">
        <f t="shared" si="2"/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6</v>
      </c>
      <c r="U18" s="31" t="s">
        <v>129</v>
      </c>
    </row>
    <row r="19" spans="1:21" x14ac:dyDescent="0.25">
      <c r="A19" s="40">
        <v>18</v>
      </c>
      <c r="B19" s="7" t="s">
        <v>28</v>
      </c>
      <c r="C19" s="9" t="s">
        <v>28</v>
      </c>
      <c r="D19" s="7" t="str">
        <f t="shared" si="0"/>
        <v>RTHTMTBNET75X36X06</v>
      </c>
      <c r="E19" s="9" t="s">
        <v>138</v>
      </c>
      <c r="F19" s="11" t="s">
        <v>14</v>
      </c>
      <c r="G19" s="10">
        <f>IF(K2&lt;79,((L2*2)+(M2*2)+4),((K2*2)+(M2*2)+4))*0.0254*89.5*0.0254*0.00005*1300</f>
        <v>0.33028321039999997</v>
      </c>
      <c r="H19" s="36">
        <f t="shared" si="2"/>
        <v>0.33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6</v>
      </c>
      <c r="U19" s="31" t="s">
        <v>129</v>
      </c>
    </row>
    <row r="20" spans="1:21" x14ac:dyDescent="0.25">
      <c r="A20" s="40">
        <v>19</v>
      </c>
      <c r="B20" s="7" t="s">
        <v>128</v>
      </c>
      <c r="C20" s="9" t="s">
        <v>137</v>
      </c>
      <c r="D20" s="7" t="str">
        <f t="shared" si="0"/>
        <v>RTHTMTBNET75X36X06</v>
      </c>
      <c r="E20" s="43" t="str">
        <f>"25D-HXA-CONV-FM-"&amp;(K2-0.5)&amp;"0"&amp;"X"&amp;(L2-0.5)&amp;"0"&amp;"X25MM"</f>
        <v>25D-HXA-CONV-FM-74.50X35.50X25MM</v>
      </c>
      <c r="F20" s="8" t="s">
        <v>11</v>
      </c>
      <c r="G20" s="14">
        <v>1</v>
      </c>
      <c r="H20" s="36">
        <f t="shared" si="2"/>
        <v>1</v>
      </c>
      <c r="I20" s="18" t="s">
        <v>22</v>
      </c>
      <c r="J20" s="12"/>
      <c r="N20" s="29"/>
      <c r="O20"/>
      <c r="R20" s="30" t="s">
        <v>122</v>
      </c>
      <c r="S20" s="30" t="s">
        <v>115</v>
      </c>
      <c r="T20" s="30">
        <v>6</v>
      </c>
      <c r="U20" s="31" t="s">
        <v>129</v>
      </c>
    </row>
    <row r="21" spans="1:21" x14ac:dyDescent="0.25">
      <c r="J21" s="12"/>
      <c r="N21"/>
      <c r="O21"/>
      <c r="R21" s="30" t="s">
        <v>122</v>
      </c>
      <c r="S21" s="30" t="s">
        <v>116</v>
      </c>
      <c r="T21" s="30">
        <v>6</v>
      </c>
      <c r="U21" s="31" t="s">
        <v>129</v>
      </c>
    </row>
    <row r="22" spans="1:21" x14ac:dyDescent="0.25">
      <c r="J22" s="12"/>
      <c r="N22"/>
      <c r="O22"/>
      <c r="R22" s="30" t="s">
        <v>122</v>
      </c>
      <c r="S22" s="30" t="s">
        <v>117</v>
      </c>
      <c r="T22" s="30">
        <v>6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6</v>
      </c>
      <c r="U23" s="31" t="s">
        <v>129</v>
      </c>
    </row>
    <row r="24" spans="1:21" x14ac:dyDescent="0.25"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6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6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6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6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6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6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6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6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6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6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6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6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6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6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6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6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6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6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136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0.29899999999999999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138</v>
      </c>
      <c r="E21" t="s">
        <v>14</v>
      </c>
      <c r="F21">
        <v>0.308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2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136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0.36099999999999999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138</v>
      </c>
      <c r="E42" t="s">
        <v>14</v>
      </c>
      <c r="F42">
        <v>0.35299999999999998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2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136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0.42299999999999999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138</v>
      </c>
      <c r="E63" t="s">
        <v>14</v>
      </c>
      <c r="F63">
        <v>0.39800000000000002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2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136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0.48499999999999999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138</v>
      </c>
      <c r="E84" t="s">
        <v>14</v>
      </c>
      <c r="F84">
        <v>0.443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2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136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0.51600000000000001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138</v>
      </c>
      <c r="E105" t="s">
        <v>14</v>
      </c>
      <c r="F105">
        <v>0.46500000000000002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2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136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0.54700000000000004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138</v>
      </c>
      <c r="E126" t="s">
        <v>14</v>
      </c>
      <c r="F126">
        <v>0.48799999999999999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2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136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0.60899999999999999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138</v>
      </c>
      <c r="E147" t="s">
        <v>14</v>
      </c>
      <c r="F147">
        <v>0.53300000000000003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2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136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0.67100000000000004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138</v>
      </c>
      <c r="E168" t="s">
        <v>14</v>
      </c>
      <c r="F168">
        <v>0.57799999999999996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2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136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0.313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138</v>
      </c>
      <c r="E189" t="s">
        <v>14</v>
      </c>
      <c r="F189">
        <v>0.308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2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136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0.377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138</v>
      </c>
      <c r="E210" t="s">
        <v>14</v>
      </c>
      <c r="F210">
        <v>0.35299999999999998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2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136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0.442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138</v>
      </c>
      <c r="E231" t="s">
        <v>14</v>
      </c>
      <c r="F231">
        <v>0.39800000000000002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2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136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0.50700000000000001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138</v>
      </c>
      <c r="E252" t="s">
        <v>14</v>
      </c>
      <c r="F252">
        <v>0.443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2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136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0.53900000000000003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138</v>
      </c>
      <c r="E273" t="s">
        <v>14</v>
      </c>
      <c r="F273">
        <v>0.46500000000000002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2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136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0.57199999999999995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138</v>
      </c>
      <c r="E294" t="s">
        <v>14</v>
      </c>
      <c r="F294">
        <v>0.48799999999999999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2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136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0.63600000000000001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138</v>
      </c>
      <c r="E315" t="s">
        <v>14</v>
      </c>
      <c r="F315">
        <v>0.53300000000000003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2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136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0.70099999999999996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138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2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136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0.32600000000000001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138</v>
      </c>
      <c r="E357" t="s">
        <v>14</v>
      </c>
      <c r="F357">
        <v>0.308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2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136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0.39300000000000002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138</v>
      </c>
      <c r="E378" t="s">
        <v>14</v>
      </c>
      <c r="F378">
        <v>0.35299999999999998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2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136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0.46100000000000002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138</v>
      </c>
      <c r="E399" t="s">
        <v>14</v>
      </c>
      <c r="F399">
        <v>0.39800000000000002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2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136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0.52800000000000002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138</v>
      </c>
      <c r="E420" t="s">
        <v>14</v>
      </c>
      <c r="F420">
        <v>0.443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2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136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0.56200000000000006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138</v>
      </c>
      <c r="E441" t="s">
        <v>14</v>
      </c>
      <c r="F441">
        <v>0.46500000000000002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2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136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0.59599999999999997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138</v>
      </c>
      <c r="E462" t="s">
        <v>14</v>
      </c>
      <c r="F462">
        <v>0.48799999999999999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2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136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0.66300000000000003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138</v>
      </c>
      <c r="E483" t="s">
        <v>14</v>
      </c>
      <c r="F483">
        <v>0.53300000000000003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2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136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0.73099999999999998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138</v>
      </c>
      <c r="E504" t="s">
        <v>14</v>
      </c>
      <c r="F504">
        <v>0.57799999999999996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2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136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0.33500000000000002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138</v>
      </c>
      <c r="E525" t="s">
        <v>14</v>
      </c>
      <c r="F525">
        <v>0.66100000000000003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2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136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0.40400000000000003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138</v>
      </c>
      <c r="E546" t="s">
        <v>14</v>
      </c>
      <c r="F546">
        <v>0.66100000000000003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2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136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0.47299999999999998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138</v>
      </c>
      <c r="E567" t="s">
        <v>14</v>
      </c>
      <c r="F567">
        <v>0.66100000000000003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2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136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0.54200000000000004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138</v>
      </c>
      <c r="E588" t="s">
        <v>14</v>
      </c>
      <c r="F588">
        <v>0.66100000000000003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2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136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0.57699999999999996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138</v>
      </c>
      <c r="E609" t="s">
        <v>14</v>
      </c>
      <c r="F609">
        <v>0.66100000000000003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2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136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0.61199999999999999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138</v>
      </c>
      <c r="E630" t="s">
        <v>14</v>
      </c>
      <c r="F630">
        <v>0.66100000000000003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2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136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0.68100000000000005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138</v>
      </c>
      <c r="E651" t="s">
        <v>14</v>
      </c>
      <c r="F651">
        <v>0.66100000000000003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2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136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0.75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138</v>
      </c>
      <c r="E673" t="s">
        <v>14</v>
      </c>
      <c r="F673">
        <v>0.66100000000000003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2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136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0.35199999999999998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138</v>
      </c>
      <c r="E694" t="s">
        <v>14</v>
      </c>
      <c r="F694">
        <v>0.69099999999999995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2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136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0.42499999999999999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138</v>
      </c>
      <c r="E715" t="s">
        <v>14</v>
      </c>
      <c r="F715">
        <v>0.69099999999999995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2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136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0.498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138</v>
      </c>
      <c r="E736" t="s">
        <v>14</v>
      </c>
      <c r="F736">
        <v>0.69099999999999995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2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136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0.57099999999999995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138</v>
      </c>
      <c r="E757" t="s">
        <v>14</v>
      </c>
      <c r="F757">
        <v>0.69099999999999995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2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136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0.60799999999999998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138</v>
      </c>
      <c r="E778" t="s">
        <v>14</v>
      </c>
      <c r="F778">
        <v>0.69099999999999995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2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136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0.64400000000000002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138</v>
      </c>
      <c r="E799" t="s">
        <v>14</v>
      </c>
      <c r="F799">
        <v>0.69099999999999995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2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136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0.71699999999999997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138</v>
      </c>
      <c r="E820" t="s">
        <v>14</v>
      </c>
      <c r="F820">
        <v>0.69099999999999995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2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136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0.79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138</v>
      </c>
      <c r="E842" t="s">
        <v>14</v>
      </c>
      <c r="F842">
        <v>0.69099999999999995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2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2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3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45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3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45"/>
      <c r="B4" s="24" t="s">
        <v>58</v>
      </c>
      <c r="C4" s="24" t="s">
        <v>59</v>
      </c>
      <c r="D4" s="41" t="s">
        <v>60</v>
      </c>
      <c r="E4" s="24" t="s">
        <v>3</v>
      </c>
      <c r="F4" s="41" t="s">
        <v>61</v>
      </c>
      <c r="G4" s="24" t="s">
        <v>62</v>
      </c>
      <c r="H4" s="24" t="s">
        <v>6</v>
      </c>
      <c r="I4" s="24" t="s">
        <v>63</v>
      </c>
      <c r="J4" s="41" t="s">
        <v>64</v>
      </c>
      <c r="K4" s="41" t="s">
        <v>65</v>
      </c>
      <c r="L4" s="41" t="s">
        <v>66</v>
      </c>
      <c r="M4" s="25" t="s">
        <v>67</v>
      </c>
      <c r="N4" s="26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136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0.29899999999999999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138</v>
      </c>
      <c r="O24" s="3"/>
      <c r="P24" s="3"/>
      <c r="Q24" s="3">
        <v>0.308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136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0.36099999999999999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138</v>
      </c>
      <c r="O45" s="3"/>
      <c r="P45" s="3"/>
      <c r="Q45" s="3">
        <v>0.35299999999999998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136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0.42299999999999999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138</v>
      </c>
      <c r="O66" s="3"/>
      <c r="P66" s="3"/>
      <c r="Q66" s="3">
        <v>0.39800000000000002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136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0.48499999999999999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138</v>
      </c>
      <c r="O87" s="3"/>
      <c r="P87" s="3"/>
      <c r="Q87" s="3">
        <v>0.443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136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0.51600000000000001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138</v>
      </c>
      <c r="O108" s="3"/>
      <c r="P108" s="3"/>
      <c r="Q108" s="3">
        <v>0.46500000000000002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136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0.54700000000000004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138</v>
      </c>
      <c r="O129" s="3"/>
      <c r="P129" s="3"/>
      <c r="Q129" s="3">
        <v>0.48799999999999999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136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0.60899999999999999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138</v>
      </c>
      <c r="O150" s="3"/>
      <c r="P150" s="3"/>
      <c r="Q150" s="3">
        <v>0.53300000000000003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136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0.67100000000000004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138</v>
      </c>
      <c r="O171" s="3"/>
      <c r="P171" s="3"/>
      <c r="Q171" s="3">
        <v>0.57799999999999996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136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0.313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138</v>
      </c>
      <c r="O192" s="3"/>
      <c r="P192" s="3"/>
      <c r="Q192" s="3">
        <v>0.308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136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0.377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138</v>
      </c>
      <c r="O213" s="3"/>
      <c r="P213" s="3"/>
      <c r="Q213" s="3">
        <v>0.35299999999999998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136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0.442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138</v>
      </c>
      <c r="O234" s="3"/>
      <c r="P234" s="3"/>
      <c r="Q234" s="3">
        <v>0.39800000000000002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136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0.50700000000000001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138</v>
      </c>
      <c r="O255" s="3"/>
      <c r="P255" s="3"/>
      <c r="Q255" s="3">
        <v>0.443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136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0.53900000000000003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138</v>
      </c>
      <c r="O276" s="3"/>
      <c r="P276" s="3"/>
      <c r="Q276" s="3">
        <v>0.46500000000000002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136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0.57199999999999995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138</v>
      </c>
      <c r="O297" s="3"/>
      <c r="P297" s="3"/>
      <c r="Q297" s="3">
        <v>0.48799999999999999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136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0.63600000000000001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138</v>
      </c>
      <c r="O318" s="3"/>
      <c r="P318" s="3"/>
      <c r="Q318" s="3">
        <v>0.53300000000000003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136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0.70099999999999996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138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136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0.32600000000000001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138</v>
      </c>
      <c r="O360" s="3"/>
      <c r="P360" s="3"/>
      <c r="Q360" s="3">
        <v>0.308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136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0.39300000000000002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138</v>
      </c>
      <c r="O381" s="3"/>
      <c r="P381" s="3"/>
      <c r="Q381" s="3">
        <v>0.35299999999999998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136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0.46100000000000002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138</v>
      </c>
      <c r="O402" s="3"/>
      <c r="P402" s="3"/>
      <c r="Q402" s="3">
        <v>0.39800000000000002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136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0.52800000000000002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138</v>
      </c>
      <c r="O423" s="3"/>
      <c r="P423" s="3"/>
      <c r="Q423" s="3">
        <v>0.443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136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0.56200000000000006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138</v>
      </c>
      <c r="O444" s="3"/>
      <c r="P444" s="3"/>
      <c r="Q444" s="3">
        <v>0.46500000000000002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136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0.59599999999999997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138</v>
      </c>
      <c r="O465" s="3"/>
      <c r="P465" s="3"/>
      <c r="Q465" s="3">
        <v>0.48799999999999999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136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0.66300000000000003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138</v>
      </c>
      <c r="O486" s="3"/>
      <c r="P486" s="3"/>
      <c r="Q486" s="3">
        <v>0.53300000000000003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136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0.73099999999999998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138</v>
      </c>
      <c r="O507" s="3"/>
      <c r="P507" s="3"/>
      <c r="Q507" s="3">
        <v>0.57799999999999996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136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0.33500000000000002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138</v>
      </c>
      <c r="O528" s="3"/>
      <c r="P528" s="3"/>
      <c r="Q528" s="3">
        <v>0.66100000000000003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136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0.40400000000000003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138</v>
      </c>
      <c r="O549" s="3"/>
      <c r="P549" s="3"/>
      <c r="Q549" s="3">
        <v>0.66100000000000003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136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0.47299999999999998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138</v>
      </c>
      <c r="O570" s="3"/>
      <c r="P570" s="3"/>
      <c r="Q570" s="3">
        <v>0.66100000000000003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136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0.54200000000000004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138</v>
      </c>
      <c r="O591" s="3"/>
      <c r="P591" s="3"/>
      <c r="Q591" s="3">
        <v>0.66100000000000003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136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0.57699999999999996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138</v>
      </c>
      <c r="O612" s="3"/>
      <c r="P612" s="3"/>
      <c r="Q612" s="3">
        <v>0.66100000000000003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136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0.61199999999999999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138</v>
      </c>
      <c r="O633" s="3"/>
      <c r="P633" s="3"/>
      <c r="Q633" s="3">
        <v>0.66100000000000003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136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0.68100000000000005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138</v>
      </c>
      <c r="O654" s="3"/>
      <c r="P654" s="3"/>
      <c r="Q654" s="3">
        <v>0.66100000000000003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2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136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0.75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138</v>
      </c>
      <c r="O676" s="3"/>
      <c r="P676" s="3"/>
      <c r="Q676" s="3">
        <v>0.66100000000000003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2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136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0.35199999999999998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138</v>
      </c>
      <c r="O697" s="3"/>
      <c r="P697" s="3"/>
      <c r="Q697" s="3">
        <v>0.69099999999999995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136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0.42499999999999999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138</v>
      </c>
      <c r="O718" s="3"/>
      <c r="P718" s="3"/>
      <c r="Q718" s="3">
        <v>0.69099999999999995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136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0.498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138</v>
      </c>
      <c r="O739" s="3"/>
      <c r="P739" s="3"/>
      <c r="Q739" s="3">
        <v>0.69099999999999995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136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0.57099999999999995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138</v>
      </c>
      <c r="O760" s="3"/>
      <c r="P760" s="3"/>
      <c r="Q760" s="3">
        <v>0.69099999999999995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136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0.60799999999999998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138</v>
      </c>
      <c r="O781" s="3"/>
      <c r="P781" s="3"/>
      <c r="Q781" s="3">
        <v>0.69099999999999995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2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136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0.64400000000000002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138</v>
      </c>
      <c r="O802" s="3"/>
      <c r="P802" s="3"/>
      <c r="Q802" s="3">
        <v>0.69099999999999995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136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0.71699999999999997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138</v>
      </c>
      <c r="O823" s="3"/>
      <c r="P823" s="3"/>
      <c r="Q823" s="3">
        <v>0.69099999999999995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136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0.79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138</v>
      </c>
      <c r="O845" s="3"/>
      <c r="P845" s="3"/>
      <c r="Q845" s="3">
        <v>0.69099999999999995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2025-12-01T06:05:22Z</dcterms:modified>
</cp:coreProperties>
</file>