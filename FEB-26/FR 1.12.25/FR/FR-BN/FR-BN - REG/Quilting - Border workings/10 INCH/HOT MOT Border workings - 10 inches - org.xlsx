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AS9" i="2" l="1"/>
  <c r="AS8" i="2"/>
  <c r="AS7" i="2"/>
  <c r="AS6" i="2"/>
  <c r="AS5" i="2"/>
  <c r="AS4" i="2"/>
  <c r="AS3" i="2"/>
  <c r="AS2" i="2"/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<sst xmlns="http://schemas.openxmlformats.org/spreadsheetml/2006/main" count="40544" uniqueCount="34294">
  <si>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</si>
  <si>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</si>
  <si>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</si>
  <si>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</si>
  <si>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</si>
  <si>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</si>
  <si>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</si>
  <si>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</si>
  <si>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</si>
  <si>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</si>
  <si>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</si>
  <si>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</si>
  <si>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</si>
  <si>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</si>
  <si>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</si>
  <si>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</si>
  <si>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</si>
  <si>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</si>
  <si>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</si>
  <si>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</si>
  <si>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</si>
  <si>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</si>
  <si>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</si>
  <si>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</si>
  <si>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</si>
  <si>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</si>
  <si>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</si>
  <si>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</si>
  <si>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</si>
  <si>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</si>
  <si>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</si>
  <si>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</si>
  <si>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</si>
  <si>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</si>
  <si>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</si>
  <si>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</si>
  <si>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</si>
  <si>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</si>
  <si>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</si>
  <si>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</si>
  <si>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</si>
  <si>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</si>
  <si>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</si>
  <si>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</si>
  <si>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</si>
  <si>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</si>
  <si>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</si>
  <si>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</si>
  <si>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</si>
  <si>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</si>
  <si>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</si>
  <si>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</si>
  <si>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</si>
  <si>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</si>
  <si>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</si>
  <si>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</si>
  <si>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</si>
  <si>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</si>
  <si>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</si>
  <si>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</si>
  <si>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</si>
  <si>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</si>
  <si>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</si>
  <si>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</si>
  <si>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</si>
  <si>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</si>
  <si>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</si>
  <si>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</si>
  <si>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</si>
  <si>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</si>
  <si>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</si>
  <si>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</si>
  <si>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</si>
  <si>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</si>
  <si>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</si>
  <si>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</si>
  <si>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</si>
  <si>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</si>
  <si>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</si>
  <si>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</si>
  <si>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</si>
  <si>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</si>
  <si>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</si>
  <si>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</si>
  <si>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</si>
  <si>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</si>
  <si>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</si>
  <si>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</si>
  <si>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</si>
  <si>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</si>
  <si>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</si>
  <si>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</si>
  <si>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</si>
  <si>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</si>
  <si>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</si>
  <si>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</si>
  <si>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</si>
  <si>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</si>
  <si>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</si>
  <si>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</si>
  <si>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</si>
  <si>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</si>
  <si>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</si>
  <si>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</si>
  <si>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</si>
  <si>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</si>
  <si>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</si>
  <si>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</si>
  <si>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</si>
  <si>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</si>
  <si>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</si>
  <si>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</si>
  <si>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</si>
  <si>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</si>
  <si>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</si>
  <si>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</si>
  <si>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</si>
  <si>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</si>
  <si>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</si>
  <si>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</si>
  <si>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</si>
  <si>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</si>
  <si>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</si>
  <si>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</si>
  <si>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</si>
  <si>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</si>
  <si>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</si>
  <si>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</si>
  <si>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</si>
  <si>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</si>
  <si>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</si>
  <si>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</si>
  <si>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</si>
  <si>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</si>
  <si>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</si>
  <si>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</si>
  <si>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</si>
  <si>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</si>
  <si>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</si>
  <si>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</si>
  <si>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</si>
  <si>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</si>
  <si>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</si>
  <si>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</si>
  <si>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</si>
  <si>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</si>
  <si>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</si>
  <si>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</si>
  <si>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</si>
  <si>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</si>
  <si>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</si>
  <si>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</si>
  <si>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</si>
  <si>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</si>
  <si>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</si>
  <si>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</si>
  <si>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</si>
  <si>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</si>
  <si>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</si>
  <si>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</si>
  <si>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</si>
  <si>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</si>
  <si>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</si>
  <si>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</si>
  <si>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</si>
  <si>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</si>
  <si>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</si>
  <si>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</si>
  <si>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</si>
  <si>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</si>
  <si>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</si>
  <si>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</si>
  <si>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</si>
  <si>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</si>
  <si>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</si>
  <si>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</si>
  <si>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</si>
  <si>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</si>
  <si>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</si>
  <si>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</si>
  <si>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</si>
  <si>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</si>
  <si>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</si>
  <si>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</si>
  <si>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</si>
  <si>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</si>
  <si>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</si>
  <si>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</si>
  <si>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</si>
  <si>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</si>
  <si>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</si>
  <si>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</si>
  <si>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</si>
  <si>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</si>
  <si>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</si>
  <si>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</si>
  <si>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</si>
  <si>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</si>
  <si>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</si>
  <si>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</si>
  <si>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</si>
  <si>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</si>
  <si>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</si>
  <si>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</si>
  <si>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</si>
  <si>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</si>
  <si>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</si>
  <si>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</si>
  <si>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</si>
  <si>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</si>
  <si>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</si>
  <si>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</si>
  <si>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</si>
  <si>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</si>
  <si>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</si>
  <si>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</si>
  <si>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</si>
  <si>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</si>
  <si>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</si>
  <si>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</si>
  <si>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</si>
  <si>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</si>
  <si>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</si>
  <si>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</si>
  <si>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</si>
  <si>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</si>
  <si>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</si>
  <si>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</si>
  <si>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</si>
  <si>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</si>
  <si>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</si>
  <si>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</si>
  <si>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</si>
  <si>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</si>
  <si>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</si>
  <si>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</si>
  <si>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</si>
  <si>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</si>
  <si>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</si>
  <si>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</si>
  <si>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</si>
  <si>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</si>
  <si>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</si>
  <si>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</si>
  <si>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</si>
  <si>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</si>
  <si>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</si>
  <si>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</si>
  <si>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</si>
  <si>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</si>
  <si>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</si>
  <si>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</si>
  <si>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</si>
  <si>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</si>
  <si>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</si>
  <si>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</si>
  <si>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</si>
  <si>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</si>
  <si>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</si>
  <si>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</si>
  <si>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</si>
  <si>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</si>
  <si>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</si>
  <si>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</si>
  <si>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</si>
  <si>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</si>
  <si>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</si>
  <si>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</si>
  <si>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</si>
  <si>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</si>
  <si>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</si>
  <si>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</si>
  <si>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</si>
  <si>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</si>
  <si>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</si>
  <si>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</si>
  <si>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</si>
  <si>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</si>
  <si>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</si>
  <si>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</si>
  <si>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</si>
  <si>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</si>
  <si>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</si>
  <si>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</si>
  <si>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</si>
  <si>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</si>
  <si>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</si>
  <si>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</si>
  <si>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</si>
  <si>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</si>
  <si>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</si>
  <si>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</si>
  <si>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</si>
  <si>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</si>
  <si>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</si>
  <si>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</si>
  <si>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</si>
  <si>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</si>
  <si>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</si>
  <si>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</si>
  <si>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</si>
  <si>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</si>
  <si>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</si>
  <si>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</si>
  <si>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</si>
  <si>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</si>
  <si>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</si>
  <si>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</si>
  <si>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</si>
  <si>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</si>
  <si>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</si>
  <si>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</si>
  <si>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</si>
  <si>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</si>
  <si>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</si>
  <si>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</si>
  <si>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</si>
  <si>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</si>
  <si>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</si>
  <si>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</si>
  <si>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</si>
  <si>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</si>
  <si>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</si>
  <si>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</si>
  <si>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</si>
  <si>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</si>
  <si>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</si>
  <si>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</si>
  <si>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</si>
  <si>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</si>
  <si>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</si>
  <si>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</si>
  <si>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</si>
  <si>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</si>
  <si>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</si>
  <si>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</si>
  <si>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</si>
  <si>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</si>
  <si>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</si>
  <si>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</si>
  <si>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</si>
  <si>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</si>
  <si>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</si>
  <si>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</si>
  <si>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</si>
  <si>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</si>
  <si>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</si>
  <si>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</si>
  <si>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</si>
  <si>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</si>
  <si>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</si>
  <si>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</si>
  <si>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</si>
  <si>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</si>
  <si>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</si>
  <si>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</si>
  <si>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</si>
  <si>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</si>
  <si>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</si>
  <si>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</si>
  <si>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</si>
  <si>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</si>
  <si>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</si>
  <si>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</si>
  <si>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</si>
  <si>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</si>
  <si>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</si>
  <si>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</si>
  <si>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</si>
  <si>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</si>
  <si>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</si>
  <si>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</si>
  <si>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</si>
  <si>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</si>
  <si>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</si>
  <si>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</si>
  <si>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</si>
  <si>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</si>
  <si>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</si>
  <si>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</si>
  <si>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</si>
  <si>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</si>
  <si>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</si>
  <si>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</si>
  <si>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</si>
  <si>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</si>
  <si>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</si>
  <si>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</si>
  <si>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</si>
  <si>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</si>
  <si>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</si>
  <si>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</si>
  <si>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</si>
  <si>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</si>
  <si>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</si>
  <si>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</si>
  <si>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</si>
  <si>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</si>
  <si>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</si>
  <si>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</si>
  <si>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</si>
  <si>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</si>
  <si>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</si>
  <si>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</si>
  <si>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</si>
  <si>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</si>
  <si>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</si>
  <si>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</si>
  <si>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</si>
  <si>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</si>
  <si>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</si>
  <si>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</si>
  <si>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</si>
  <si>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</si>
  <si>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</si>
  <si>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</si>
  <si>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</si>
  <si>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</si>
  <si>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</si>
  <si>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</si>
  <si>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</si>
  <si>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</si>
  <si>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</si>
  <si>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</si>
  <si>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</si>
  <si>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</si>
  <si>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</si>
  <si>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</si>
  <si>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</si>
  <si>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</si>
  <si>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</si>
  <si>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</si>
  <si>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</si>
  <si>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</si>
  <si>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</si>
  <si>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</si>
  <si>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</si>
  <si>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</si>
  <si>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</si>
  <si>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</si>
  <si>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</si>
  <si>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</si>
  <si>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</si>
  <si>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</si>
  <si>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</si>
  <si>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</si>
  <si>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</si>
  <si>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</si>
  <si>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</si>
  <si>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</si>
  <si>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</si>
  <si>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</si>
  <si>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</si>
  <si>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</si>
  <si>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</si>
  <si>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</si>
  <si>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</si>
  <si>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</si>
  <si>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</si>
  <si>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</si>
  <si>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</si>
  <si>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</si>
  <si>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</si>
  <si>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</si>
  <si>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</si>
  <si>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</si>
  <si>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</si>
  <si>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</si>
  <si>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</si>
  <si>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</si>
  <si>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</si>
  <si>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</si>
  <si>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</si>
  <si>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</si>
  <si>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</si>
  <si>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</si>
  <si>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</si>
  <si>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</si>
  <si>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</si>
  <si>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</si>
  <si>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</si>
  <si>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</si>
  <si>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</si>
  <si>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</si>
  <si>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</si>
  <si>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</si>
  <si>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</si>
  <si>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</si>
  <si>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</si>
  <si>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</si>
  <si>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</si>
  <si>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</si>
  <si>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</si>
  <si>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</si>
  <si>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</si>
  <si>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</si>
  <si>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</si>
  <si>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</si>
  <si>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</si>
  <si>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</si>
  <si>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</si>
  <si>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</si>
  <si>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</si>
  <si>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</si>
  <si>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</si>
  <si>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</si>
  <si>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</si>
  <si>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</si>
  <si>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</si>
  <si>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</si>
  <si>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</si>
  <si>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</si>
  <si>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</si>
  <si>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</si>
  <si>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</si>
  <si>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</si>
  <si>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</si>
  <si>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</si>
  <si>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</si>
  <si>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</si>
  <si>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</si>
  <si>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</si>
  <si>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</si>
  <si>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</si>
  <si>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</si>
  <si>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</si>
  <si>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</si>
  <si>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</si>
  <si>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</si>
  <si>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</si>
  <si>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</si>
  <si>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</si>
  <si>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</si>
  <si>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</si>
  <si>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</si>
  <si>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</si>
  <si>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</si>
  <si>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</si>
  <si>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</si>
  <si>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</si>
  <si>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</si>
  <si>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</si>
  <si>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</si>
  <si>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</si>
  <si>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</si>
  <si>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</si>
  <si>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</si>
  <si>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</si>
  <si>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</si>
  <si>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</si>
  <si>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</si>
  <si>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</si>
  <si>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</si>
  <si>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</si>
  <si>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</si>
  <si>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</si>
  <si>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</si>
  <si>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</si>
  <si>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</si>
  <si>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</si>
  <si>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</si>
  <si>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</si>
  <si>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</si>
  <si>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</si>
  <si>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</si>
  <si>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</si>
  <si>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</si>
  <si>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</si>
  <si>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</si>
  <si>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</si>
  <si>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</si>
  <si>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</si>
  <si>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</si>
  <si>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</si>
  <si>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</si>
  <si>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</si>
  <si>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</si>
  <si>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</si>
  <si>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</si>
  <si>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</si>
  <si>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</si>
  <si>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</si>
  <si>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</si>
  <si>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</si>
  <si>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</si>
  <si>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</si>
  <si>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</si>
  <si>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</si>
  <si>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</si>
  <si>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</si>
  <si>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</si>
  <si>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</si>
  <si>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</si>
  <si>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</si>
  <si>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</si>
  <si>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</si>
  <si>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</si>
  <si>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</si>
  <si>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</si>
  <si>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</si>
  <si>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</si>
  <si>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</si>
  <si>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</si>
  <si>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</si>
  <si>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</si>
  <si>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</si>
  <si>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</si>
  <si>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</si>
  <si>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</si>
  <si>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</si>
  <si>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</si>
  <si>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</si>
  <si>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</si>
  <si>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</si>
  <si>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</si>
  <si>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</si>
  <si>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</si>
  <si>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</si>
  <si>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</si>
  <si>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</si>
  <si>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</si>
  <si>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</si>
  <si>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</si>
  <si>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</si>
  <si>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</si>
  <si>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</si>
  <si>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</si>
  <si>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</si>
  <si>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</si>
  <si>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</si>
  <si>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</si>
  <si>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</si>
  <si>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</si>
  <si>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</si>
  <si>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</si>
  <si>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</si>
  <si>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</si>
  <si>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</si>
  <si>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</si>
  <si>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</si>
  <si>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</si>
  <si>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</si>
  <si>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</si>
  <si>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</si>
  <si>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</si>
  <si>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</si>
  <si>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</si>
  <si>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</si>
  <si>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</si>
  <si>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</si>
  <si>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</si>
  <si>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</si>
  <si>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</si>
  <si>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</si>
  <si>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</si>
  <si>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</si>
  <si>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</si>
  <si>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</si>
  <si>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</si>
  <si>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</si>
  <si>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</si>
  <si>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</si>
  <si>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</si>
  <si>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</si>
  <si>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</si>
  <si>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</si>
  <si>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</si>
  <si>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</si>
  <si>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</si>
  <si>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</si>
  <si>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</si>
  <si>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</si>
  <si>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</si>
  <si>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</si>
  <si>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</si>
  <si>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</si>
  <si>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</si>
  <si>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</si>
  <si>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</si>
  <si>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</si>
  <si>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</si>
  <si>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</si>
  <si>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</si>
  <si>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</si>
  <si>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</si>
  <si>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</si>
  <si>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</si>
  <si>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</si>
  <si>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</si>
  <si>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</si>
  <si>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</si>
  <si>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</si>
  <si>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</si>
  <si>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</si>
  <si>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</si>
  <si>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</si>
  <si>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</si>
  <si>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</si>
  <si>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</si>
  <si>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</si>
  <si>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</si>
  <si>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</si>
  <si>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</si>
  <si>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</si>
  <si>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</si>
  <si>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</si>
  <si>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</si>
  <si>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</si>
  <si>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</si>
  <si>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</si>
  <si>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</si>
  <si>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</si>
  <si>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</si>
  <si>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</si>
  <si>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</si>
  <si>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</si>
  <si>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</si>
  <si>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</si>
  <si>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</si>
  <si>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</si>
  <si>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</si>
  <si>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</si>
  <si>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</si>
  <si>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</si>
  <si>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</si>
  <si>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</si>
  <si>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</si>
  <si>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</si>
  <si>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</si>
  <si>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</si>
  <si>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</si>
  <si>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</si>
  <si>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</si>
  <si>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</si>
  <si>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</si>
  <si>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</si>
  <si>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</si>
  <si>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</si>
  <si>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</si>
  <si>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</si>
  <si>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</si>
  <si>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</si>
  <si>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</si>
  <si>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</si>
  <si>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</si>
  <si>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</si>
  <si>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</si>
  <si>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</si>
  <si>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</si>
  <si>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</si>
  <si>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</si>
  <si>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</si>
  <si>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</si>
  <si>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</si>
  <si>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</si>
  <si>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</si>
  <si>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</si>
  <si>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</si>
  <si>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</si>
  <si>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</si>
  <si>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</si>
  <si>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</si>
  <si>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</si>
  <si>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</si>
  <si>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</si>
  <si>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</si>
  <si>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</si>
  <si>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</si>
  <si>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</si>
  <si>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</si>
  <si>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</si>
  <si>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</si>
  <si>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</si>
  <si>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</si>
  <si>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</si>
  <si>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</si>
  <si>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</si>
  <si>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</si>
  <si>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</si>
  <si>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</si>
  <si>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</si>
  <si>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</si>
  <si>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</si>
  <si>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</si>
  <si>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</si>
  <si>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</si>
  <si>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</si>
  <si>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</si>
  <si>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</si>
  <si>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</si>
  <si>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</si>
  <si>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</si>
  <si>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</si>
  <si>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</si>
  <si>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</si>
  <si>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</si>
  <si>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</si>
  <si>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</si>
  <si>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</si>
  <si>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</si>
  <si>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</si>
  <si>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</si>
  <si>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</si>
  <si>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</si>
  <si>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</si>
  <si>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</si>
  <si>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</si>
  <si>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</si>
  <si>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</si>
  <si>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</si>
  <si>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</si>
  <si>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</si>
  <si>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</si>
  <si>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</si>
  <si>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</si>
  <si>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</si>
  <si>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</si>
  <si>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</si>
  <si>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</si>
  <si>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</si>
  <si>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</si>
  <si>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</si>
  <si>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</si>
  <si>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</si>
  <si>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</si>
  <si>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</si>
  <si>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</si>
  <si>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</si>
  <si>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</si>
  <si>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</si>
  <si>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</si>
  <si>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</si>
  <si>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</si>
  <si>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</si>
  <si>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</si>
  <si>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</si>
  <si>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</si>
  <si>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</si>
  <si>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</si>
  <si>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</si>
  <si>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</si>
  <si>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</si>
  <si>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</si>
  <si>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</si>
  <si>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</si>
  <si>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</si>
  <si>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</si>
  <si>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</si>
  <si>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</si>
  <si>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</si>
  <si>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</si>
  <si>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</si>
  <si>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</si>
  <si>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</si>
  <si>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</si>
  <si>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</si>
  <si>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</si>
  <si>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</si>
  <si>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</si>
  <si>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</si>
  <si>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</si>
  <si>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</si>
  <si>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</si>
  <si>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</si>
  <si>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</si>
  <si>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</si>
  <si>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</si>
  <si>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</si>
  <si>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</si>
  <si>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</si>
  <si>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</si>
  <si>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</si>
  <si>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</si>
  <si>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</si>
  <si>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</si>
  <si>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</si>
  <si>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</si>
  <si>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</si>
  <si>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</si>
  <si>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</si>
  <si>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</si>
  <si>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</si>
  <si>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</si>
  <si>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</si>
  <si>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</si>
  <si>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</si>
  <si>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</si>
  <si>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</si>
  <si>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</si>
  <si>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</si>
  <si>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</si>
  <si>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</si>
  <si>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</si>
  <si>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</si>
  <si>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</si>
  <si>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</si>
  <si>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</si>
  <si>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</si>
  <si>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</si>
  <si>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</si>
  <si>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</si>
  <si>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</si>
  <si>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</si>
  <si>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</si>
  <si>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</si>
  <si>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</si>
  <si>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</si>
  <si>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</si>
  <si>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</si>
  <si>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</si>
  <si>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</si>
  <si>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</si>
  <si>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</si>
  <si>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</si>
  <si>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</si>
  <si>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</si>
  <si>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</si>
  <si>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</si>
  <si>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</si>
  <si>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</si>
  <si>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</si>
  <si>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</si>
  <si>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</si>
  <si>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</si>
  <si>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</si>
  <si>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</si>
  <si>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</si>
  <si>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</si>
  <si>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</si>
  <si>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</si>
  <si>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</si>
  <si>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</si>
  <si>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</si>
  <si>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</si>
  <si>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</si>
  <si>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</si>
  <si>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</si>
  <si>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</si>
  <si>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</si>
  <si>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</si>
  <si>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</si>
  <si>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</si>
  <si>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</si>
  <si>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</si>
  <si>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</si>
  <si>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</si>
  <si>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</si>
  <si>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</si>
  <si>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</si>
  <si>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</si>
  <si>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</si>
  <si>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</si>
  <si>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</si>
  <si>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</si>
  <si>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</si>
  <si>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</si>
  <si>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</si>
  <si>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</si>
  <si>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</si>
  <si>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</si>
  <si>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</si>
  <si>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</si>
  <si>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</si>
  <si>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</si>
  <si>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</si>
  <si>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</si>
  <si>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</si>
  <si>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</si>
  <si>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</si>
  <si>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</si>
  <si>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</si>
  <si>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</si>
  <si>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</si>
  <si>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</si>
  <si>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</si>
  <si>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</si>
  <si>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</si>
  <si>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</si>
  <si>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</si>
  <si>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</si>
  <si>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</si>
  <si>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</si>
  <si>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</si>
  <si>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</si>
  <si>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</si>
  <si>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</si>
  <si>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</si>
  <si>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</si>
  <si>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</si>
  <si>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</si>
  <si>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</si>
  <si>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</si>
  <si>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</si>
  <si>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</si>
  <si>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</si>
  <si>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</si>
  <si>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</si>
  <si>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</si>
  <si>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</si>
  <si>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</si>
  <si>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</si>
  <si>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</si>
  <si>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</si>
  <si>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</si>
  <si>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</si>
  <si>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</si>
  <si>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</si>
  <si>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</si>
  <si>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</si>
  <si>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</si>
  <si>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</si>
  <si>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</si>
  <si>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</si>
  <si>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</si>
  <si>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</si>
  <si>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</si>
  <si>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</si>
  <si>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</si>
  <si>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</si>
  <si>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</si>
  <si>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</si>
  <si>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</si>
  <si>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</si>
  <si>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</si>
  <si>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</si>
  <si>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</si>
  <si>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</si>
  <si>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</si>
  <si>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</si>
  <si>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</si>
  <si>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</si>
  <si>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</si>
  <si>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</si>
  <si>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</si>
  <si>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</si>
  <si>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</si>
  <si>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</si>
  <si>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</si>
  <si>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</si>
  <si>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</si>
  <si>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</si>
  <si>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</si>
  <si>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</si>
  <si>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</si>
  <si>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</si>
  <si>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</si>
  <si>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</si>
  <si>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</si>
  <si>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</si>
  <si>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</si>
  <si>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</si>
  <si>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</si>
  <si>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</si>
  <si>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</si>
  <si>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</si>
  <si>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</si>
  <si>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</si>
  <si>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</si>
  <si>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</si>
  <si>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</si>
  <si>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</si>
  <si>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</si>
  <si>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</si>
  <si>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</si>
  <si>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</si>
  <si>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</si>
  <si>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</si>
  <si>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</si>
  <si>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</si>
  <si>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</si>
  <si>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</si>
  <si>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</si>
  <si>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</si>
  <si>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</si>
  <si>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</si>
  <si>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</si>
  <si>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</si>
  <si>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</si>
  <si>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</si>
  <si>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</si>
  <si>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</si>
  <si>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</si>
  <si>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</si>
  <si>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</si>
  <si>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</si>
  <si>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</si>
  <si>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</si>
  <si>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</si>
  <si>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</si>
  <si>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</si>
  <si>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</si>
  <si>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</si>
  <si>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</si>
  <si>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</si>
  <si>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</si>
  <si>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</si>
  <si>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</si>
  <si>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</si>
  <si>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</si>
  <si>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</si>
  <si>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</si>
  <si>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</si>
  <si>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</si>
  <si>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</si>
  <si>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</si>
  <si>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</si>
  <si>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</si>
  <si>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</si>
  <si>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</si>
  <si>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</si>
  <si>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</si>
  <si>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</si>
  <si>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</si>
  <si>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</si>
  <si>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</si>
  <si>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</si>
  <si>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</si>
  <si>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</si>
  <si>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</si>
  <si>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</si>
  <si>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</si>
  <si>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</si>
  <si>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</si>
  <si>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</si>
  <si>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</si>
  <si>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</si>
  <si>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</si>
  <si>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</si>
  <si>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</si>
  <si>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</si>
  <si>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</si>
  <si>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</si>
  <si>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</si>
  <si>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</si>
  <si>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</si>
  <si>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</si>
  <si>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</si>
  <si>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</si>
  <si>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</si>
  <si>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</si>
  <si>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</si>
  <si>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</si>
  <si>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</si>
  <si>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</si>
  <si>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</si>
  <si>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</si>
  <si>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</si>
  <si>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</si>
  <si>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</si>
  <si>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</si>
  <si>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</si>
  <si>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</si>
  <si>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</si>
  <si>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</si>
  <si>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</si>
  <si>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</si>
  <si>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</si>
  <si>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</si>
  <si>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</si>
  <si>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</si>
  <si>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</si>
  <si>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</si>
  <si>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</si>
  <si>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</si>
  <si>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</si>
  <si>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</si>
  <si>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</si>
  <si>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</si>
  <si>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</si>
  <si>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</si>
  <si>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</si>
  <si>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</si>
  <si>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</si>
  <si>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</si>
  <si>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</si>
  <si>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</si>
  <si>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</si>
  <si>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</si>
  <si>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</si>
  <si>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</si>
  <si>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</si>
  <si>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</si>
  <si>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</si>
  <si>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</si>
  <si>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</si>
  <si>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</si>
  <si>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</si>
  <si>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</si>
  <si>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</si>
  <si>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</si>
  <si>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</si>
  <si>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</si>
  <si>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</si>
  <si>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</si>
  <si>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</si>
  <si>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</si>
  <si>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</si>
  <si>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</si>
  <si>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</si>
  <si>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</si>
  <si>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</si>
  <si>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</si>
  <si>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</si>
  <si>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</si>
  <si>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</si>
  <si>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</si>
  <si>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</si>
  <si>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</si>
  <si>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</si>
  <si>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</si>
  <si>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</si>
  <si>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</si>
  <si>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</si>
  <si>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</si>
  <si>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</si>
  <si>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</si>
  <si>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</si>
  <si>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</si>
  <si>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</si>
  <si>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</si>
  <si>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</si>
  <si>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</si>
  <si>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</si>
  <si>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</si>
  <si>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</si>
  <si>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</si>
  <si>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</si>
  <si>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</si>
  <si>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</si>
  <si>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</si>
  <si>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</si>
  <si>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</si>
  <si>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</si>
  <si>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</si>
  <si>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</si>
  <si>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</si>
  <si>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</si>
  <si>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</si>
  <si>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</si>
  <si>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</si>
  <si>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</si>
  <si>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</si>
  <si>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</si>
  <si>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</si>
  <si>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</si>
  <si>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</si>
  <si>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</si>
  <si>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</si>
  <si>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</si>
  <si>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</si>
  <si>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</si>
  <si>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</si>
  <si>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</si>
  <si>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</si>
  <si>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</si>
  <si>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</si>
  <si>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</si>
  <si>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</si>
  <si>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</si>
  <si>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</si>
  <si>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</si>
  <si>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</si>
  <si>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</si>
  <si>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</si>
  <si>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</si>
  <si>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</si>
  <si>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</si>
  <si>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</si>
  <si>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</si>
  <si>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</si>
  <si>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</si>
  <si>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</si>
  <si>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</si>
  <si>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</si>
  <si>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</si>
  <si>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</si>
  <si>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</si>
  <si>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</si>
  <si>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</si>
  <si>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</si>
  <si>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</si>
  <si>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</si>
  <si>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</si>
  <si>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</si>
  <si>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</si>
  <si>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</si>
  <si>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</si>
  <si>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</si>
  <si>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</si>
  <si>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</si>
  <si>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</si>
  <si>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</si>
  <si>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</si>
  <si>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</si>
  <si>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</si>
  <si>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</si>
  <si>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</si>
  <si>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</si>
  <si>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</si>
  <si>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</si>
  <si>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</si>
  <si>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</si>
  <si>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</si>
  <si>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</si>
  <si>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</si>
  <si>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</si>
  <si>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</si>
  <si>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</si>
  <si>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</si>
  <si>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</si>
  <si>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</si>
  <si>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</si>
  <si>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</si>
  <si>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</si>
  <si>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</si>
  <si>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</si>
  <si>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</si>
  <si>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</si>
  <si>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</si>
  <si>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</si>
  <si>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</si>
  <si>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</si>
  <si>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</si>
  <si>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</si>
  <si>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</si>
  <si>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</si>
  <si>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</si>
  <si>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</si>
  <si>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</si>
  <si>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</si>
  <si>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</si>
  <si>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</si>
  <si>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</si>
  <si>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</si>
  <si>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</si>
  <si>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</si>
  <si>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</si>
  <si>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</si>
  <si>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</si>
  <si>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</si>
  <si>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</si>
  <si>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</si>
  <si>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</si>
  <si>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</si>
  <si>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</si>
  <si>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</si>
  <si>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</si>
  <si>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</si>
  <si>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</si>
  <si>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</si>
  <si>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</si>
  <si>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</si>
  <si>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</si>
  <si>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</si>
  <si>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</si>
  <si>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</si>
  <si>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</si>
  <si>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</si>
  <si>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</si>
  <si>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</si>
  <si>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</si>
  <si>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</si>
  <si>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</si>
  <si>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</si>
  <si>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</si>
  <si>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</si>
  <si>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</si>
  <si>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</si>
  <si>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</si>
  <si>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</si>
  <si>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</si>
  <si>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</si>
  <si>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</si>
  <si>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</si>
  <si>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</si>
  <si>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</si>
  <si>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</si>
  <si>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</si>
  <si>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</si>
  <si>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</si>
  <si>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</si>
  <si>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</si>
  <si>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</si>
  <si>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</si>
  <si>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</si>
  <si>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</si>
  <si>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</si>
  <si>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</si>
  <si>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</si>
  <si>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</si>
  <si>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</si>
  <si>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</si>
  <si>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</si>
  <si>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</si>
  <si>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</si>
  <si>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</si>
  <si>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</si>
  <si>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</si>
  <si>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</si>
  <si>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</si>
  <si>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</si>
  <si>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</si>
  <si>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</si>
  <si>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</si>
  <si>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</si>
  <si>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</si>
  <si>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</si>
  <si>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</si>
  <si>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</si>
  <si>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</si>
  <si>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</si>
  <si>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</si>
  <si>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</si>
  <si>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</si>
  <si>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</si>
  <si>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</si>
  <si>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</si>
  <si>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</si>
  <si>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</si>
  <si>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</si>
  <si>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</si>
  <si>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</si>
  <si>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</si>
  <si>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</si>
  <si>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</si>
  <si>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</si>
  <si>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</si>
  <si>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</si>
  <si>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</si>
  <si>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</si>
  <si>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</si>
  <si>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</si>
  <si>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</si>
  <si>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</si>
  <si>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</si>
  <si>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</si>
  <si>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</si>
  <si>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</si>
  <si>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</si>
  <si>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</si>
  <si>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</si>
  <si>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</si>
  <si>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</si>
  <si>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</si>
  <si>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</si>
  <si>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</si>
  <si>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</si>
  <si>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</si>
  <si>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</si>
  <si>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</si>
  <si>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</si>
  <si>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</si>
  <si>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</si>
  <si>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</si>
  <si>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</si>
  <si>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</si>
  <si>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</si>
  <si>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</si>
  <si>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</si>
  <si>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</si>
  <si>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</si>
  <si>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</si>
  <si>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</si>
  <si>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</si>
  <si>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</si>
  <si>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</si>
  <si>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</si>
  <si>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</si>
  <si>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</si>
  <si>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</si>
  <si>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</si>
  <si>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</si>
  <si>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</si>
  <si>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</si>
  <si>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</si>
  <si>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</si>
  <si>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</si>
  <si>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</si>
  <si>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</si>
  <si>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</si>
  <si>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</si>
  <si>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</si>
  <si>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</si>
  <si>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</si>
  <si>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</si>
  <si>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</si>
  <si>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</si>
  <si>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</si>
  <si>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</si>
  <si>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</si>
  <si>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</si>
  <si>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</si>
  <si>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</si>
  <si>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</si>
  <si>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</si>
  <si>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</si>
  <si>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</si>
  <si>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</si>
  <si>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</si>
  <si>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</si>
  <si>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</si>
  <si>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</si>
  <si>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</si>
  <si>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</si>
  <si>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</si>
  <si>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</si>
  <si>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</si>
  <si>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</si>
  <si>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</si>
  <si>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</si>
  <si>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</si>
  <si>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</si>
  <si>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</si>
  <si>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</si>
  <si>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</si>
  <si>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</si>
  <si>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</si>
  <si>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</si>
  <si>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</si>
  <si>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</si>
  <si>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</si>
  <si>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</si>
  <si>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</si>
  <si>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</si>
  <si>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</si>
  <si>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</si>
  <si>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</si>
  <si>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</si>
  <si>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</si>
  <si>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</si>
  <si>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</si>
  <si>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</si>
  <si>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</si>
  <si>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</si>
  <si>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</si>
  <si>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</si>
  <si>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</si>
  <si>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</si>
  <si>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</si>
  <si>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</si>
  <si>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</si>
  <si>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</si>
  <si>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</si>
  <si>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</si>
  <si>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</si>
  <si>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</si>
  <si>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</si>
  <si>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</si>
  <si>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</si>
  <si>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</si>
  <si>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</si>
  <si>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</si>
  <si>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</si>
  <si>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</si>
  <si>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</si>
  <si>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</si>
  <si>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</si>
  <si>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</si>
  <si>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</si>
  <si>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</si>
  <si>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</si>
  <si>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</si>
  <si>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</si>
  <si>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</si>
  <si>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</si>
  <si>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</si>
  <si>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</si>
  <si>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</si>
  <si>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</si>
  <si>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</si>
  <si>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</si>
  <si>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</si>
  <si>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</si>
  <si>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</si>
  <si>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</si>
  <si>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</si>
  <si>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</si>
  <si>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</si>
  <si>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</si>
  <si>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</si>
  <si>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</si>
  <si>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</si>
  <si>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</si>
  <si>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</si>
  <si>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</si>
  <si>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</si>
  <si>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</si>
  <si>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</si>
  <si>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</si>
  <si>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</si>
  <si>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</si>
  <si>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</si>
  <si>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</si>
  <si>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</si>
  <si>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</si>
  <si>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</si>
  <si>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</si>
  <si>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</si>
  <si>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</si>
  <si>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</si>
  <si>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</si>
  <si>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</si>
  <si>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</si>
  <si>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</si>
  <si>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</si>
  <si>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</si>
  <si>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</si>
  <si>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</si>
  <si>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</si>
  <si>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</si>
  <si>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</si>
  <si>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</si>
  <si>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</si>
  <si>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</si>
  <si>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</si>
  <si>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</si>
  <si>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</si>
  <si>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</si>
  <si>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</si>
  <si>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</si>
  <si>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</si>
  <si>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</si>
  <si>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</si>
  <si>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</si>
  <si>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</si>
  <si>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</si>
  <si>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</si>
  <si>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</si>
  <si>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</si>
  <si>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</si>
  <si>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</si>
  <si>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</si>
  <si>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</si>
  <si>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</si>
  <si>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</si>
  <si>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</si>
  <si>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</si>
  <si>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</si>
  <si>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</si>
  <si>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</si>
  <si>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</si>
  <si>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</si>
  <si>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</si>
  <si>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</si>
  <si>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</si>
  <si>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</si>
  <si>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</si>
  <si>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</si>
  <si>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</si>
  <si>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</si>
  <si>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</si>
  <si>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</si>
  <si>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</si>
  <si>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</si>
  <si>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</si>
  <si>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</si>
  <si>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</si>
  <si>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</si>
  <si>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</si>
  <si>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</si>
  <si>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</si>
  <si>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</si>
  <si>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</si>
  <si>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</si>
  <si>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</si>
  <si>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</si>
  <si>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</si>
  <si>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</si>
  <si>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</si>
  <si>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</si>
  <si>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</si>
  <si>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</si>
  <si>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</si>
  <si>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</si>
  <si>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</si>
  <si>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</si>
  <si>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</si>
  <si>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</si>
  <si>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</si>
  <si>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</si>
  <si>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</si>
  <si>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</si>
  <si>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</si>
  <si>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</si>
  <si>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</si>
  <si>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</si>
  <si>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</si>
  <si>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</si>
  <si>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</si>
  <si>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</si>
  <si>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</si>
  <si>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</si>
  <si>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</si>
  <si>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</si>
  <si>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</si>
  <si>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</si>
  <si>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</si>
  <si>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</si>
  <si>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</si>
  <si>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</si>
  <si>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</si>
  <si>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</si>
  <si>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</si>
  <si>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</si>
  <si>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</si>
  <si>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</si>
  <si>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</si>
  <si>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</si>
  <si>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</si>
  <si>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</si>
  <si>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</si>
  <si>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</si>
  <si>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</si>
  <si>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</si>
  <si>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</si>
  <si>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</si>
  <si>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</si>
  <si>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</si>
  <si>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</si>
  <si>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</si>
  <si>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</si>
  <si>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</si>
  <si>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</si>
  <si>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</si>
  <si>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</si>
  <si>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</si>
  <si>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</si>
  <si>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</si>
  <si>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</si>
  <si>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</si>
  <si>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</si>
  <si>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</si>
  <si>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</si>
  <si>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</si>
  <si>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</si>
  <si>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</si>
  <si>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</si>
  <si>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</si>
  <si>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</si>
  <si>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</si>
  <si>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</si>
  <si>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</si>
  <si>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</si>
  <si>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</si>
  <si>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</si>
  <si>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</si>
  <si>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</si>
  <si>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</si>
  <si>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</si>
  <si>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</si>
  <si>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</si>
  <si>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</si>
  <si>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</si>
  <si>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</si>
  <si>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</si>
  <si>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</si>
  <si>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</si>
  <si>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</si>
  <si>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</si>
  <si>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</si>
  <si>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</si>
  <si>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</si>
  <si>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</si>
  <si>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</si>
  <si>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</si>
  <si>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</si>
  <si>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</si>
  <si>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</si>
  <si>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</si>
  <si>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</si>
  <si>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</si>
  <si>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</si>
  <si>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</si>
  <si>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</si>
  <si>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</si>
  <si>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</si>
  <si>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</si>
  <si>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</si>
  <si>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</si>
  <si>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</si>
  <si>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</si>
  <si>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</si>
  <si>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</si>
  <si>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</si>
  <si>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</si>
  <si>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</si>
  <si>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</si>
  <si>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</si>
  <si>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</si>
  <si>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</si>
  <si>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</si>
  <si>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</si>
  <si>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</si>
  <si>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</si>
  <si>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</si>
  <si>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</si>
  <si>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</si>
  <si>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</si>
  <si>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</si>
  <si>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</si>
  <si>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</si>
  <si>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</si>
  <si>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</si>
  <si>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</si>
  <si>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</si>
  <si>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</si>
  <si>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</si>
  <si>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</si>
  <si>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</si>
  <si>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</si>
  <si>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</si>
  <si>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</si>
  <si>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</si>
  <si>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</si>
  <si>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</si>
  <si>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</si>
  <si>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</si>
  <si>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</si>
  <si>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</si>
  <si>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</si>
  <si>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</si>
  <si>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</si>
  <si>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</si>
  <si>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</si>
  <si>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</si>
  <si>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</si>
  <si>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</si>
  <si>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</si>
  <si>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</si>
  <si>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</si>
  <si>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</si>
  <si>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</si>
  <si>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</si>
  <si>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</si>
  <si>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</si>
  <si>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</si>
  <si>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</si>
  <si>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</si>
  <si>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</si>
  <si>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</si>
  <si>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</si>
  <si>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</si>
  <si>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</si>
  <si>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</si>
  <si>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</si>
  <si>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</si>
  <si>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</si>
  <si>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</si>
  <si>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</si>
  <si>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</si>
  <si>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</si>
  <si>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</si>
  <si>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</si>
  <si>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</si>
  <si>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</si>
  <si>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</si>
  <si>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</si>
  <si>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</si>
  <si>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</si>
  <si>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</si>
  <si>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</si>
  <si>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</si>
  <si>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</si>
  <si>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</si>
  <si>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</si>
  <si>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</si>
  <si>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</si>
  <si>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</si>
  <si>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</si>
  <si>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</si>
  <si>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</si>
  <si>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</si>
  <si>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</si>
  <si>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</si>
  <si>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</si>
  <si>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</si>
  <si>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</si>
  <si>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</si>
  <si>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</si>
  <si>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</si>
  <si>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</si>
  <si>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</si>
  <si>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</si>
  <si>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</si>
  <si>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</si>
  <si>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</si>
  <si>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</si>
  <si>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</si>
  <si>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</si>
  <si>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</si>
  <si>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</si>
  <si>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</si>
  <si>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</si>
  <si>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</si>
  <si>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</si>
  <si>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</si>
  <si>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</si>
  <si>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</si>
  <si>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</si>
  <si>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</si>
  <si>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</si>
  <si>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</si>
  <si>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</si>
  <si>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</si>
  <si>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</si>
  <si>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</si>
  <si>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</si>
  <si>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</si>
  <si>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</si>
  <si>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</si>
  <si>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</si>
  <si>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</si>
  <si>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</si>
  <si>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</si>
  <si>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</si>
  <si>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</si>
  <si>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</si>
  <si>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</si>
  <si>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</si>
  <si>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</si>
  <si>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</si>
  <si>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</si>
  <si>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</si>
  <si>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</si>
  <si>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</si>
  <si>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</si>
  <si>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</si>
  <si>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</si>
  <si>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</si>
  <si>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</si>
  <si>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</si>
  <si>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</si>
  <si>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</si>
  <si>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</si>
  <si>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</si>
  <si>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</si>
  <si>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</si>
  <si>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</si>
  <si>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</si>
  <si>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</si>
  <si>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</si>
  <si>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</si>
  <si>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</si>
  <si>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</si>
  <si>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</si>
  <si>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</si>
  <si>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</si>
  <si>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</si>
  <si>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</si>
  <si>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</si>
  <si>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</si>
  <si>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</si>
  <si>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</si>
  <si>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</si>
  <si>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</si>
  <si>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</si>
  <si>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</si>
  <si>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</si>
  <si>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</si>
  <si>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</si>
  <si>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</si>
  <si>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</si>
  <si>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</si>
  <si>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</si>
  <si>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</si>
  <si>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</si>
  <si>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</si>
  <si>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</si>
  <si>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</si>
  <si>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</si>
  <si>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</si>
  <si>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</si>
  <si>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</si>
  <si>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</si>
  <si>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</si>
  <si>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</si>
  <si>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</si>
  <si>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</si>
  <si>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</si>
  <si>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</si>
  <si>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</si>
  <si>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</si>
  <si>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</si>
  <si>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</si>
  <si>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</si>
  <si>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</si>
  <si>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</si>
  <si>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</si>
  <si>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</si>
  <si>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</si>
  <si>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</si>
  <si>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</si>
  <si>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</si>
  <si>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</si>
  <si>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</si>
  <si>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</si>
  <si>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</si>
  <si>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</si>
  <si>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</si>
  <si>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</si>
  <si>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</si>
  <si>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</si>
  <si>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</si>
  <si>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</si>
  <si>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</si>
  <si>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</si>
  <si>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</si>
  <si>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</si>
  <si>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</si>
  <si>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</si>
  <si>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</si>
  <si>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</si>
  <si>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</si>
  <si>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</si>
  <si>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</si>
  <si>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</si>
  <si>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</si>
  <si>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</si>
  <si>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</si>
  <si>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</si>
  <si>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</si>
  <si>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</si>
  <si>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</si>
  <si>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</si>
  <si>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</si>
  <si>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</si>
  <si>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</si>
  <si>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</si>
  <si>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</si>
  <si>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</si>
  <si>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</si>
  <si>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</si>
  <si>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</si>
  <si>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</si>
  <si>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</si>
  <si>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</si>
  <si>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</si>
  <si>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</si>
  <si>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</si>
  <si>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</si>
  <si>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</si>
  <si>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</si>
  <si>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</si>
  <si>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</si>
  <si>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</si>
  <si>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</si>
  <si>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</si>
  <si>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</si>
  <si>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</si>
  <si>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</si>
  <si>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</si>
  <si>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</si>
  <si>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</si>
  <si>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</si>
  <si>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</si>
  <si>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</si>
  <si>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</si>
  <si>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</si>
  <si>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</si>
  <si>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</si>
  <si>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</si>
  <si>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</si>
  <si>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</si>
  <si>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</si>
  <si>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</si>
  <si>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</si>
  <si>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</si>
  <si>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</si>
  <si>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</si>
  <si>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</si>
  <si>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</si>
  <si>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</si>
  <si>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</si>
  <si>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</si>
  <si>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</si>
  <si>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</si>
  <si>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</si>
  <si>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</si>
  <si>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</si>
  <si>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</si>
  <si>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</si>
  <si>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</si>
  <si>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</si>
  <si>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</si>
  <si>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</si>
  <si>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</si>
  <si>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</si>
  <si>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</si>
  <si>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</si>
  <si>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</si>
  <si>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</si>
  <si>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</si>
  <si>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</si>
  <si>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</si>
  <si>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</si>
  <si>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</si>
  <si>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</si>
  <si>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</si>
  <si>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</si>
  <si>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</si>
  <si>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</si>
  <si>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</si>
  <si>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</si>
  <si>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</si>
  <si>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</si>
  <si>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</si>
  <si>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</si>
  <si>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</si>
  <si>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</si>
  <si>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</si>
  <si>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</si>
  <si>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</si>
  <si>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</si>
  <si>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</si>
  <si>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</si>
  <si>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</si>
  <si>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</si>
  <si>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</si>
  <si>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</si>
  <si>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</si>
  <si>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</si>
  <si>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</si>
  <si>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</si>
  <si>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</si>
  <si>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</si>
  <si>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</si>
  <si>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</si>
  <si>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</si>
  <si>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</si>
  <si>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</si>
  <si>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</si>
  <si>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</si>
  <si>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</si>
  <si>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</si>
  <si>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</si>
  <si>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</si>
  <si>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</si>
  <si>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</si>
  <si>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</si>
  <si>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</si>
  <si>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</si>
  <si>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</si>
  <si>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</si>
  <si>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</si>
  <si>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</si>
  <si>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</si>
  <si>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</si>
  <si>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</si>
  <si>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</si>
  <si>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</si>
  <si>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</si>
  <si>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</si>
  <si>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</si>
  <si>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</si>
  <si>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</si>
  <si>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</si>
  <si>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</si>
  <si>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</si>
  <si>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</si>
  <si>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</si>
  <si>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</si>
  <si>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</si>
  <si>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</si>
  <si>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</si>
  <si>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</si>
  <si>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</si>
  <si>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</si>
  <si>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</si>
  <si>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</si>
  <si>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</si>
  <si>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</si>
  <si>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</si>
  <si>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</si>
  <si>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</si>
  <si>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</si>
  <si>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</si>
  <si>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</si>
  <si>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</si>
  <si>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</si>
  <si>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</si>
  <si>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</si>
  <si>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</si>
  <si>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</si>
  <si>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</si>
  <si>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</si>
  <si>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</si>
  <si>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</si>
  <si>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</si>
  <si>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</si>
  <si>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</si>
  <si>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</si>
  <si>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</si>
  <si>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</si>
  <si>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</si>
  <si>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</si>
  <si>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</si>
  <si>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</si>
  <si>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</si>
  <si>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</si>
  <si>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</si>
  <si>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</si>
  <si>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</si>
  <si>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</si>
  <si>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</si>
  <si>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</si>
  <si>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</si>
  <si>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</si>
  <si>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</si>
  <si>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</si>
  <si>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</si>
  <si>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</si>
  <si>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</si>
  <si>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</si>
  <si>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</si>
  <si>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</si>
  <si>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</si>
  <si>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</si>
  <si>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</si>
  <si>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</si>
  <si>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</si>
  <si>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</si>
  <si>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</si>
  <si>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</si>
  <si>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</si>
  <si>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</si>
  <si>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</si>
  <si>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</si>
  <si>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</si>
  <si>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</si>
  <si>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</si>
  <si>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</si>
  <si>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</si>
  <si>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</si>
  <si>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</si>
  <si>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</si>
  <si>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</si>
  <si>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</si>
  <si>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</si>
  <si>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</si>
  <si>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</si>
  <si>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</si>
  <si>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</si>
  <si>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</si>
  <si>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</si>
  <si>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</si>
  <si>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</si>
  <si>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</si>
  <si>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</si>
  <si>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</si>
  <si>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</si>
  <si>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</si>
  <si>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</si>
  <si>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</si>
  <si>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</si>
  <si>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</si>
  <si>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</si>
  <si>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</si>
  <si>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</si>
  <si>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</si>
  <si>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</si>
  <si>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</si>
  <si>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</si>
  <si>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</si>
  <si>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</si>
  <si>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</si>
  <si>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</si>
  <si>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</si>
  <si>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</si>
  <si>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</si>
  <si>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</si>
  <si>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</si>
  <si>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</si>
  <si>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</si>
  <si>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</si>
  <si>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</si>
  <si>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</si>
  <si>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</si>
  <si>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</si>
  <si>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</si>
  <si>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</si>
  <si>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</si>
  <si>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</si>
  <si>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</si>
  <si>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</si>
  <si>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</si>
  <si>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</si>
  <si>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</si>
  <si>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</si>
  <si>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</si>
  <si>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</si>
  <si>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</si>
  <si>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</si>
  <si>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</si>
  <si>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</si>
  <si>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</si>
  <si>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</si>
  <si>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</si>
  <si>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</si>
  <si>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</si>
  <si>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</si>
  <si>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</si>
  <si>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</si>
  <si>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</si>
  <si>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</si>
  <si>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</si>
  <si>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</si>
  <si>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</si>
  <si>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</si>
  <si>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</si>
  <si>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</si>
  <si>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</si>
  <si>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</si>
  <si>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</si>
  <si>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</si>
  <si>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</si>
  <si>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</si>
  <si>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</si>
  <si>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</si>
  <si>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</si>
  <si>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</si>
  <si>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</si>
  <si>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</si>
  <si>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</si>
  <si>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</si>
  <si>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</si>
  <si>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</si>
  <si>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</si>
  <si>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</si>
  <si>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</si>
  <si>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</si>
  <si>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</si>
  <si>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</si>
  <si>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</si>
  <si>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</si>
  <si>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</si>
  <si>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</si>
  <si>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</si>
  <si>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</si>
  <si>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</si>
  <si>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</si>
  <si>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</si>
  <si>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</si>
  <si>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</si>
  <si>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</si>
  <si>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</si>
  <si>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</si>
  <si>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</si>
  <si>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</si>
  <si>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</si>
  <si>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</si>
  <si>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</si>
  <si>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</si>
  <si>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</si>
  <si>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</si>
  <si>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</si>
  <si>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</si>
  <si>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</si>
  <si>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</si>
  <si>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</si>
  <si>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</si>
  <si>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</si>
  <si>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</si>
  <si>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</si>
  <si>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</si>
  <si>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</si>
  <si>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</si>
  <si>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</si>
  <si>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</si>
  <si>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</si>
  <si>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</si>
  <si>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</si>
  <si>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</si>
  <si>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</si>
  <si>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</si>
  <si>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</si>
  <si>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</si>
  <si>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</si>
  <si>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</si>
  <si>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</si>
  <si>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</si>
  <si>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</si>
  <si>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</si>
  <si>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</si>
  <si>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</si>
  <si>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</si>
  <si>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</si>
  <si>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</si>
  <si>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</si>
  <si>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</si>
  <si>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</si>
  <si>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</si>
  <si>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</si>
  <si>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</si>
  <si>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</si>
  <si>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</si>
  <si>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</si>
  <si>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</si>
  <si>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</si>
  <si>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</si>
  <si>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</si>
  <si>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</si>
  <si>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</si>
  <si>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</si>
  <si>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</si>
  <si>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</si>
  <si>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</si>
  <si>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</si>
  <si>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</si>
  <si>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</si>
  <si>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</si>
  <si>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</si>
  <si>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</si>
  <si>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</si>
  <si>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</si>
  <si>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</si>
  <si>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</si>
  <si>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</si>
  <si>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</si>
  <si>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</si>
  <si>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</si>
  <si>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</si>
  <si>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</si>
  <si>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</si>
  <si>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</si>
  <si>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</si>
  <si>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</si>
  <si>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</si>
  <si>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</si>
  <si>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</si>
  <si>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</si>
  <si>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</si>
  <si>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</si>
  <si>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</si>
  <si>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</si>
  <si>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</si>
  <si>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</si>
  <si>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</si>
  <si>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</si>
  <si>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</si>
  <si>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</si>
  <si>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</si>
  <si>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</si>
  <si>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</si>
  <si>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</si>
  <si>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</si>
  <si>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</si>
  <si>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</si>
  <si>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</si>
  <si>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</si>
  <si>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</si>
  <si>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</si>
  <si>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</si>
  <si>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</si>
  <si>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</si>
  <si>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</si>
  <si>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</si>
  <si>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</si>
  <si>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</si>
  <si>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</si>
  <si>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</si>
  <si>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</si>
  <si>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</si>
  <si>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</si>
  <si>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</si>
  <si>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</si>
  <si>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</si>
  <si>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</si>
  <si>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</si>
  <si>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</si>
  <si>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</si>
  <si>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</si>
  <si>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</si>
  <si>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</si>
  <si>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</si>
  <si>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</si>
  <si>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</si>
  <si>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</si>
  <si>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</si>
  <si>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</si>
  <si>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</si>
  <si>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</si>
  <si>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</si>
  <si>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</si>
  <si>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</si>
  <si>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</si>
  <si>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</si>
  <si>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</si>
  <si>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</si>
  <si>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</si>
  <si>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</si>
  <si>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</si>
  <si>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</si>
  <si>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</si>
  <si>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</si>
  <si>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</si>
  <si>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</si>
  <si>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</si>
  <si>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</si>
  <si>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</si>
  <si>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</si>
  <si>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</si>
  <si>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</si>
  <si>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</si>
  <si>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</si>
  <si>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</si>
  <si>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</si>
  <si>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</si>
  <si>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</si>
  <si>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</si>
  <si>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</si>
  <si>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</si>
  <si>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</si>
  <si>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</si>
  <si>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</si>
  <si>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</si>
  <si>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</si>
  <si>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</si>
  <si>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</si>
  <si>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</si>
  <si>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</si>
  <si>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</si>
  <si>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</si>
  <si>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</si>
  <si>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</si>
  <si>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</si>
  <si>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</si>
  <si>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</si>
  <si>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</si>
  <si>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</si>
  <si>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</si>
  <si>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</si>
  <si>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</si>
  <si>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</si>
  <si>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</si>
  <si>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</si>
  <si>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</si>
  <si>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</si>
  <si>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</si>
  <si>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</si>
  <si>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</si>
  <si>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</si>
  <si>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</si>
  <si>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</si>
  <si>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</si>
  <si>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</si>
  <si>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</si>
  <si>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</si>
  <si>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</si>
  <si>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</si>
  <si>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</si>
  <si>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</si>
  <si>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</si>
  <si>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</si>
  <si>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</si>
  <si>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</si>
  <si>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</si>
  <si>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</si>
  <si>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</si>
  <si>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</si>
  <si>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</si>
  <si>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</si>
  <si>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</si>
  <si>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</si>
  <si>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</si>
  <si>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</si>
  <si>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</si>
  <si>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</si>
  <si>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</si>
  <si>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</si>
  <si>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</si>
  <si>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</si>
  <si>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</si>
  <si>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</si>
  <si>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</si>
  <si>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</si>
  <si>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</si>
  <si>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</si>
  <si>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</si>
  <si>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</si>
  <si>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</si>
  <si>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</si>
  <si>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</si>
  <si>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</si>
  <si>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</si>
  <si>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</si>
  <si>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</si>
  <si>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</si>
  <si>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</si>
  <si>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</si>
  <si>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</si>
  <si>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</si>
  <si>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</si>
  <si>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</si>
  <si>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</si>
  <si>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</si>
  <si>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</si>
  <si>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</si>
  <si>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</si>
  <si>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</si>
  <si>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</si>
  <si>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</si>
  <si>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</si>
  <si>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</si>
  <si>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</si>
  <si>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</si>
  <si>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</si>
  <si>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</si>
  <si>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</si>
  <si>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</si>
  <si>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</si>
  <si>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</si>
  <si>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</si>
  <si>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</si>
  <si>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</si>
  <si>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</si>
  <si>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</si>
  <si>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</si>
  <si>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</si>
  <si>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</si>
  <si>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</si>
  <si>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</si>
  <si>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</si>
  <si>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</si>
  <si>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</si>
  <si>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</si>
  <si>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</si>
  <si>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</si>
  <si>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</si>
  <si>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</si>
  <si>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</si>
  <si>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</si>
  <si>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</si>
  <si>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</si>
  <si>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</si>
  <si>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</si>
  <si>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</si>
  <si>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</si>
  <si>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</si>
  <si>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</si>
  <si>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</si>
  <si>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</si>
  <si>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</si>
  <si>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</si>
  <si>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</si>
  <si>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</si>
  <si>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</si>
  <si>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</si>
  <si>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</si>
  <si>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</si>
  <si>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</si>
  <si>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</si>
  <si>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</si>
  <si>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</si>
  <si>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</si>
  <si>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</si>
  <si>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</si>
  <si>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</si>
  <si>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</si>
  <si>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</si>
  <si>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</si>
  <si>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</si>
  <si>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</si>
  <si>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</si>
  <si>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</si>
  <si>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</si>
  <si>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</si>
  <si>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</si>
  <si>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</si>
  <si>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</si>
  <si>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</si>
  <si>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</si>
  <si>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</si>
  <si>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</si>
  <si>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</si>
  <si>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</si>
  <si>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</si>
  <si>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</si>
  <si>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</si>
  <si>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</si>
  <si>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</si>
  <si>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</si>
  <si>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</si>
  <si>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</si>
  <si>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</si>
  <si>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</si>
  <si>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</si>
  <si>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</si>
  <si>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</si>
  <si>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</si>
  <si>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</si>
  <si>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</si>
  <si>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</si>
  <si>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</si>
  <si>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</si>
  <si>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</si>
  <si>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</si>
  <si>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</si>
  <si>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</si>
  <si>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</si>
  <si>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</si>
  <si>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</si>
  <si>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</si>
  <si>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</si>
  <si>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</si>
  <si>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</si>
  <si>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</si>
  <si>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</si>
  <si>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</si>
  <si>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</si>
  <si>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</si>
  <si>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</si>
  <si>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</si>
  <si>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</si>
  <si>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</si>
  <si>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</si>
  <si>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</si>
  <si>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</si>
  <si>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</si>
  <si>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</si>
  <si>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</si>
  <si>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</si>
  <si>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</si>
  <si>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</si>
  <si>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</si>
  <si>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</si>
  <si>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</si>
  <si>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</si>
  <si>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</si>
  <si>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</si>
  <si>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</si>
  <si>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</si>
  <si>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</si>
  <si>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</si>
  <si>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</si>
  <si>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</si>
  <si>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</si>
  <si>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</si>
  <si>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</si>
  <si>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</si>
  <si>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</si>
  <si>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</si>
  <si>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</si>
  <si>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</si>
  <si>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</si>
  <si>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</si>
  <si>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</si>
  <si>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</si>
  <si>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</si>
  <si>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</si>
  <si>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</si>
  <si>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</si>
  <si>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</si>
  <si>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</si>
  <si>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</si>
  <si>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</si>
  <si>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</si>
  <si>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</si>
  <si>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</si>
  <si>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</si>
  <si>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</si>
  <si>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</si>
  <si>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</si>
  <si>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</si>
  <si>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</si>
  <si>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</si>
  <si>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</si>
  <si>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</si>
  <si>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</si>
  <si>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</si>
  <si>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</si>
  <si>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</si>
  <si>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</si>
  <si>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</si>
  <si>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</si>
  <si>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</si>
  <si>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</si>
  <si>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</si>
  <si>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</si>
  <si>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</si>
  <si>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</si>
  <si>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</si>
  <si>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</si>
  <si>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</si>
  <si>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</si>
  <si>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</si>
  <si>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</si>
  <si>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</si>
  <si>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</si>
  <si>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</si>
  <si>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</si>
  <si>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</si>
  <si>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</si>
  <si>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</si>
  <si>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</si>
  <si>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</si>
  <si>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</si>
  <si>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</si>
  <si>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</si>
  <si>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</si>
  <si>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</si>
  <si>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</si>
  <si>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</si>
  <si>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</si>
  <si>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</si>
  <si>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</si>
  <si>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</si>
  <si>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</si>
  <si>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</si>
  <si>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</si>
  <si>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</si>
  <si>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</si>
  <si>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</si>
  <si>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</si>
  <si>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</si>
  <si>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</si>
  <si>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</si>
  <si>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</si>
  <si>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</si>
  <si>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</si>
  <si>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</si>
  <si>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</si>
  <si>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</si>
  <si>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</si>
  <si>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</si>
  <si>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</si>
  <si>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</si>
  <si>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</si>
  <si>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</si>
  <si>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</si>
  <si>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</si>
  <si>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</si>
  <si>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</si>
  <si>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</si>
  <si>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</si>
  <si>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</si>
  <si>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</si>
  <si>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</si>
  <si>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</si>
  <si>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</si>
  <si>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</si>
  <si>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</si>
  <si>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</si>
  <si>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</si>
  <si>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</si>
  <si>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</si>
  <si>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</si>
  <si>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</si>
  <si>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</si>
  <si>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</si>
  <si>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</si>
  <si>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</si>
  <si>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</si>
  <si>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</si>
  <si>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</si>
  <si>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</si>
  <si>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</si>
  <si>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</si>
  <si>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</si>
  <si>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</si>
  <si>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</si>
  <si>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</si>
  <si>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</si>
  <si>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</si>
  <si>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</si>
  <si>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</si>
  <si>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</si>
  <si>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</si>
  <si>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</si>
  <si>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</si>
  <si>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</si>
  <si>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</si>
  <si>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</si>
  <si>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</si>
  <si>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</si>
  <si>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</si>
  <si>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</si>
  <si>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</si>
  <si>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</si>
  <si>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</si>
  <si>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</si>
  <si>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</si>
  <si>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</si>
  <si>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</si>
  <si>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</si>
  <si>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</si>
  <si>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</si>
  <si>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</si>
  <si>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</si>
  <si>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</si>
  <si>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</si>
  <si>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</si>
  <si>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</si>
  <si>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</si>
  <si>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</si>
  <si>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</si>
  <si>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</si>
  <si>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</si>
  <si>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</si>
  <si>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</si>
  <si>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</si>
  <si>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</si>
  <si>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</si>
  <si>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</si>
  <si>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</si>
  <si>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</si>
  <si>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</si>
  <si>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</si>
  <si>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</si>
  <si>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</si>
  <si>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</si>
  <si>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</si>
  <si>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</si>
  <si>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</si>
  <si>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</si>
  <si>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</si>
  <si>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</si>
  <si>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</si>
  <si>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</si>
  <si>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</si>
  <si>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</si>
  <si>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</si>
  <si>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</si>
  <si>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</si>
  <si>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</si>
  <si>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</si>
  <si>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</si>
  <si>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</si>
  <si>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</si>
  <si>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</si>
  <si>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</si>
  <si>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</si>
  <si>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</si>
  <si>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</si>
  <si>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</si>
  <si>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</si>
  <si>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</si>
  <si>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</si>
  <si>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</si>
  <si>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</si>
  <si>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</si>
  <si>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</si>
  <si>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</si>
  <si>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</si>
  <si>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</si>
  <si>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</si>
  <si>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</si>
  <si>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</si>
  <si>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</si>
  <si>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</si>
  <si>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</si>
  <si>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</si>
  <si>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</si>
  <si>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</si>
  <si>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</si>
  <si>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</si>
  <si>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</si>
  <si>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</si>
  <si>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</si>
  <si>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</si>
  <si>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</si>
  <si>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</si>
  <si>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</si>
  <si>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</si>
  <si>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</si>
  <si>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</si>
  <si>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</si>
  <si>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</si>
  <si>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</si>
  <si>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</si>
  <si>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</si>
  <si>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</si>
  <si>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</si>
  <si>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</si>
  <si>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</si>
  <si>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</si>
  <si>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</si>
  <si>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</si>
  <si>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</si>
  <si>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</si>
  <si>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</si>
  <si>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</si>
  <si>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</si>
  <si>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</si>
  <si>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</si>
  <si>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</si>
  <si>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</si>
  <si>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</si>
  <si>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</si>
  <si>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</si>
  <si>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</si>
  <si>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</si>
  <si>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</si>
  <si>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</si>
  <si>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</si>
  <si>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</si>
  <si>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</si>
  <si>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</si>
  <si>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</si>
  <si>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</si>
  <si>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</si>
  <si>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</si>
  <si>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</si>
  <si>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</si>
  <si>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</si>
  <si>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</si>
  <si>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</si>
  <si>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</si>
  <si>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</si>
  <si>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</si>
  <si>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</si>
  <si>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</si>
  <si>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</si>
  <si>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</si>
  <si>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</si>
  <si>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</si>
  <si>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</si>
  <si>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</si>
  <si>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</si>
  <si>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</si>
  <si>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</si>
  <si>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</si>
  <si>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</si>
  <si>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</si>
  <si>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</si>
  <si>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</si>
  <si>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</si>
  <si>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</si>
  <si>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</si>
  <si>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</si>
  <si>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</si>
  <si>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</si>
  <si>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</si>
  <si>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</si>
  <si>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</si>
  <si>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</si>
  <si>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</si>
  <si>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</si>
  <si>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</si>
  <si>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</si>
  <si>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</si>
  <si>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</si>
  <si>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</si>
  <si>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</si>
  <si>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</si>
  <si>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</si>
  <si>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</si>
  <si>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</si>
  <si>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</si>
  <si>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</si>
  <si>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</si>
  <si>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</si>
  <si>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</si>
  <si>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</si>
  <si>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</si>
  <si>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</si>
  <si>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</si>
  <si>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</si>
  <si>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</si>
  <si>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</si>
  <si>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</si>
  <si>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</si>
  <si>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</si>
  <si>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</si>
  <si>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</si>
  <si>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</si>
  <si>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</si>
  <si>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</si>
  <si>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</si>
  <si>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</si>
  <si>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</si>
  <si>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</si>
  <si>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</si>
  <si>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</si>
  <si>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</si>
  <si>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</si>
  <si>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</si>
  <si>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</si>
  <si>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</si>
  <si>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</si>
  <si>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</si>
  <si>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</si>
  <si>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</si>
  <si>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</si>
  <si>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</si>
  <si>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</si>
  <si>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</si>
  <si>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</si>
  <si>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</si>
  <si>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</si>
  <si>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</si>
  <si>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</si>
  <si>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</si>
  <si>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</si>
  <si>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</si>
  <si>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</si>
  <si>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</si>
  <si>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</si>
  <si>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</si>
  <si>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</si>
  <si>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</si>
  <si>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</si>
  <si>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</si>
  <si>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</si>
  <si>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</si>
  <si>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</si>
  <si>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</si>
  <si>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</si>
  <si>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</si>
  <si>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</si>
  <si>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</si>
  <si>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</si>
  <si>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</si>
  <si>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</si>
  <si>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</si>
  <si>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</si>
  <si>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</si>
  <si>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</si>
  <si>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</si>
  <si>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</si>
  <si>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</si>
  <si>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</si>
  <si>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</si>
  <si>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</si>
  <si>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</si>
  <si>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</si>
  <si>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</si>
  <si>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</si>
  <si>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</si>
  <si>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</si>
  <si>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</si>
  <si>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</si>
  <si>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</si>
  <si>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</si>
  <si>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</si>
  <si>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</si>
  <si>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</si>
  <si>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</si>
  <si>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</si>
  <si>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</si>
  <si>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</si>
  <si>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</si>
  <si>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</si>
  <si>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</si>
  <si>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</si>
  <si>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</si>
  <si>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</si>
  <si>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</si>
  <si>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</si>
  <si>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</si>
  <si>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</si>
  <si>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</si>
  <si>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</si>
  <si>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</si>
  <si>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</si>
  <si>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</si>
  <si>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</si>
  <si>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</si>
  <si>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</si>
  <si>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</si>
  <si>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</si>
  <si>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</si>
  <si>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</si>
  <si>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</si>
  <si>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</si>
  <si>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</si>
  <si>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</si>
  <si>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</si>
  <si>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</si>
  <si>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</si>
  <si>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</si>
  <si>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</si>
  <si>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</si>
  <si>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</si>
  <si>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</si>
  <si>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</si>
  <si>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</si>
  <si>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</si>
  <si>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</si>
  <si>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</si>
  <si>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</si>
  <si>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</si>
  <si>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</si>
  <si>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</si>
  <si>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</si>
  <si>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</si>
  <si>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</si>
  <si>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</si>
  <si>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</si>
  <si>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</si>
  <si>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</si>
  <si>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</si>
  <si>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</si>
  <si>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</si>
  <si>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</si>
  <si>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</si>
  <si>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</si>
  <si>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</si>
  <si>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</si>
  <si>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</si>
  <si>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</si>
  <si>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</si>
  <si>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</si>
  <si>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</si>
  <si>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</si>
  <si>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</si>
  <si>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</si>
  <si>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</si>
  <si>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</si>
  <si>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</si>
  <si>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</si>
  <si>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</si>
  <si>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</si>
  <si>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</si>
  <si>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</si>
  <si>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</si>
  <si>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</si>
  <si>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</si>
  <si>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</si>
  <si>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</si>
  <si>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</si>
  <si>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</si>
  <si>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</si>
  <si>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</si>
  <si>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</si>
  <si>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</si>
  <si>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</si>
  <si>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</si>
  <si>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</si>
  <si>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</si>
  <si>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</si>
  <si>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</si>
  <si>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</si>
  <si>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</si>
  <si>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</si>
  <si>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</si>
  <si>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</si>
  <si>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</si>
  <si>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</si>
  <si>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</si>
  <si>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</si>
  <si>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</si>
  <si>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</si>
  <si>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</si>
  <si>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</si>
  <si>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</si>
  <si>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</si>
  <si>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</si>
  <si>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</si>
  <si>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</si>
  <si>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</si>
  <si>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</si>
  <si>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</si>
  <si>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</si>
  <si>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</si>
  <si>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</si>
  <si>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</si>
  <si>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</si>
  <si>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</si>
  <si>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</si>
  <si>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</si>
  <si>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</si>
  <si>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</si>
  <si>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</si>
  <si>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</si>
  <si>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</si>
  <si>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</si>
  <si>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</si>
  <si>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</si>
  <si>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</si>
  <si>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</si>
  <si>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</si>
  <si>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</si>
  <si>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</si>
  <si>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</si>
  <si>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</si>
  <si>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</si>
  <si>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</si>
  <si>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</si>
  <si>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</si>
  <si>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</si>
  <si>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</si>
  <si>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</si>
  <si>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</si>
  <si>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</si>
  <si>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</si>
  <si>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</si>
  <si>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</si>
  <si>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</si>
  <si>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</si>
  <si>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</si>
  <si>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</si>
  <si>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</si>
  <si>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</si>
  <si>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</si>
  <si>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</si>
  <si>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</si>
  <si>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</si>
  <si>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</si>
  <si>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</si>
  <si>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</si>
  <si>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</si>
  <si>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</si>
  <si>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</si>
  <si>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</si>
  <si>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</si>
  <si>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</si>
  <si>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</si>
  <si>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</si>
  <si>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</si>
  <si>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</si>
  <si>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</si>
  <si>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</si>
  <si>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</si>
  <si>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</si>
  <si>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</si>
  <si>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</si>
  <si>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</si>
  <si>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</si>
  <si>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</si>
  <si>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</si>
  <si>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</si>
  <si>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</si>
  <si>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</si>
  <si>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</si>
  <si>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</si>
  <si>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</si>
  <si>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</si>
  <si>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</si>
  <si>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</si>
  <si>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</si>
  <si>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</si>
  <si>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</si>
  <si>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</si>
  <si>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</si>
  <si>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</si>
  <si>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</si>
  <si>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</si>
  <si>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</si>
  <si>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</si>
  <si>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</si>
  <si>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</si>
  <si>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</si>
  <si>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</si>
  <si>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</si>
  <si>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</si>
  <si>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</si>
  <si>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</si>
  <si>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</si>
  <si>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</si>
  <si>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</si>
  <si>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</si>
  <si>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</si>
  <si>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</si>
  <si>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</si>
  <si>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</si>
  <si>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</si>
  <si>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</si>
  <si>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</si>
  <si>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</si>
  <si>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</si>
  <si>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</si>
  <si>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</si>
  <si>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</si>
  <si>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</si>
  <si>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</si>
  <si>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</si>
  <si>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</si>
  <si>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</si>
  <si>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</si>
  <si>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</si>
  <si>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</si>
  <si>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</si>
  <si>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</si>
  <si>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</si>
  <si>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</si>
  <si>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</si>
  <si>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</si>
  <si>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</si>
  <si>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</si>
  <si>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</si>
  <si>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</si>
  <si>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</si>
  <si>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</si>
  <si>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</si>
  <si>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</si>
  <si>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</si>
  <si>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</si>
  <si>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</si>
  <si>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</si>
  <si>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</si>
  <si>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</si>
  <si>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</si>
  <si>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</si>
  <si>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</si>
  <si>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</si>
  <si>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</si>
  <si>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</si>
  <si>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</si>
  <si>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</si>
  <si>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</si>
  <si>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</si>
  <si>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</si>
  <si>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</si>
  <si>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</si>
  <si>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</si>
  <si>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</si>
  <si>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</si>
  <si>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</si>
  <si>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</si>
  <si>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</si>
  <si>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</si>
  <si>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</si>
  <si>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</si>
  <si>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</si>
  <si>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</si>
  <si>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</si>
  <si>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</si>
  <si>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</si>
  <si>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</si>
  <si>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</si>
  <si>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</si>
  <si>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</si>
  <si>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</si>
  <si>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</si>
  <si>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</si>
  <si>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</si>
  <si>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</si>
  <si>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</si>
  <si>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</si>
  <si>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</si>
  <si>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</si>
  <si>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</si>
  <si>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</si>
  <si>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</si>
  <si>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</si>
  <si>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</si>
  <si>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</si>
  <si>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</si>
  <si>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</si>
  <si>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</si>
  <si>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</si>
  <si>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</si>
  <si>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</si>
  <si>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</si>
  <si>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</si>
  <si>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</si>
  <si>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</si>
  <si>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</si>
  <si>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</si>
  <si>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</si>
  <si>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</si>
  <si>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</si>
  <si>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</si>
  <si>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</si>
  <si>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</si>
  <si>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</si>
  <si>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</si>
  <si>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</si>
  <si>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</si>
  <si>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</si>
  <si>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</si>
  <si>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</si>
  <si>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</si>
  <si>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</si>
  <si>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</si>
  <si>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</si>
  <si>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</si>
  <si>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</si>
  <si>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</si>
  <si>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</si>
  <si>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</si>
  <si>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</si>
  <si>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</si>
  <si>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</si>
  <si>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</si>
  <si>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</si>
  <si>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</si>
  <si>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</si>
  <si>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</si>
  <si>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</si>
  <si>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</si>
  <si>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</si>
  <si>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</si>
  <si>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</si>
  <si>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</si>
  <si>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</si>
  <si>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</si>
  <si>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</si>
  <si>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</si>
  <si>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</si>
  <si>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</si>
  <si>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</si>
  <si>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</si>
  <si>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</si>
  <si>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</si>
  <si>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</si>
  <si>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</si>
  <si>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</si>
  <si>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</si>
  <si>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</si>
  <si>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</si>
  <si>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</si>
  <si>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</si>
  <si>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</si>
  <si>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</si>
  <si>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</si>
  <si>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</si>
  <si>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</si>
  <si>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</si>
  <si>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</si>
  <si>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</si>
  <si>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</si>
  <si>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</si>
  <si>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</si>
  <si>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</si>
  <si>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</si>
  <si>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</si>
  <si>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</si>
  <si>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</si>
  <si>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</si>
  <si>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</si>
  <si>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</si>
  <si>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</si>
  <si>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</si>
  <si>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</si>
  <si>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</si>
  <si>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</si>
  <si>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</si>
  <si>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</si>
  <si>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</si>
  <si>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</si>
  <si>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</si>
  <si>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</si>
  <si>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</si>
  <si>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</si>
  <si>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</si>
  <si>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</si>
  <si>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</si>
  <si>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</si>
  <si>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</si>
  <si>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</si>
  <si>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</si>
  <si>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</si>
  <si>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</si>
  <si>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</si>
  <si>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</si>
  <si>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</si>
  <si>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</si>
  <si>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</si>
  <si>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</si>
  <si>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</si>
  <si>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</si>
  <si>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</si>
  <si>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</si>
  <si>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</si>
  <si>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</si>
  <si>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</si>
  <si>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</si>
  <si>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</si>
  <si>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</si>
  <si>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</si>
  <si>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</si>
  <si>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</si>
  <si>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</si>
  <si>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</si>
  <si>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</si>
  <si>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</si>
  <si>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</si>
  <si>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</si>
  <si>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</si>
  <si>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</si>
  <si>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</si>
  <si>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</si>
  <si>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</si>
  <si>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</si>
  <si>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</si>
  <si>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</si>
  <si>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</si>
  <si>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</si>
  <si>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</si>
  <si>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</si>
  <si>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</si>
  <si>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</si>
  <si>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</si>
  <si>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</si>
  <si>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</si>
  <si>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</si>
  <si>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</si>
  <si>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</si>
  <si>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</si>
  <si>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</si>
  <si>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</si>
  <si>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</si>
  <si>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</si>
  <si>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</si>
  <si>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</si>
  <si>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</si>
  <si>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</si>
  <si>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</si>
  <si>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</si>
  <si>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</si>
  <si>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</si>
  <si>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</si>
  <si>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</si>
  <si>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</si>
  <si>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</si>
  <si>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</si>
  <si>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</si>
  <si>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</si>
  <si>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</si>
  <si>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</si>
  <si>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</si>
  <si>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</si>
  <si>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</si>
  <si>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</si>
  <si>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</si>
  <si>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</si>
  <si>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</si>
  <si>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</si>
  <si>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</si>
  <si>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</si>
  <si>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</si>
  <si>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</si>
  <si>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</si>
  <si>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</si>
  <si>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</si>
  <si>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</si>
  <si>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</si>
  <si>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</si>
  <si>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</si>
  <si>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</si>
  <si>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</si>
  <si>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</si>
  <si>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</si>
  <si>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</si>
  <si>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</si>
  <si>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</si>
  <si>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</si>
  <si>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</si>
  <si>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</si>
  <si>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</si>
  <si>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</si>
  <si>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</si>
  <si>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</si>
  <si>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</si>
  <si>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</si>
  <si>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</si>
  <si>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</si>
  <si>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</si>
  <si>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</si>
  <si>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</si>
  <si>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</si>
  <si>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</si>
  <si>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</si>
  <si>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</si>
  <si>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</si>
  <si>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</si>
  <si>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</si>
  <si>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</si>
  <si>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</si>
  <si>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</si>
  <si>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</si>
  <si>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</si>
  <si>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</si>
  <si>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</si>
  <si>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</si>
  <si>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</si>
  <si>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</si>
  <si>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</si>
  <si>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</si>
  <si>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</si>
  <si>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</si>
  <si>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</si>
  <si>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</si>
  <si>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</si>
  <si>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</si>
  <si>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</si>
  <si>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</si>
  <si>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</si>
  <si>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</si>
  <si>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</si>
  <si>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</si>
  <si>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</si>
  <si>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</si>
  <si>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</si>
  <si>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</si>
  <si>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</si>
  <si>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</si>
  <si>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</si>
  <si>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</si>
  <si>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</si>
  <si>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</si>
  <si>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</si>
  <si>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</si>
  <si>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</si>
  <si>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</si>
  <si>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</si>
  <si>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</si>
  <si>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</si>
  <si>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</si>
  <si>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</si>
  <si>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</si>
  <si>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</si>
  <si>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</si>
  <si>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</si>
  <si>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</si>
  <si>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</si>
  <si>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</si>
  <si>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</si>
  <si>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</si>
  <si>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</si>
  <si>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</si>
  <si>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</si>
  <si>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</si>
  <si>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</si>
  <si>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</si>
  <si>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</si>
  <si>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</si>
  <si>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</si>
  <si>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</si>
  <si>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</si>
  <si>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</si>
  <si>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</si>
  <si>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</si>
  <si>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</si>
  <si>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</si>
  <si>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</si>
  <si>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</si>
  <si>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</si>
  <si>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</si>
  <si>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</si>
  <si>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</si>
  <si>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</si>
  <si>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</si>
  <si>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</si>
  <si>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</si>
  <si>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</si>
  <si>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</si>
  <si>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</si>
  <si>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</si>
  <si>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</si>
  <si>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</si>
  <si>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</si>
  <si>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</si>
  <si>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</si>
  <si>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</si>
  <si>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</si>
  <si>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</si>
  <si>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</si>
  <si>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</si>
  <si>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</si>
  <si>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</si>
  <si>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</si>
  <si>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</si>
  <si>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</si>
  <si>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</si>
  <si>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</si>
  <si>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</si>
  <si>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</si>
  <si>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</si>
  <si>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</si>
  <si>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</si>
  <si>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</si>
  <si>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</si>
  <si>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</si>
  <si>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</si>
  <si>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</si>
  <si>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</si>
  <si>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</si>
  <si>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</si>
  <si>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</si>
  <si>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</si>
  <si>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</si>
  <si>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</si>
  <si>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</si>
  <si>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</si>
  <si>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</si>
  <si>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</si>
  <si>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</si>
  <si>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</si>
  <si>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</si>
  <si>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</si>
  <si>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</si>
  <si>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</si>
  <si>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</si>
  <si>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</si>
  <si>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</si>
  <si>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</si>
  <si>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</si>
  <si>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</si>
  <si>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</si>
  <si>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</si>
  <si>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</si>
  <si>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</si>
  <si>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</si>
  <si>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</si>
  <si>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</si>
  <si>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</si>
  <si>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</si>
  <si>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</si>
  <si>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</si>
  <si>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</si>
  <si>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</si>
  <si>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</si>
  <si>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</si>
  <si>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</si>
  <si>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</si>
  <si>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</si>
  <si>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</si>
  <si>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</si>
  <si>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</si>
  <si>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</si>
  <si>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</si>
  <si>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</si>
  <si>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</si>
  <si>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</si>
  <si>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</si>
  <si>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</si>
  <si>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</si>
  <si>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</si>
  <si>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</si>
  <si>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</si>
  <si>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</si>
  <si>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</si>
  <si>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</si>
  <si>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</si>
  <si>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</si>
  <si>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</si>
  <si>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</si>
  <si>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</si>
  <si>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</si>
  <si>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</si>
  <si>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</si>
  <si>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</si>
  <si>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</si>
  <si>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</si>
  <si>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</si>
  <si>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</si>
  <si>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</si>
  <si>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</si>
  <si>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</si>
  <si>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</si>
  <si>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</si>
  <si>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</si>
  <si>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</si>
  <si>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</si>
  <si>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</si>
  <si>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</si>
  <si>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</si>
  <si>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</si>
  <si>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</si>
  <si>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</si>
  <si>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</si>
  <si>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</si>
  <si>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</si>
  <si>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</si>
  <si>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</si>
  <si>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</si>
  <si>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</si>
  <si>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</si>
  <si>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</si>
  <si>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</si>
  <si>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</si>
  <si>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</si>
  <si>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</si>
  <si>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</si>
  <si>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</si>
  <si>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</si>
  <si>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</si>
  <si>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</si>
  <si>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</si>
  <si>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</si>
  <si>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</si>
  <si>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</si>
  <si>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</si>
  <si>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</si>
  <si>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</si>
  <si>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</si>
  <si>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</si>
  <si>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</si>
  <si>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</si>
  <si>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</si>
  <si>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</si>
  <si>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</si>
  <si>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</si>
  <si>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</si>
  <si>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</si>
  <si>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</si>
  <si>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</si>
  <si>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</si>
  <si>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</si>
  <si>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</si>
  <si>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</si>
  <si>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</si>
  <si>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</si>
  <si>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</si>
  <si>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</si>
  <si>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</si>
  <si>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</si>
  <si>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</si>
  <si>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</si>
  <si>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</si>
  <si>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</si>
  <si>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</si>
  <si>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</si>
  <si>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</si>
  <si>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</si>
  <si>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</si>
  <si>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</si>
  <si>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</si>
  <si>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</si>
  <si>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</si>
  <si>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</si>
  <si>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</si>
  <si>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</si>
  <si>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</si>
  <si>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</si>
  <si>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</si>
  <si>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</si>
  <si>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</si>
  <si>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</si>
  <si>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</si>
  <si>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</si>
  <si>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</si>
  <si>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</si>
  <si>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</si>
  <si>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</si>
  <si>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</si>
  <si>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</si>
  <si>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</si>
  <si>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</si>
  <si>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</si>
  <si>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</si>
  <si>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</si>
  <si>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</si>
  <si>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</si>
  <si>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</si>
  <si>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</si>
  <si>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</si>
  <si>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</si>
  <si>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</si>
  <si>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</si>
  <si>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</si>
  <si>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</si>
  <si>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</si>
  <si>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</si>
  <si>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</si>
  <si>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</si>
  <si>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</si>
  <si>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</si>
  <si>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</si>
  <si>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</si>
  <si>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</si>
  <si>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</si>
  <si>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</si>
  <si>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</si>
  <si>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</si>
  <si>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</si>
  <si>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</si>
  <si>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</si>
  <si>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</si>
  <si>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</si>
  <si>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</si>
  <si>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</si>
  <si>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</si>
  <si>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</si>
  <si>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</si>
  <si>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</si>
  <si>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</si>
  <si>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</si>
  <si>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</si>
  <si>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</si>
  <si>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</si>
  <si>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</si>
  <si>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</si>
  <si>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</si>
  <si>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</si>
  <si>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</si>
  <si>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</si>
  <si>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</si>
  <si>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</si>
  <si>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</si>
  <si>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</si>
  <si>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</si>
  <si>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</si>
  <si>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</si>
  <si>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</si>
  <si>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</si>
  <si>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</si>
  <si>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</si>
  <si>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</si>
  <si>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</si>
  <si>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</si>
  <si>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</si>
  <si>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</si>
  <si>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</si>
  <si>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</si>
  <si>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</si>
  <si>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</si>
  <si>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</si>
  <si>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</si>
  <si>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</si>
  <si>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</si>
  <si>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</si>
  <si>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</si>
  <si>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</si>
  <si>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</si>
  <si>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</si>
  <si>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</si>
  <si>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</si>
  <si>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</si>
  <si>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</si>
  <si>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</si>
  <si>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</si>
  <si>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</si>
  <si>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</si>
  <si>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</si>
  <si>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</si>
  <si>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</si>
  <si>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</si>
  <si>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</si>
  <si>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</si>
  <si>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</si>
  <si>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</si>
  <si>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</si>
  <si>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</si>
  <si>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</si>
  <si>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</si>
  <si>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</si>
  <si>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</si>
  <si>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</si>
  <si>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</si>
  <si>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</si>
  <si>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</si>
  <si>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</si>
  <si>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</si>
  <si>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</si>
  <si>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</si>
  <si>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</si>
  <si>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</si>
  <si>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</si>
  <si>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</si>
  <si>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</si>
  <si>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</si>
  <si>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</si>
  <si>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</si>
  <si>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</si>
  <si>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</si>
  <si>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</si>
  <si>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</si>
  <si>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</si>
  <si>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</si>
  <si>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</si>
  <si>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</si>
  <si>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</si>
  <si>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</si>
  <si>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</si>
  <si>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</si>
  <si>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</si>
  <si>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</si>
  <si>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</si>
  <si>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</si>
  <si>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</si>
  <si>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</si>
  <si>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</si>
  <si>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</si>
  <si>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</si>
  <si>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</si>
  <si>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</si>
  <si>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</si>
  <si>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</si>
  <si>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</si>
  <si>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</si>
  <si>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</si>
  <si>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</si>
  <si>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</si>
  <si>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</si>
  <si>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</si>
  <si>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</si>
  <si>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</si>
  <si>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</si>
  <si>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</si>
  <si>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</si>
  <si>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</si>
  <si>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</si>
  <si>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</si>
  <si>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</si>
  <si>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</si>
  <si>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</si>
  <si>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</si>
  <si>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</si>
  <si>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</si>
  <si>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</si>
  <si>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</si>
  <si>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</si>
  <si>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</si>
  <si>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</si>
  <si>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</si>
  <si>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</si>
  <si>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</si>
  <si>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</si>
  <si>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</si>
  <si>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</si>
  <si>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</si>
  <si>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</si>
  <si>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</si>
  <si>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</si>
  <si>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</si>
  <si>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</si>
  <si>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</si>
  <si>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</si>
  <si>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</si>
  <si>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</si>
  <si>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</si>
  <si>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</si>
  <si>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</si>
  <si>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</si>
  <si>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</si>
  <si>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</si>
  <si>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</si>
  <si>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</si>
  <si>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</si>
  <si>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</si>
  <si>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</si>
  <si>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</si>
  <si>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</si>
  <si>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</si>
  <si>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</si>
  <si>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</si>
  <si>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</si>
  <si>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</si>
  <si>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</si>
  <si>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</si>
  <si>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</si>
  <si>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</si>
  <si>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</si>
  <si>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</si>
  <si>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</si>
  <si>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</si>
  <si>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</si>
  <si>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</si>
  <si>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</si>
  <si>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</si>
  <si>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</si>
  <si>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</si>
  <si>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</si>
  <si>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</si>
  <si>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</si>
  <si>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</si>
  <si>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</si>
  <si>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</si>
  <si>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</si>
  <si>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</si>
  <si>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</si>
  <si>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</si>
  <si>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</si>
  <si>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</si>
  <si>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</si>
  <si>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</si>
  <si>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</si>
  <si>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</si>
  <si>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</si>
  <si>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</si>
  <si>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</si>
  <si>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</si>
  <si>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</si>
  <si>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</si>
  <si>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</si>
  <si>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</si>
  <si>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</si>
  <si>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</si>
  <si>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</si>
  <si>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</si>
  <si>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</si>
  <si>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</si>
  <si>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</si>
  <si>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</si>
  <si>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</si>
  <si>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</si>
  <si>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</si>
  <si>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</si>
  <si>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</si>
  <si>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</si>
  <si>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</si>
  <si>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</si>
  <si>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</si>
  <si>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</si>
  <si>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</si>
  <si>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</si>
  <si>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</si>
  <si>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</si>
  <si>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</si>
  <si>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</si>
  <si>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</si>
  <si>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</si>
  <si>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</si>
  <si>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</si>
  <si>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</si>
  <si>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</si>
  <si>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</si>
  <si>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</si>
  <si>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</si>
  <si>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</si>
  <si>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</si>
  <si>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</si>
  <si>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</si>
  <si>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</si>
  <si>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</si>
  <si>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</si>
  <si>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</si>
  <si>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</si>
  <si>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</si>
  <si>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</si>
  <si>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</si>
  <si>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</si>
  <si>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</si>
  <si>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</si>
  <si>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</si>
  <si>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</si>
  <si>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</si>
  <si>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</si>
  <si>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</si>
  <si>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</si>
  <si>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</si>
  <si>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</si>
  <si>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</si>
  <si>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</si>
  <si>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</si>
  <si>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</si>
  <si>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</si>
  <si>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</si>
  <si>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</si>
  <si>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</si>
  <si>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</si>
  <si>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</si>
  <si>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</si>
  <si>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</si>
  <si>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</si>
  <si>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</si>
  <si>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</si>
  <si>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</si>
  <si>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</si>
  <si>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</si>
  <si>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</si>
  <si>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</si>
  <si>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</si>
  <si>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</si>
  <si>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</si>
  <si>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</si>
  <si>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</si>
  <si>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</si>
  <si>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</si>
  <si>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</si>
  <si>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</si>
  <si>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</si>
  <si>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</si>
  <si>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</si>
  <si>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</si>
  <si>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</si>
  <si>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</si>
  <si>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</si>
  <si>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</si>
  <si>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</si>
  <si>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</si>
  <si>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</si>
  <si>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</si>
  <si>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</si>
  <si>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</si>
  <si>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</si>
  <si>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</si>
  <si>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</si>
  <si>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</si>
  <si>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</si>
  <si>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</si>
  <si>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</si>
  <si>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</si>
  <si>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</si>
  <si>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</si>
  <si>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</si>
  <si>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</si>
  <si>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</si>
  <si>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</si>
  <si>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</si>
  <si>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</si>
  <si>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</si>
  <si>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</si>
  <si>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</si>
  <si>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</si>
  <si>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</si>
  <si>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</si>
  <si>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</si>
  <si>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</si>
  <si>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</si>
  <si>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</si>
  <si>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</si>
  <si>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</si>
  <si>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</si>
  <si>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</si>
  <si>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</si>
  <si>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</si>
  <si>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</si>
  <si>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</si>
  <si>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</si>
  <si>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</si>
  <si>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</si>
  <si>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</si>
  <si>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</si>
  <si>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</si>
  <si>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</si>
  <si>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</si>
  <si>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</si>
  <si>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</si>
  <si>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</si>
  <si>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</si>
  <si>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</si>
  <si>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</si>
  <si>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</si>
  <si>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</si>
  <si>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</si>
  <si>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</si>
  <si>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</si>
  <si>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</si>
  <si>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</si>
  <si>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</si>
  <si>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</si>
  <si>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</si>
  <si>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</si>
  <si>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</si>
  <si>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</si>
  <si>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</si>
  <si>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</si>
  <si>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</si>
  <si>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</si>
  <si>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</si>
  <si>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</si>
  <si>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</si>
  <si>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</si>
  <si>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</si>
  <si>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</si>
  <si>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</si>
  <si>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</si>
  <si>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</si>
  <si>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</si>
  <si>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</si>
  <si>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</si>
  <si>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</si>
  <si>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</si>
  <si>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</si>
  <si>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</si>
  <si>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</si>
  <si>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</si>
  <si>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</si>
  <si>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</si>
  <si>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</si>
  <si>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</si>
  <si>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</si>
  <si>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</si>
  <si>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</si>
  <si>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</si>
  <si>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</si>
  <si>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</si>
  <si>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</si>
  <si>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</si>
  <si>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</si>
  <si>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</si>
  <si>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</si>
  <si>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</si>
  <si>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</si>
  <si>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</si>
  <si>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</si>
  <si>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</si>
  <si>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</si>
  <si>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</si>
  <si>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</si>
  <si>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</si>
  <si>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</si>
  <si>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</si>
  <si>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</si>
  <si>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</si>
  <si>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</si>
  <si>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</si>
  <si>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</si>
  <si>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</si>
  <si>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</si>
  <si>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</si>
  <si>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</si>
  <si>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</si>
  <si>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</si>
  <si>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</si>
  <si>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</si>
  <si>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</si>
  <si>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</si>
  <si>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</si>
  <si>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</si>
  <si>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</si>
  <si>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</si>
  <si>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</si>
  <si>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</si>
  <si>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</si>
  <si>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</si>
  <si>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</si>
  <si>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</si>
  <si>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</si>
  <si>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</si>
  <si>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</si>
  <si>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</si>
  <si>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</si>
  <si>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</si>
  <si>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</si>
  <si>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</si>
  <si>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</si>
  <si>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</si>
  <si>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</si>
  <si>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</si>
  <si>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</si>
  <si>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</si>
  <si>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</si>
  <si>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</si>
  <si>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</si>
  <si>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</si>
  <si>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</si>
  <si>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</si>
  <si>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</si>
  <si>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</si>
  <si>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</si>
  <si>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</si>
  <si>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</si>
  <si>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</si>
  <si>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</si>
  <si>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</si>
  <si>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</si>
  <si>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</si>
  <si>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</si>
  <si>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</si>
  <si>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</si>
  <si>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</si>
  <si>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</si>
  <si>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</si>
  <si>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</si>
  <si>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</si>
  <si>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</si>
  <si>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</si>
  <si>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</si>
  <si>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</si>
  <si>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</si>
  <si>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</si>
  <si>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</si>
  <si>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</si>
  <si>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</si>
  <si>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</si>
  <si>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</si>
  <si>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</si>
  <si>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</si>
  <si>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</si>
  <si>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</si>
  <si>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</si>
  <si>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</si>
  <si>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</si>
  <si>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</si>
  <si>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</si>
  <si>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</si>
  <si>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</si>
  <si>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</si>
  <si>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</si>
  <si>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</si>
  <si>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</si>
  <si>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</si>
  <si>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</si>
  <si>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</si>
  <si>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</si>
  <si>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</si>
  <si>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</si>
  <si>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</si>
  <si>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</si>
  <si>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</si>
  <si>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</si>
  <si>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</si>
  <si>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</si>
  <si>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</si>
  <si>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</si>
  <si>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</si>
  <si>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</si>
  <si>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</si>
  <si>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</si>
  <si>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</si>
  <si>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</si>
  <si>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</si>
  <si>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</si>
  <si>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</si>
  <si>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</si>
  <si>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</si>
  <si>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</si>
  <si>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</si>
  <si>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</si>
  <si>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</si>
  <si>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</si>
  <si>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</si>
  <si>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</si>
  <si>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</si>
  <si>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</si>
  <si>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</si>
  <si>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</si>
  <si>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</si>
  <si>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</si>
  <si>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</si>
  <si>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</si>
  <si>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</si>
  <si>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</si>
  <si>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</si>
  <si>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</si>
  <si>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</si>
  <si>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</si>
  <si>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</si>
  <si>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</si>
  <si>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</si>
  <si>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</si>
  <si>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</si>
  <si>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</si>
  <si>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</si>
  <si>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</si>
  <si>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</si>
  <si>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</si>
  <si>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</si>
  <si>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</si>
  <si>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</si>
  <si>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</si>
  <si>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</si>
  <si>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</si>
  <si>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</si>
  <si>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</si>
  <si>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</si>
  <si>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</si>
  <si>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</si>
  <si>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</si>
  <si>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</si>
  <si>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</si>
  <si>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</si>
  <si>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</si>
  <si>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</si>
  <si>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</si>
  <si>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</si>
  <si>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</si>
  <si>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</si>
  <si>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</si>
  <si>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</si>
  <si>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</si>
  <si>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</si>
  <si>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</si>
  <si>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</si>
  <si>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</si>
  <si>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</si>
  <si>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</si>
  <si>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</si>
  <si>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</si>
  <si>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</si>
  <si>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</si>
  <si>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</si>
  <si>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</si>
  <si>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</si>
  <si>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</si>
  <si>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</si>
  <si>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</si>
  <si>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</si>
  <si>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</si>
  <si>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</si>
  <si>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</si>
  <si>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</si>
  <si>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</si>
  <si>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</si>
  <si>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</si>
  <si>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</si>
  <si>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</si>
  <si>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</si>
  <si>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</si>
  <si>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</si>
  <si>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</si>
  <si>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</si>
  <si>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</si>
  <si>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</si>
  <si>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</si>
  <si>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</si>
  <si>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</si>
  <si>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</si>
  <si>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</si>
  <si>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</si>
  <si>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</si>
  <si>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</si>
  <si>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</si>
  <si>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</si>
  <si>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</si>
  <si>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</si>
  <si>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</si>
  <si>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</si>
  <si>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</si>
  <si>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</si>
  <si>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</si>
  <si>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</si>
  <si>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</si>
  <si>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</si>
  <si>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</si>
  <si>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</si>
  <si>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</si>
  <si>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</si>
  <si>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</si>
  <si>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</si>
  <si>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</si>
  <si>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</si>
  <si>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</si>
  <si>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</si>
  <si>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</si>
  <si>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</si>
  <si>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</si>
  <si>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</si>
  <si>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</si>
  <si>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</si>
  <si>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</si>
  <si>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</si>
  <si>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</si>
  <si>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</si>
  <si>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</si>
  <si>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</si>
  <si>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</si>
  <si>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</si>
  <si>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</si>
  <si>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</si>
  <si>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</si>
  <si>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</si>
  <si>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</si>
  <si>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</si>
  <si>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</si>
  <si>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</si>
  <si>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</si>
  <si>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</si>
  <si>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</si>
  <si>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</si>
  <si>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</si>
  <si>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</si>
  <si>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</si>
  <si>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</si>
  <si>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</si>
  <si>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</si>
  <si>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</si>
  <si>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</si>
  <si>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</si>
  <si>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</si>
  <si>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</si>
  <si>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</si>
  <si>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</si>
  <si>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</si>
  <si>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</si>
  <si>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</si>
  <si>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</si>
  <si>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</si>
  <si>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</si>
  <si>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</si>
  <si>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</si>
  <si>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</si>
  <si>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</si>
  <si>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</si>
  <si>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</si>
  <si>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</si>
  <si>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</si>
  <si>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</si>
  <si>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</si>
  <si>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</si>
  <si>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</si>
  <si>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</si>
  <si>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</si>
  <si>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</si>
  <si>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</si>
  <si>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</si>
  <si>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</si>
  <si>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</si>
  <si>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</si>
  <si>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</si>
  <si>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</si>
  <si>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</si>
  <si>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</si>
  <si>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</si>
  <si>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</si>
  <si>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</si>
  <si>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</si>
  <si>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</si>
  <si>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</si>
  <si>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</si>
  <si>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</si>
  <si>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</si>
  <si>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</si>
  <si>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</si>
  <si>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</si>
  <si>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</si>
  <si>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</si>
  <si>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</si>
  <si>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</si>
  <si>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</si>
  <si>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</si>
  <si>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</si>
  <si>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</si>
  <si>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</si>
  <si>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</si>
  <si>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</si>
  <si>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</si>
  <si>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</si>
  <si>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</si>
  <si>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</si>
  <si>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</si>
  <si>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</si>
  <si>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</si>
  <si>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</si>
  <si>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</si>
  <si>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</si>
  <si>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</si>
  <si>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</si>
  <si>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</si>
  <si>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</si>
  <si>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</si>
  <si>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</si>
  <si>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</si>
  <si>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</si>
  <si>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</si>
  <si>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</si>
  <si>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</si>
  <si>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</si>
  <si>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</si>
  <si>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</si>
  <si>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</si>
  <si>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</si>
  <si>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</si>
  <si>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</si>
  <si>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</si>
  <si>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</si>
  <si>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</si>
  <si>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</si>
  <si>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</si>
  <si>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</si>
  <si>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</si>
  <si>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</si>
  <si>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</si>
  <si>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</si>
  <si>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</si>
  <si>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</si>
  <si>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</si>
  <si>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</si>
  <si>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</si>
  <si>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</si>
  <si>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</si>
  <si>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</si>
  <si>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</si>
  <si>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</si>
  <si>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</si>
  <si>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</si>
  <si>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</si>
  <si>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</si>
  <si>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</si>
  <si>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</si>
  <si>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</si>
  <si>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</si>
  <si>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</si>
  <si>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</si>
  <si>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</si>
  <si>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</si>
  <si>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</si>
  <si>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</si>
  <si>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</si>
  <si>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</si>
  <si>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</si>
  <si>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</si>
  <si>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</si>
  <si>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</si>
  <si>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</si>
  <si>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</si>
  <si>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</si>
  <si>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</si>
  <si>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</si>
  <si>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</si>
  <si>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</si>
  <si>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</si>
  <si>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</si>
  <si>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</si>
  <si>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</si>
  <si>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</si>
  <si>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</si>
  <si>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</si>
  <si>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</si>
  <si>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</si>
  <si>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</si>
  <si>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</si>
  <si>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</si>
  <si>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</si>
  <si>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</si>
  <si>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</si>
  <si>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</si>
  <si>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</si>
  <si>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</si>
  <si>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</si>
  <si>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</si>
  <si>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</si>
  <si>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</si>
  <si>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</si>
  <si>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</si>
  <si>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</si>
  <si>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</si>
  <si>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</si>
  <si>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</si>
  <si>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</si>
  <si>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</si>
  <si>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</si>
  <si>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</si>
  <si>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</si>
  <si>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</si>
  <si>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</si>
  <si>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</si>
  <si>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</si>
  <si>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</si>
  <si>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</si>
  <si>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</si>
  <si>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</si>
  <si>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</si>
  <si>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</si>
  <si>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</si>
  <si>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</si>
  <si>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</si>
  <si>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</si>
  <si>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</si>
  <si>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</si>
  <si>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</si>
  <si>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</si>
  <si>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</si>
  <si>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</si>
  <si>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</si>
  <si>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</si>
  <si>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</si>
  <si>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</si>
  <si>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</si>
  <si>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</si>
  <si>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</si>
  <si>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</si>
  <si>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</si>
  <si>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</si>
  <si>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</si>
  <si>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</si>
  <si>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</si>
  <si>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</si>
  <si>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</si>
  <si>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</si>
  <si>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</si>
  <si>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</si>
  <si>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</si>
  <si>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</si>
  <si>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</si>
  <si>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</si>
  <si>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</si>
  <si>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</si>
  <si>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</si>
  <si>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</si>
  <si>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</si>
  <si>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</si>
  <si>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</si>
  <si>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</si>
  <si>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</si>
  <si>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</si>
  <si>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</si>
  <si>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</si>
  <si>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</si>
  <si>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</si>
  <si>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</si>
  <si>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</si>
  <si>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</si>
  <si>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</si>
  <si>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</si>
  <si>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</si>
  <si>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</si>
  <si>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</si>
  <si>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</si>
  <si>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</si>
  <si>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</si>
  <si>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</si>
  <si>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</si>
  <si>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</si>
  <si>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</si>
  <si>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</si>
  <si>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</si>
  <si>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</si>
  <si>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</si>
  <si>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</si>
  <si>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</si>
  <si>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</si>
  <si>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</si>
  <si>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</si>
  <si>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</si>
  <si>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</si>
  <si>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</si>
  <si>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</si>
  <si>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</si>
  <si>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</si>
  <si>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</si>
  <si>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</si>
  <si>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</si>
  <si>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</si>
  <si>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</si>
  <si>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</si>
  <si>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</si>
  <si>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</si>
  <si>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</si>
  <si>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</si>
  <si>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</si>
  <si>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</si>
  <si>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</si>
  <si>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</si>
  <si>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</si>
  <si>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</si>
  <si>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</si>
  <si>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</si>
  <si>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</si>
  <si>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</si>
  <si>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</si>
  <si>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</si>
  <si>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</si>
  <si>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</si>
  <si>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</si>
  <si>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</si>
  <si>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</si>
  <si>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</si>
  <si>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</si>
  <si>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</si>
  <si>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</si>
  <si>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</si>
  <si>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</si>
  <si>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</si>
  <si>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</si>
  <si>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</si>
  <si>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</si>
  <si>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</si>
  <si>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</si>
  <si>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</si>
  <si>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</si>
  <si>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</si>
  <si>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</si>
  <si>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</si>
  <si>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</si>
  <si>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</si>
  <si>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</si>
  <si>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</si>
  <si>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</si>
  <si>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</si>
  <si>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</si>
  <si>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</si>
  <si>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</si>
  <si>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</si>
  <si>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</si>
  <si>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</si>
  <si>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</si>
  <si>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</si>
  <si>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</si>
  <si>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</si>
  <si>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</si>
  <si>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</si>
  <si>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</si>
  <si>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</si>
  <si>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</si>
  <si>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</si>
  <si>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</si>
  <si>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</si>
  <si>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</si>
  <si>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</si>
  <si>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</si>
  <si>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</si>
  <si>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</si>
  <si>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</si>
  <si>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</si>
  <si>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</si>
  <si>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</si>
  <si>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</si>
  <si>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</si>
  <si>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</si>
  <si>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</si>
  <si>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</si>
  <si>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</si>
  <si>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</si>
  <si>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</si>
  <si>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</si>
  <si>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</si>
  <si>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</si>
  <si>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</si>
  <si>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</si>
  <si>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</si>
  <si>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</si>
  <si>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</si>
  <si>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</si>
  <si>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</si>
  <si>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</si>
  <si>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</si>
  <si>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</si>
  <si>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</si>
  <si>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</si>
  <si>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</si>
  <si>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</si>
  <si>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</si>
  <si>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</si>
  <si>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</si>
  <si>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</si>
  <si>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</si>
  <si>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</si>
  <si>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</si>
  <si>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</si>
  <si>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</si>
  <si>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</si>
  <si>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</si>
  <si>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</si>
  <si>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</si>
  <si>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</si>
  <si>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</si>
  <si>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</si>
  <si>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</si>
  <si>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</si>
  <si>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</si>
  <si>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</si>
  <si>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</si>
  <si>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</si>
  <si>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</si>
  <si>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</si>
  <si>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</si>
  <si>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</si>
  <si>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</si>
  <si>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</si>
  <si>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</si>
  <si>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</si>
  <si>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</si>
  <si>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</si>
  <si>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</si>
  <si>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</si>
  <si>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</si>
  <si>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</si>
  <si>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</si>
  <si>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</si>
  <si>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</si>
  <si>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</si>
  <si>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</si>
  <si>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</si>
  <si>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</si>
  <si>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</si>
  <si>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</si>
  <si>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</si>
  <si>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</si>
  <si>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</si>
  <si>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</si>
  <si>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</si>
  <si>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</si>
  <si>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</si>
  <si>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</si>
  <si>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</si>
  <si>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</si>
  <si>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</si>
  <si>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</si>
  <si>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</si>
  <si>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</si>
  <si>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</si>
  <si>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</si>
  <si>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</si>
  <si>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</si>
  <si>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</si>
  <si>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</si>
  <si>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</si>
  <si>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</si>
  <si>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</si>
  <si>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</si>
  <si>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</si>
  <si>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</si>
  <si>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</si>
  <si>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</si>
  <si>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</si>
  <si>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</si>
  <si>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</si>
  <si>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</si>
  <si>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</si>
  <si>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</si>
  <si>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</si>
  <si>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</si>
  <si>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</si>
  <si>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</si>
  <si>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</si>
  <si>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</si>
  <si>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</si>
  <si>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</si>
  <si>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</si>
  <si>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</si>
  <si>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</si>
  <si>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</si>
  <si>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</si>
  <si>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</si>
  <si>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</si>
  <si>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</si>
  <si>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</si>
  <si>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</si>
  <si>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</si>
  <si>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</si>
  <si>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</si>
  <si>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</si>
  <si>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</si>
  <si>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</si>
  <si>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</si>
  <si>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</si>
  <si>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</si>
  <si>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</si>
  <si>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</si>
  <si>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</si>
  <si>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</si>
  <si>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</si>
  <si>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</si>
  <si>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</si>
  <si>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</si>
  <si>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</si>
  <si>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</si>
  <si>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</si>
  <si>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</si>
  <si>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</si>
  <si>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</si>
  <si>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</si>
  <si>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</si>
  <si>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</si>
  <si>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</si>
  <si>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</si>
  <si>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</si>
  <si>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</si>
  <si>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</si>
  <si>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</si>
  <si>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</si>
  <si>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</si>
  <si>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</si>
  <si>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</si>
  <si>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</si>
  <si>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</si>
  <si>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</si>
  <si>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</si>
  <si>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</si>
  <si>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</si>
  <si>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</si>
  <si>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</si>
  <si>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</si>
  <si>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</si>
  <si>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</si>
  <si>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</si>
  <si>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</si>
  <si>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</si>
  <si>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</si>
  <si>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</si>
  <si>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</si>
  <si>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</si>
  <si>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</si>
  <si>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</si>
  <si>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</si>
  <si>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</si>
  <si>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</si>
  <si>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</si>
  <si>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</si>
  <si>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</si>
  <si>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</si>
  <si>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</si>
  <si>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</si>
  <si>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</si>
  <si>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</si>
  <si>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</si>
  <si>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</si>
  <si>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</si>
  <si>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</si>
  <si>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</si>
  <si>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</si>
  <si>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</si>
  <si>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</si>
  <si>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</si>
  <si>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</si>
  <si>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</si>
  <si>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</si>
  <si>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</si>
  <si>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</si>
  <si>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</si>
  <si>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</si>
  <si>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</si>
  <si>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</si>
  <si>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</si>
  <si>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</si>
  <si>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</si>
  <si>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</si>
  <si>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</si>
  <si>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</si>
  <si>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</si>
  <si>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</si>
  <si>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</si>
  <si>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</si>
  <si>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</si>
  <si>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</si>
  <si>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</si>
  <si>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</si>
  <si>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</si>
  <si>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</si>
  <si>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</si>
  <si>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</si>
  <si>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</si>
  <si>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</si>
  <si>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</si>
  <si>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</si>
  <si>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</si>
  <si>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</si>
  <si>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</si>
  <si>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</si>
  <si>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</si>
  <si>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</si>
  <si>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</si>
  <si>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</si>
  <si>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</si>
  <si>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</si>
  <si>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</si>
  <si>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</si>
  <si>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</si>
  <si>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</si>
  <si>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</si>
  <si>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</si>
  <si>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</si>
  <si>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</si>
  <si>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</si>
  <si>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</si>
  <si>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</si>
  <si>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</si>
  <si>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</si>
  <si>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</si>
  <si>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</si>
  <si>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</si>
  <si>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</si>
  <si>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</si>
  <si>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</si>
  <si>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</si>
  <si>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</si>
  <si>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</si>
  <si>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</si>
  <si>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</si>
  <si>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</si>
  <si>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</si>
  <si>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</si>
  <si>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</si>
  <si>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</si>
  <si>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</si>
  <si>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</si>
  <si>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</si>
  <si>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</si>
  <si>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</si>
  <si>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</si>
  <si>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</si>
  <si>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</si>
  <si>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</si>
  <si>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</si>
  <si>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</si>
  <si>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</si>
  <si>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</si>
  <si>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</si>
  <si>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</si>
  <si>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</si>
  <si>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</si>
  <si>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</si>
  <si>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</si>
  <si>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</si>
  <si>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</si>
  <si>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</si>
  <si>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</si>
  <si>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</si>
  <si>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</si>
  <si>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</si>
  <si>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</si>
  <si>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</si>
  <si>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</si>
  <si>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</si>
  <si>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</si>
  <si>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</si>
  <si>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</si>
  <si>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</si>
  <si>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</si>
  <si>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</si>
  <si>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</si>
  <si>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</si>
  <si>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</si>
  <si>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</si>
  <si>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</si>
  <si>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</si>
  <si>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</si>
  <si>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</si>
  <si>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</si>
  <si>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</si>
  <si>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</si>
  <si>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</si>
  <si>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</si>
  <si>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</si>
  <si>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</si>
  <si>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</si>
  <si>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</si>
  <si>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</si>
  <si>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</si>
  <si>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</si>
  <si>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</si>
  <si>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</si>
  <si>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</si>
  <si>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</si>
  <si>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</si>
  <si>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</si>
  <si>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</si>
  <si>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</si>
  <si>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</si>
  <si>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</si>
  <si>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</si>
  <si>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</si>
  <si>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</si>
  <si>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</si>
  <si>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</si>
  <si>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</si>
  <si>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</si>
  <si>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</si>
  <si>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</si>
  <si>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</si>
  <si>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</si>
  <si>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</si>
  <si>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</si>
  <si>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</si>
  <si>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</si>
  <si>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</si>
  <si>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</si>
  <si>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</si>
  <si>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</si>
  <si>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</si>
  <si>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</si>
  <si>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</si>
  <si>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</si>
  <si>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</si>
  <si>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</si>
  <si>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</si>
  <si>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</si>
  <si>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</si>
  <si>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</si>
  <si>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</si>
  <si>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</si>
  <si>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</si>
  <si>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</si>
  <si>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</si>
  <si>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</si>
  <si>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</si>
  <si>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</si>
  <si>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</si>
  <si>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</si>
  <si>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</si>
  <si>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</si>
  <si>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</si>
  <si>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</si>
  <si>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</si>
  <si>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</si>
  <si>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</si>
  <si>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</si>
  <si>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</si>
  <si>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</si>
  <si>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</si>
  <si>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</si>
  <si>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</si>
  <si>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</si>
  <si>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</si>
  <si>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</si>
  <si>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</si>
  <si>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</si>
  <si>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</si>
  <si>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</si>
  <si>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</si>
  <si>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</si>
  <si>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</si>
  <si>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</si>
  <si>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</si>
  <si>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</si>
  <si>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</si>
  <si>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</si>
  <si>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</si>
  <si>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</si>
  <si>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</si>
  <si>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</si>
  <si>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</si>
  <si>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</si>
  <si>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</si>
  <si>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</si>
  <si>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</si>
  <si>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</si>
  <si>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</si>
  <si>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</si>
  <si>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</si>
  <si>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</si>
  <si>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</si>
  <si>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</si>
  <si>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</si>
  <si>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</si>
  <si>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</si>
  <si>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</si>
  <si>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</si>
  <si>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</si>
  <si>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</si>
  <si>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</si>
  <si>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</si>
  <si>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</si>
  <si>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</si>
  <si>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</si>
  <si>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</si>
  <si>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</si>
  <si>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</si>
  <si>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</si>
  <si>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</si>
  <si>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</si>
  <si>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</si>
  <si>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</si>
  <si>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</si>
  <si>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</si>
  <si>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</si>
  <si>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</si>
  <si>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</si>
  <si>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</si>
  <si>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</si>
  <si>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</si>
  <si>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</si>
  <si>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</si>
  <si>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</si>
  <si>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</si>
  <si>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</si>
  <si>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</si>
  <si>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</si>
  <si>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</si>
  <si>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</si>
  <si>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</si>
  <si>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</si>
  <si>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</si>
  <si>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</si>
  <si>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</si>
  <si>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</si>
  <si>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</si>
  <si>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</si>
  <si>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</si>
  <si>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</si>
  <si>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</si>
  <si>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</si>
  <si>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</si>
  <si>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</si>
  <si>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</si>
  <si>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</si>
  <si>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</si>
  <si>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</si>
  <si>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</si>
  <si>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</si>
  <si>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</si>
  <si>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</si>
  <si>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</si>
  <si>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</si>
  <si>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</si>
  <si>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</si>
  <si>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</si>
  <si>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</si>
  <si>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</si>
  <si>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</si>
  <si>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</si>
  <si>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</si>
  <si>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</si>
  <si>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</si>
  <si>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</si>
  <si>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</si>
  <si>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</si>
  <si>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</si>
  <si>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</si>
  <si>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</si>
  <si>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</si>
  <si>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</si>
  <si>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</si>
  <si>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</si>
  <si>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</si>
  <si>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</si>
  <si>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</si>
  <si>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</si>
  <si>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</si>
  <si>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</si>
  <si>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</si>
  <si>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</si>
  <si>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</si>
  <si>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</si>
  <si>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</si>
  <si>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</si>
  <si>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</si>
  <si>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</si>
  <si>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</si>
  <si>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</si>
  <si>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</si>
  <si>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</si>
  <si>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</si>
  <si>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</si>
  <si>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</si>
  <si>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</si>
  <si>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</si>
  <si>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</si>
  <si>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</si>
  <si>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</si>
  <si>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</si>
  <si>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</si>
  <si>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</si>
  <si>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</si>
  <si>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</si>
  <si>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</si>
  <si>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</si>
  <si>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</si>
  <si>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</si>
  <si>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</si>
  <si>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</si>
  <si>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</si>
  <si>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</si>
  <si>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</si>
  <si>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</si>
  <si>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</si>
  <si>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</si>
  <si>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</si>
  <si>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</si>
  <si>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</si>
  <si>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</si>
  <si>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</si>
  <si>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</si>
  <si>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</si>
  <si>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</si>
  <si>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</si>
  <si>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</si>
  <si>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</si>
  <si>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</si>
  <si>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</si>
  <si>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</si>
  <si>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</si>
  <si>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</si>
  <si>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</si>
  <si>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</si>
  <si>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</si>
  <si>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</si>
  <si>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</si>
  <si>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</si>
  <si>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</si>
  <si>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</si>
  <si>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</si>
  <si>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</si>
  <si>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</si>
  <si>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</si>
  <si>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</si>
  <si>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</si>
  <si>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</si>
  <si>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</si>
  <si>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</si>
  <si>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</si>
  <si>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</si>
  <si>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</si>
  <si>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</si>
  <si>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</si>
  <si>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</si>
  <si>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</si>
  <si>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</si>
  <si>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</si>
  <si>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</si>
  <si>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</si>
  <si>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</si>
  <si>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</si>
  <si>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</si>
  <si>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</si>
  <si>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</si>
  <si>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</si>
  <si>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</si>
  <si>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</si>
  <si>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</si>
  <si>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</si>
  <si>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</si>
  <si>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</si>
  <si>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</si>
  <si>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</si>
  <si>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</si>
  <si>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</si>
  <si>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</si>
  <si>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</si>
  <si>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</si>
  <si>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</si>
  <si>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</si>
  <si>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</si>
  <si>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</si>
  <si>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</si>
  <si>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</si>
  <si>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</si>
  <si>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</si>
  <si>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</si>
  <si>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</si>
  <si>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</si>
  <si>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</si>
  <si>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</si>
  <si>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</si>
  <si>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</si>
  <si>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</si>
  <si>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</si>
  <si>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</si>
  <si>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</si>
  <si>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</si>
  <si>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</si>
  <si>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</si>
  <si>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</si>
  <si>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</si>
  <si>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</si>
  <si>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</si>
  <si>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</si>
  <si>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</si>
  <si>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</si>
  <si>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</si>
  <si>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</si>
  <si>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</si>
  <si>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</si>
  <si>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</si>
  <si>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</si>
  <si>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</si>
  <si>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</si>
  <si>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</si>
  <si>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</si>
  <si>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</si>
  <si>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</si>
  <si>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</si>
  <si>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</si>
  <si>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</si>
  <si>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</si>
  <si>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</si>
  <si>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</si>
  <si>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</si>
  <si>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</si>
  <si>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</si>
  <si>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</si>
  <si>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</si>
  <si>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</si>
  <si>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</si>
  <si>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</si>
  <si>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</si>
  <si>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</si>
  <si>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</si>
  <si>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</si>
  <si>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</si>
  <si>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</si>
  <si>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</si>
  <si>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</si>
  <si>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</si>
  <si>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</si>
  <si>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</si>
  <si>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</si>
  <si>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</si>
  <si>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</si>
  <si>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</si>
  <si>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</si>
  <si>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</si>
  <si>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</si>
  <si>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</si>
  <si>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</si>
  <si>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</si>
  <si>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</si>
  <si>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</si>
  <si>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</si>
  <si>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</si>
  <si>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</si>
  <si>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</si>
  <si>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</si>
  <si>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</si>
  <si>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</si>
  <si>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</si>
  <si>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</si>
  <si>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</si>
  <si>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</si>
  <si>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</si>
  <si>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</si>
  <si>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</si>
  <si>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</si>
  <si>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</si>
  <si>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</si>
  <si>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</si>
  <si>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</si>
  <si>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</si>
  <si>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</si>
  <si>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</si>
  <si>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</si>
  <si>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</si>
  <si>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</si>
  <si>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</si>
  <si>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</si>
  <si>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</si>
  <si>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</si>
  <si>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</si>
  <si>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</si>
  <si>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</si>
  <si>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</si>
  <si>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</si>
  <si>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</si>
  <si>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</si>
  <si>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</si>
  <si>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</si>
  <si>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</si>
  <si>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</si>
  <si>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</si>
  <si>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</si>
  <si>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</si>
  <si>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</si>
  <si>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</si>
  <si>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</si>
  <si>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</si>
  <si>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</si>
  <si>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</si>
  <si>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</si>
  <si>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</si>
  <si>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</si>
  <si>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</si>
  <si>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</si>
  <si>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</si>
  <si>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</si>
  <si>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</si>
  <si>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</si>
  <si>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</si>
  <si>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</si>
  <si>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</si>
  <si>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</si>
  <si>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</si>
  <si>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</si>
  <si>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</si>
  <si>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</si>
  <si>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</si>
  <si>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</si>
  <si>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</si>
  <si>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</si>
  <si>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</si>
  <si>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</si>
  <si>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</si>
  <si>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</si>
  <si>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</si>
  <si>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</si>
  <si>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</si>
  <si>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</si>
  <si>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</si>
  <si>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</si>
  <si>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</si>
  <si>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</si>
  <si>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</si>
  <si>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</si>
  <si>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</si>
  <si>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</si>
  <si>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</si>
  <si>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</si>
  <si>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</si>
  <si>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</si>
  <si>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</si>
  <si>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</si>
  <si>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</si>
  <si>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</si>
  <si>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</si>
  <si>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</si>
  <si>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</si>
  <si>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</si>
  <si>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</si>
  <si>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</si>
  <si>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</si>
  <si>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</si>
  <si>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</si>
  <si>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</si>
  <si>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</si>
  <si>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</si>
  <si>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</si>
  <si>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</si>
  <si>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</si>
  <si>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</si>
  <si>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</si>
  <si>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</si>
  <si>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</si>
  <si>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</si>
  <si>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</si>
  <si>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</si>
  <si>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</si>
  <si>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</si>
  <si>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</si>
  <si>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</si>
  <si>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</si>
  <si>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</si>
  <si>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</si>
  <si>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</si>
  <si>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</si>
  <si>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</si>
  <si>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</si>
  <si>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</si>
  <si>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</si>
  <si>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</si>
  <si>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</si>
  <si>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</si>
  <si>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</si>
  <si>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</si>
  <si>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</si>
  <si>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</si>
  <si>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</si>
  <si>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</si>
  <si>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</si>
  <si>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</si>
  <si>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</si>
  <si>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</si>
  <si>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</si>
  <si>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</si>
  <si>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</si>
  <si>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</si>
  <si>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</si>
  <si>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</si>
  <si>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</si>
  <si>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</si>
  <si>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</si>
  <si>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</si>
  <si>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</si>
  <si>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</si>
  <si>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</si>
  <si>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</si>
  <si>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</si>
  <si>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</si>
  <si>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</si>
  <si>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</si>
  <si>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</si>
  <si>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</si>
  <si>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</si>
  <si>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</si>
  <si>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</si>
  <si>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</si>
  <si>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</si>
  <si>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</si>
  <si>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</si>
  <si>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</si>
  <si>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</si>
  <si>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</si>
  <si>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</si>
  <si>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</si>
  <si>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</si>
  <si>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</si>
  <si>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</si>
  <si>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</si>
  <si>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</si>
  <si>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</si>
  <si>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</si>
  <si>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</si>
  <si>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</si>
  <si>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</si>
  <si>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</si>
  <si>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</si>
  <si>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</si>
  <si>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</si>
  <si>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</si>
  <si>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</si>
  <si>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</si>
  <si>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</si>
  <si>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</si>
  <si>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</si>
  <si>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</si>
  <si>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</si>
  <si>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</si>
  <si>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</si>
  <si>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</si>
  <si>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</si>
  <si>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</si>
  <si>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</si>
  <si>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</si>
  <si>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</si>
  <si>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</si>
  <si>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</si>
  <si>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</si>
  <si>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</si>
  <si>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</si>
  <si>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</si>
  <si>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</si>
  <si>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</si>
  <si>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</si>
  <si>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</si>
  <si>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</si>
  <si>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</si>
  <si>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</si>
  <si>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</si>
  <si>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</si>
  <si>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</si>
  <si>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</si>
  <si>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</si>
  <si>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</si>
  <si>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</si>
  <si>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</si>
  <si>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</si>
  <si>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</si>
  <si>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</si>
  <si>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</si>
  <si>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</si>
  <si>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</si>
  <si>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</si>
  <si>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</si>
  <si>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</si>
  <si>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</si>
  <si>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</si>
  <si>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</si>
  <si>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</si>
  <si>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</si>
  <si>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</si>
  <si>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</si>
  <si>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</si>
  <si>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</si>
  <si>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</si>
  <si>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</si>
  <si>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</si>
  <si>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</si>
  <si>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</si>
  <si>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</si>
  <si>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</si>
  <si>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</si>
  <si>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</si>
  <si>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</si>
  <si>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</si>
  <si>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</si>
  <si>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</si>
  <si>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</si>
  <si>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</si>
  <si>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</si>
  <si>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</si>
  <si>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</si>
  <si>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</si>
  <si>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</si>
  <si>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</si>
  <si>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</si>
  <si>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</si>
  <si>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</si>
  <si>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</si>
  <si>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</si>
  <si>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</si>
  <si>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</si>
  <si>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</si>
  <si>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</si>
  <si>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</si>
  <si>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</si>
  <si>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</si>
  <si>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</si>
  <si>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</si>
  <si>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</si>
  <si>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</si>
  <si>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</si>
  <si>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</si>
  <si>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</si>
  <si>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</si>
  <si>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</si>
  <si>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</si>
  <si>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</si>
  <si>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</si>
  <si>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</si>
  <si>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</si>
  <si>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</si>
  <si>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</si>
  <si>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</si>
  <si>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</si>
  <si>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</si>
  <si>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</si>
  <si>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</si>
  <si>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</si>
  <si>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</si>
  <si>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</si>
  <si>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</si>
  <si>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</si>
  <si>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</si>
  <si>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</si>
  <si>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</si>
  <si>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</si>
  <si>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</si>
  <si>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</si>
  <si>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</si>
  <si>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</si>
  <si>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</si>
  <si>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</si>
  <si>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</si>
  <si>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</si>
  <si>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</si>
  <si>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</si>
  <si>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</si>
  <si>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</si>
  <si>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</si>
  <si>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</si>
  <si>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</si>
  <si>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</si>
  <si>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</si>
  <si>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</si>
  <si>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</si>
  <si>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</si>
  <si>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</si>
  <si>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</si>
  <si>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</si>
  <si>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</si>
  <si>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</si>
  <si>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</si>
  <si>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</si>
  <si>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</si>
  <si>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</si>
  <si>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</si>
  <si>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</si>
  <si>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</si>
  <si>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</si>
  <si>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</si>
  <si>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</si>
  <si>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</si>
  <si>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</si>
  <si>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</si>
  <si>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</si>
  <si>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</si>
  <si>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</si>
  <si>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</si>
  <si>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</si>
  <si>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</si>
  <si>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</si>
  <si>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</si>
  <si>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</si>
  <si>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</si>
  <si>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</si>
  <si>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</si>
  <si>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</si>
  <si>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</si>
  <si>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</si>
  <si>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</si>
  <si>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</si>
  <si>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</si>
  <si>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</si>
  <si>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</si>
  <si>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</si>
  <si>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</si>
  <si>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</si>
  <si>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</si>
  <si>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</si>
  <si>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</si>
  <si>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</si>
  <si>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</si>
  <si>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</si>
  <si>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</si>
  <si>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</si>
  <si>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</si>
  <si>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</si>
  <si>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</si>
  <si>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</si>
  <si>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</si>
  <si>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</si>
  <si>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</si>
  <si>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</si>
  <si>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</si>
  <si>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</si>
  <si>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</si>
  <si>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</si>
  <si>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</si>
  <si>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</si>
  <si>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</si>
  <si>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</si>
  <si>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</si>
  <si>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</si>
  <si>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</si>
  <si>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</si>
  <si>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</si>
  <si>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</si>
  <si>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</si>
  <si>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</si>
  <si>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</si>
  <si>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</si>
  <si>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</si>
  <si>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</si>
  <si>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</si>
  <si>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</si>
  <si>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</si>
  <si>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</si>
  <si>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</si>
  <si>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</si>
  <si>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</si>
  <si>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</si>
  <si>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</si>
  <si>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</si>
  <si>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</si>
  <si>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</si>
  <si>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</si>
  <si>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</si>
  <si>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</si>
  <si>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</si>
  <si>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</si>
  <si>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</si>
  <si>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</si>
  <si>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</si>
  <si>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</si>
  <si>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</si>
  <si>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</si>
  <si>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</si>
  <si>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</si>
  <si>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</si>
  <si>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</si>
  <si>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</si>
  <si>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</si>
  <si>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</si>
  <si>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</si>
  <si>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</si>
  <si>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</si>
  <si>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</si>
  <si>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</si>
  <si>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</si>
  <si>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</si>
  <si>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</si>
  <si>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</si>
  <si>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</si>
  <si>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</si>
  <si>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</si>
  <si>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</si>
  <si>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</si>
  <si>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</si>
  <si>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</si>
  <si>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</si>
  <si>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</si>
  <si>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</si>
  <si>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</si>
  <si>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</si>
  <si>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</si>
  <si>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</si>
  <si>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</si>
  <si>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</si>
  <si>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</si>
  <si>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</si>
  <si>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</si>
  <si>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</si>
  <si>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</si>
  <si>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</si>
  <si>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</si>
  <si>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</si>
  <si>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</si>
  <si>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</si>
  <si>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</si>
  <si>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</si>
  <si>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</si>
  <si>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</si>
  <si>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</si>
  <si>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</si>
  <si>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</si>
  <si>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</si>
  <si>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</si>
  <si>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</si>
  <si>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</si>
  <si>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</si>
  <si>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</si>
  <si>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</si>
  <si>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</si>
  <si>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</si>
  <si>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</si>
  <si>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</si>
  <si>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</si>
  <si>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</si>
  <si>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</si>
  <si>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</si>
  <si>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</si>
  <si>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</si>
  <si>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</si>
  <si>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</si>
  <si>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</si>
  <si>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</si>
  <si>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</si>
  <si>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</si>
  <si>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</si>
  <si>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</si>
  <si>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</si>
  <si>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</si>
  <si>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</si>
  <si>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</si>
  <si>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</si>
  <si>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</si>
  <si>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</si>
  <si>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</si>
  <si>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</si>
  <si>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</si>
  <si>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</si>
  <si>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</si>
  <si>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</si>
  <si>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</si>
  <si>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</si>
  <si>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</si>
  <si>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</si>
  <si>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</si>
  <si>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</si>
  <si>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</si>
  <si>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</si>
  <si>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</si>
  <si>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</si>
  <si>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</si>
  <si>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</si>
  <si>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</si>
  <si>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</si>
  <si>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</si>
  <si>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</si>
  <si>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</si>
  <si>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</si>
  <si>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</si>
  <si>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</si>
  <si>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</si>
  <si>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</si>
  <si>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</si>
  <si>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</si>
  <si>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</si>
  <si>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</si>
  <si>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</si>
  <si>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</si>
  <si>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</si>
  <si>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</si>
  <si>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</si>
  <si>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</si>
  <si>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</si>
  <si>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</si>
  <si>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</si>
  <si>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</si>
  <si>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</si>
  <si>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</si>
  <si>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</si>
  <si>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</si>
  <si>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</si>
  <si>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</si>
  <si>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</si>
  <si>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</si>
  <si>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</si>
  <si>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</si>
  <si>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</si>
  <si>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</si>
  <si>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</si>
  <si>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</si>
  <si>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</si>
  <si>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</si>
  <si>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</si>
  <si>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</si>
  <si>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</si>
  <si>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</si>
  <si>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</si>
  <si>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</si>
  <si>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</si>
  <si>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</si>
  <si>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</si>
  <si>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</si>
  <si>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</si>
  <si>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</si>
  <si>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</si>
  <si>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</si>
  <si>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</si>
  <si>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</si>
  <si>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</si>
  <si>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</si>
  <si>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</si>
  <si>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</si>
  <si>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</si>
  <si>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</si>
  <si>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</si>
  <si>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</si>
  <si>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</si>
  <si>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</si>
  <si>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</si>
  <si>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</si>
  <si>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</si>
  <si>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</si>
  <si>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</si>
  <si>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</si>
  <si>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</si>
  <si>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</si>
  <si>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</si>
  <si>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</si>
  <si>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</si>
  <si>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</si>
  <si>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</si>
  <si>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</si>
  <si>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</si>
  <si>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</si>
  <si>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</si>
  <si>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</si>
  <si>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</si>
  <si>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</si>
  <si>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</si>
  <si>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</si>
  <si>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</si>
  <si>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</si>
  <si>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</si>
  <si>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</si>
  <si>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</si>
  <si>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</si>
  <si>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</si>
  <si>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</si>
  <si>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</si>
  <si>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</si>
  <si>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</si>
  <si>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</si>
  <si>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</si>
  <si>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</si>
  <si>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</si>
  <si>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</si>
  <si>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</si>
  <si>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</si>
  <si>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</si>
  <si>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</si>
  <si>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</si>
  <si>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</si>
  <si>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</si>
  <si>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</si>
  <si>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</si>
  <si>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</si>
  <si>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</si>
  <si>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</si>
  <si>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</si>
  <si>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</si>
  <si>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</si>
  <si>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</si>
  <si>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</si>
  <si>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</si>
  <si>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</si>
  <si>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</si>
  <si>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</si>
  <si>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</si>
  <si>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</si>
  <si>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</si>
  <si>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</si>
  <si>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</si>
  <si>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</si>
  <si>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</si>
  <si>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</si>
  <si>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</si>
  <si>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</si>
  <si>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</si>
  <si>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</si>
  <si>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</si>
  <si>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</si>
  <si>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</si>
  <si>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</si>
  <si>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</si>
  <si>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</si>
  <si>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</si>
  <si>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</si>
  <si>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</si>
  <si>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</si>
  <si>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</si>
  <si>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</si>
  <si>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</si>
  <si>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</si>
  <si>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</si>
  <si>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</si>
  <si>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</si>
  <si>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</si>
  <si>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</si>
  <si>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</si>
  <si>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</si>
  <si>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</si>
  <si>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</si>
  <si>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</si>
  <si>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</si>
  <si>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</si>
  <si>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</si>
  <si>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</si>
  <si>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</si>
  <si>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</si>
  <si>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</si>
  <si>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</si>
  <si>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</si>
  <si>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</si>
  <si>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</si>
  <si>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</si>
  <si>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</si>
  <si>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</si>
  <si>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</si>
  <si>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</si>
  <si>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</si>
  <si>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</si>
  <si>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</si>
  <si>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</si>
  <si>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</si>
  <si>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</si>
  <si>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</si>
  <si>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</si>
  <si>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</si>
  <si>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</si>
  <si>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</si>
  <si>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</si>
  <si>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</si>
  <si>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</si>
  <si>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</si>
  <si>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</si>
  <si>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</si>
  <si>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</si>
  <si>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</si>
  <si>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</si>
  <si>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</si>
  <si>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</si>
  <si>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</si>
  <si>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</si>
  <si>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</si>
  <si>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</si>
  <si>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</si>
  <si>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</si>
  <si>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</si>
  <si>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</si>
  <si>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</si>
  <si>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</si>
  <si>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</si>
  <si>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</si>
  <si>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</si>
  <si>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</si>
  <si>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</si>
  <si>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</si>
  <si>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</si>
  <si>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</si>
  <si>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</si>
  <si>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</si>
  <si>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</si>
  <si>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</si>
  <si>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</si>
  <si>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</si>
  <si>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</si>
  <si>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</si>
  <si>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</si>
  <si>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</si>
  <si>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</si>
  <si>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</si>
  <si>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</si>
  <si>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</si>
  <si>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</si>
  <si>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</si>
  <si>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</si>
  <si>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</si>
  <si>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</si>
  <si>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</si>
  <si>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</si>
  <si>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</si>
  <si>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</si>
  <si>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</si>
  <si>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</si>
  <si>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</si>
  <si>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</si>
  <si>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</si>
  <si>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</si>
  <si>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</si>
  <si>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</si>
  <si>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</si>
  <si>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</si>
  <si>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</si>
  <si>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</si>
  <si>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</si>
  <si>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</si>
  <si>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</si>
  <si>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</si>
  <si>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</si>
  <si>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</si>
  <si>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</si>
  <si>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</si>
  <si>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</si>
  <si>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</si>
  <si>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</si>
  <si>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</si>
  <si>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</si>
  <si>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</si>
  <si>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</si>
  <si>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</si>
  <si>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</si>
  <si>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</si>
  <si>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</si>
  <si>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</si>
  <si>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</si>
  <si>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</si>
  <si>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</si>
  <si>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</si>
  <si>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</si>
  <si>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</si>
  <si>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</si>
  <si>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</si>
  <si>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</si>
  <si>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</si>
  <si>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</si>
  <si>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</si>
  <si>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</si>
  <si>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</si>
  <si>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</si>
  <si>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</si>
  <si>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</si>
  <si>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</si>
  <si>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</si>
  <si>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</si>
  <si>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</si>
  <si>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</si>
  <si>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</si>
  <si>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</si>
  <si>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</si>
  <si>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</si>
  <si>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</si>
  <si>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</si>
  <si>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</si>
  <si>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</si>
  <si>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</si>
  <si>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</si>
  <si>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</si>
  <si>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</si>
  <si>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</si>
  <si>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</si>
  <si>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</si>
  <si>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</si>
  <si>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</si>
  <si>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</si>
  <si>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</si>
  <si>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</si>
  <si>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</si>
  <si>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</si>
  <si>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</si>
  <si>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</si>
  <si>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</si>
  <si>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</si>
  <si>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</si>
  <si>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</si>
  <si>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</si>
  <si>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</si>
  <si>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</si>
  <si>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</si>
  <si>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</si>
  <si>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</si>
  <si>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</si>
  <si>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</si>
  <si>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</si>
  <si>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</si>
  <si>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</si>
  <si>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</si>
  <si>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</si>
  <si>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</si>
  <si>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</si>
  <si>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</si>
  <si>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</si>
  <si>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</si>
  <si>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</si>
  <si>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</si>
  <si>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</si>
  <si>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</si>
  <si>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</si>
  <si>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</si>
  <si>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</si>
  <si>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</si>
  <si>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</si>
  <si>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</si>
  <si>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</si>
  <si>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</si>
  <si>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</si>
  <si>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</si>
  <si>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</si>
  <si>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</si>
  <si>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</si>
  <si>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</si>
  <si>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</si>
  <si>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</si>
  <si>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</si>
  <si>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</si>
  <si>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</si>
  <si>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</si>
  <si>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</si>
  <si>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</si>
  <si>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</si>
  <si>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</si>
  <si>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</si>
  <si>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</si>
  <si>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</si>
  <si>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</si>
  <si>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</si>
  <si>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</si>
  <si>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</si>
  <si>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</si>
  <si>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</si>
  <si>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</si>
  <si>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</si>
  <si>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</si>
  <si>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</si>
  <si>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</si>
  <si>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</si>
  <si>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</si>
  <si>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</si>
  <si>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</si>
  <si>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</si>
  <si>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</si>
  <si>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</si>
  <si>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</si>
  <si>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</si>
  <si>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</si>
  <si>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</si>
  <si>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</si>
  <si>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</si>
  <si>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</si>
  <si>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</si>
  <si>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</si>
  <si>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</si>
  <si>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</si>
  <si>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</si>
  <si>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</si>
  <si>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</si>
  <si>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</si>
  <si>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</si>
  <si>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</si>
  <si>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</si>
  <si>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</si>
  <si>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</si>
  <si>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</si>
  <si>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</si>
  <si>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</si>
  <si>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</si>
  <si>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</si>
  <si>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</si>
  <si>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</si>
  <si>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</si>
  <si>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</si>
  <si>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</si>
  <si>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</si>
  <si>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</si>
  <si>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</si>
  <si>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</si>
  <si>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</si>
  <si>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</si>
  <si>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</si>
  <si>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</si>
  <si>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</si>
  <si>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</si>
  <si>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</si>
  <si>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</si>
  <si>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</si>
  <si>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</si>
  <si>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</si>
  <si>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</si>
  <si>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</si>
  <si>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</si>
  <si>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</si>
  <si>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</si>
  <si>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</si>
  <si>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</si>
  <si>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</si>
  <si>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</si>
  <si>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</si>
  <si>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</si>
  <si>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</si>
  <si>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</si>
  <si>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</si>
  <si>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</si>
  <si>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</si>
  <si>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</si>
  <si>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</si>
  <si>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</si>
  <si>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</si>
  <si>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</si>
  <si>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</si>
  <si>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</si>
  <si>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</si>
  <si>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</si>
  <si>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</si>
  <si>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</si>
  <si>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</si>
  <si>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</si>
  <si>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</si>
  <si>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</si>
  <si>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</si>
  <si>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</si>
  <si>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</si>
  <si>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</si>
  <si>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</si>
  <si>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</si>
  <si>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</si>
  <si>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</si>
  <si>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</si>
  <si>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</si>
  <si>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</si>
  <si>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</si>
  <si>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</si>
  <si>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</si>
  <si>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</si>
  <si>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</si>
  <si>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</si>
  <si>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</si>
  <si>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</si>
  <si>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</si>
  <si>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</si>
  <si>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</si>
  <si>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</si>
  <si>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</si>
  <si>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</si>
  <si>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</si>
  <si>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</si>
  <si>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</si>
  <si>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</si>
  <si>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</si>
  <si>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</si>
  <si>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</si>
  <si>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</si>
  <si>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</si>
  <si>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</si>
  <si>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</si>
  <si>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</si>
  <si>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</si>
  <si>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</si>
  <si>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</si>
  <si>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</si>
  <si>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</si>
  <si>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</si>
  <si>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</si>
  <si>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</si>
  <si>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</si>
  <si>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</si>
  <si>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</si>
  <si>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</si>
  <si>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</si>
  <si>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</si>
  <si>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</si>
  <si>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</si>
  <si>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</si>
  <si>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</si>
  <si>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</si>
  <si>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</si>
  <si>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</si>
  <si>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</si>
  <si>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</si>
  <si>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</si>
  <si>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</si>
  <si>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</si>
  <si>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</si>
  <si>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</si>
  <si>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</si>
  <si>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</si>
  <si>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</si>
  <si>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</si>
  <si>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</si>
  <si>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</si>
  <si>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</si>
  <si>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</si>
  <si>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</si>
  <si>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</si>
  <si>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</si>
  <si>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</si>
  <si>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</si>
  <si>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</si>
  <si>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</si>
  <si>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</si>
  <si>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</si>
  <si>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</si>
  <si>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</si>
  <si>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</si>
  <si>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</si>
  <si>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</si>
  <si>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</si>
  <si>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</si>
  <si>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</si>
  <si>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</si>
  <si>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</si>
  <si>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</si>
  <si>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</si>
  <si>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</si>
  <si>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</si>
  <si>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</si>
  <si>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</si>
  <si>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</si>
  <si>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</si>
  <si>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</si>
  <si>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</si>
  <si>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</si>
  <si>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</si>
  <si>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</si>
  <si>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</si>
  <si>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</si>
  <si>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</si>
  <si>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</si>
  <si>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</si>
  <si>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</si>
  <si>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</si>
  <si>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</si>
  <si>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</si>
  <si>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</si>
  <si>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</si>
  <si>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</si>
  <si>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</si>
  <si>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</si>
  <si>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</si>
  <si>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</si>
  <si>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</si>
  <si>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</si>
  <si>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</si>
  <si>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</si>
  <si>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</si>
  <si>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</si>
  <si>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</si>
  <si>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</si>
  <si>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</si>
  <si>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</si>
  <si>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</si>
  <si>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</si>
  <si>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</si>
  <si>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</si>
  <si>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</si>
  <si>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</si>
  <si>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</si>
  <si>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</si>
  <si>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</si>
  <si>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</si>
  <si>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</si>
  <si>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</si>
  <si>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</si>
  <si>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</si>
  <si>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</si>
  <si>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</si>
  <si>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</si>
  <si>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</si>
  <si>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</si>
  <si>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</si>
  <si>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</si>
  <si>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</si>
  <si>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</si>
  <si>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</si>
  <si>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</si>
  <si>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</si>
  <si>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</si>
  <si>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</si>
  <si>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</si>
  <si>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</si>
  <si>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</si>
  <si>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</si>
  <si>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</si>
  <si>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</si>
  <si>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</si>
  <si>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</si>
  <si>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</si>
  <si>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</si>
  <si>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</si>
  <si>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</si>
  <si>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</si>
  <si>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</si>
  <si>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</si>
  <si>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</si>
  <si>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</si>
  <si>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</si>
  <si>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</si>
  <si>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</si>
  <si>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</si>
  <si>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</si>
  <si>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</si>
  <si>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</si>
  <si>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</si>
  <si>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</si>
  <si>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</si>
  <si>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</si>
  <si>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</si>
  <si>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</si>
  <si>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</si>
  <si>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</si>
  <si>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</si>
  <si>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</si>
  <si>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</si>
  <si>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</si>
  <si>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</si>
  <si>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</si>
  <si>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</si>
  <si>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</si>
  <si>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</si>
  <si>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</si>
  <si>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</si>
  <si>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</si>
  <si>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</si>
  <si>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</si>
  <si>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</si>
  <si>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</si>
  <si>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</si>
  <si>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</si>
  <si>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</si>
  <si>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</si>
  <si>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</si>
  <si>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</si>
  <si>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</si>
  <si>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</si>
  <si>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</si>
  <si>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</si>
  <si>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</si>
  <si>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</si>
  <si>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</si>
  <si>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</si>
  <si>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</si>
  <si>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</si>
  <si>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</si>
  <si>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</si>
  <si>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</si>
  <si>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</si>
  <si>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</si>
  <si>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</si>
  <si>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</si>
  <si>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</si>
  <si>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</si>
  <si>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</si>
  <si>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</si>
  <si>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</si>
  <si>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</si>
  <si>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</si>
  <si>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</si>
  <si>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</si>
  <si>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</si>
  <si>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</si>
  <si>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</si>
  <si>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</si>
  <si>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</si>
  <si>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</si>
  <si>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</si>
  <si>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</si>
  <si>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</si>
  <si>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</si>
  <si>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</si>
  <si>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</si>
  <si>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</si>
  <si>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</si>
  <si>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</si>
  <si>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</si>
  <si>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</si>
  <si>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</si>
  <si>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</si>
  <si>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</si>
  <si>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</si>
  <si>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</si>
  <si>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</si>
  <si>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</si>
  <si>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</si>
  <si>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</si>
  <si>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</si>
  <si>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</si>
  <si>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</si>
  <si>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</si>
  <si>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</si>
  <si>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</si>
  <si>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</si>
  <si>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</si>
  <si>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</si>
  <si>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</si>
  <si>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</si>
  <si>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</si>
  <si>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</si>
  <si>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</si>
  <si>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</si>
  <si>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</si>
  <si>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</si>
  <si>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</si>
  <si>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</si>
  <si>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</si>
  <si>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</si>
  <si>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</si>
  <si>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</si>
  <si>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</si>
  <si>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</si>
  <si>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</si>
  <si>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</si>
  <si>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</si>
  <si>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</si>
  <si>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</si>
  <si>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</si>
  <si>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</si>
  <si>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</si>
  <si>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</si>
  <si>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</si>
  <si>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</si>
  <si>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</si>
  <si>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</si>
  <si>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</si>
  <si>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</si>
  <si>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</si>
  <si>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</si>
  <si>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</si>
  <si>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</si>
  <si>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</si>
  <si>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</si>
  <si>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</si>
  <si>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</si>
  <si>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</si>
  <si>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</si>
  <si>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</si>
  <si>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</si>
  <si>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</si>
  <si>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</si>
  <si>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</si>
  <si>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</si>
  <si>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</si>
  <si>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</si>
  <si>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</si>
  <si>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</si>
  <si>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</si>
  <si>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</si>
  <si>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</si>
  <si>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</si>
  <si>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</si>
  <si>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</si>
  <si>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</si>
  <si>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</si>
  <si>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</si>
  <si>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</si>
  <si>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</si>
  <si>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</si>
  <si>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</si>
  <si>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</si>
  <si>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</si>
  <si>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</si>
  <si>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</si>
  <si>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</si>
  <si>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</si>
  <si>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</si>
  <si>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</si>
  <si>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</si>
  <si>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</si>
  <si>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</si>
  <si>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</si>
  <si>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</si>
  <si>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</si>
  <si>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</si>
  <si>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</si>
  <si>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</si>
  <si>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</si>
  <si>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</si>
  <si>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</si>
  <si>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</si>
  <si>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</si>
  <si>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</si>
  <si>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</si>
  <si>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</si>
  <si>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</si>
  <si>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</si>
  <si>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</si>
  <si>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</si>
  <si>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</si>
  <si>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</si>
  <si>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</si>
  <si>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</si>
  <si>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</si>
  <si>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</si>
  <si>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</si>
  <si>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</si>
  <si>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</si>
  <si>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</si>
  <si>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</si>
  <si>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</si>
  <si>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</si>
  <si>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</si>
  <si>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</si>
  <si>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</si>
  <si>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</si>
  <si>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</si>
  <si>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</si>
  <si>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</si>
  <si>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</si>
  <si>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</si>
  <si>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</si>
  <si>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</si>
  <si>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</si>
  <si>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</si>
  <si>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</si>
  <si>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</si>
  <si>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</si>
  <si>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</si>
  <si>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</si>
  <si>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</si>
  <si>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</si>
  <si>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</si>
  <si>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</si>
  <si>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</si>
  <si>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</si>
  <si>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</si>
  <si>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</si>
  <si>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</si>
  <si>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</si>
  <si>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</si>
  <si>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</si>
  <si>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</si>
  <si>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</si>
  <si>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</si>
  <si>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</si>
  <si>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</si>
  <si>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</si>
  <si>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</si>
  <si>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</si>
  <si>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</si>
  <si>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</si>
  <si>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</si>
  <si>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</si>
  <si>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</si>
  <si>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</si>
  <si>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</si>
  <si>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</si>
  <si>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</si>
  <si>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</si>
  <si>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</si>
  <si>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</si>
  <si>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</si>
  <si>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</si>
  <si>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</si>
  <si>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</si>
  <si>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</si>
  <si>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</si>
  <si>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</si>
  <si>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</si>
  <si>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</si>
  <si>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</si>
  <si>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</si>
  <si>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</si>
  <si>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</si>
  <si>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</si>
  <si>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</si>
  <si>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</si>
  <si>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</si>
  <si>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</si>
  <si>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</si>
  <si>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</si>
  <si>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</si>
  <si>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</si>
  <si>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</si>
  <si>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</si>
  <si>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</si>
  <si>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</si>
  <si>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</si>
  <si>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</si>
  <si>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</si>
  <si>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</si>
  <si>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</si>
  <si>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</si>
  <si>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</si>
  <si>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</si>
  <si>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</si>
  <si>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</si>
  <si>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</si>
  <si>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</si>
  <si>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</si>
  <si>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</si>
  <si>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</si>
  <si>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</si>
  <si>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</si>
  <si>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</si>
  <si>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</si>
  <si>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</si>
  <si>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</si>
  <si>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</si>
  <si>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</si>
  <si>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</si>
  <si>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</si>
  <si>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</si>
  <si>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</si>
  <si>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</si>
  <si>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</si>
  <si>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</si>
  <si>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</si>
  <si>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</si>
  <si>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</si>
  <si>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</si>
  <si>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</si>
  <si>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</si>
  <si>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</si>
  <si>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</si>
  <si>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</si>
  <si>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</si>
  <si>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</si>
  <si>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</si>
  <si>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</si>
  <si>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</si>
  <si>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</si>
  <si>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</si>
  <si>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</si>
  <si>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</si>
  <si>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</si>
  <si>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</si>
  <si>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</si>
  <si>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</si>
  <si>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</si>
  <si>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</si>
  <si>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</si>
  <si>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</si>
  <si>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</si>
  <si>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</si>
  <si>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</si>
  <si>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</si>
  <si>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</si>
  <si>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</si>
  <si>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</si>
  <si>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</si>
  <si>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</si>
  <si>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</si>
  <si>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</si>
  <si>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</si>
  <si>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</si>
  <si>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</si>
  <si>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</si>
  <si>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</si>
  <si>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</si>
  <si>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</si>
  <si>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</si>
  <si>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</si>
  <si>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</si>
  <si>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</si>
  <si>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</si>
  <si>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</si>
  <si>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</si>
  <si>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</si>
  <si>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</si>
  <si>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</si>
  <si>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</si>
  <si>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</si>
  <si>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</si>
  <si>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</si>
  <si>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</si>
  <si>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</si>
  <si>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</si>
  <si>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</si>
  <si>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</si>
  <si>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</si>
  <si>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</si>
  <si>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</si>
  <si>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</si>
  <si>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</si>
  <si>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</si>
  <si>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</si>
  <si>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</si>
  <si>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</si>
  <si>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</si>
  <si>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</si>
  <si>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</si>
  <si>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</si>
  <si>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</si>
  <si>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</si>
  <si>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</si>
  <si>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</si>
  <si>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</si>
  <si>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</si>
  <si>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</si>
  <si>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</si>
  <si>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</si>
  <si>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</si>
  <si>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</si>
  <si>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</si>
  <si>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</si>
  <si>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</si>
  <si>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</si>
  <si>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</si>
  <si>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</si>
  <si>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</si>
  <si>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</si>
  <si>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</si>
  <si>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</si>
  <si>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</si>
  <si>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</si>
  <si>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</si>
  <si>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</si>
  <si>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</si>
  <si>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</si>
  <si>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</si>
  <si>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</si>
  <si>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</si>
  <si>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</si>
  <si>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</si>
  <si>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</si>
  <si>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</si>
  <si>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</si>
  <si>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</si>
  <si>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</si>
  <si>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</si>
  <si>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</si>
  <si>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</si>
  <si>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</si>
  <si>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</si>
  <si>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</si>
  <si>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</si>
  <si>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</si>
  <si>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</si>
  <si>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</si>
  <si>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</si>
  <si>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</si>
  <si>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</si>
  <si>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</si>
  <si>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</si>
  <si>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</si>
  <si>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</si>
  <si>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</si>
  <si>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</si>
  <si>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</si>
  <si>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</si>
  <si>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</si>
  <si>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</si>
  <si>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</si>
  <si>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</si>
  <si>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</si>
  <si>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</si>
  <si>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</si>
  <si>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</si>
  <si>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</si>
  <si>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</si>
  <si>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</si>
  <si>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</si>
  <si>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</si>
  <si>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</si>
  <si>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</si>
  <si>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</si>
  <si>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</si>
  <si>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</si>
  <si>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</si>
  <si>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</si>
  <si>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</si>
  <si>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</si>
  <si>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</si>
  <si>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</si>
  <si>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</si>
  <si>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</si>
  <si>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</si>
  <si>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</si>
  <si>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</si>
  <si>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</si>
  <si>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</si>
  <si>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</si>
  <si>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</si>
  <si>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</si>
  <si>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</si>
  <si>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</si>
  <si>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</si>
  <si>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</si>
  <si>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</si>
  <si>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</si>
  <si>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</si>
  <si>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</si>
  <si>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</si>
  <si>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</si>
  <si>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</si>
  <si>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</si>
  <si>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</si>
  <si>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</si>
  <si>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</si>
  <si>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</si>
  <si>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</si>
  <si>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</si>
  <si>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</si>
  <si>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</si>
  <si>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</si>
  <si>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</si>
  <si>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</si>
  <si>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</si>
  <si>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</si>
  <si>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</si>
  <si>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</si>
  <si>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</si>
  <si>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</si>
  <si>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</si>
  <si>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</si>
  <si>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</si>
  <si>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</si>
  <si>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</si>
  <si>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</si>
  <si>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</si>
  <si>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</si>
  <si>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</si>
  <si>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</si>
  <si>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</si>
  <si>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</si>
  <si>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</si>
  <si>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</si>
  <si>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</si>
  <si>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</si>
  <si>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</si>
  <si>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</si>
  <si>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</si>
  <si>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</si>
  <si>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</si>
  <si>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</si>
  <si>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</si>
  <si>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</si>
  <si>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</si>
  <si>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</si>
  <si>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</si>
  <si>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</si>
  <si>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</si>
  <si>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</si>
  <si>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</si>
  <si>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</si>
  <si>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</si>
  <si>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</si>
  <si>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</si>
  <si>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</si>
  <si>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</si>
  <si>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</si>
  <si>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</si>
  <si>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</si>
  <si>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</si>
  <si>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</si>
  <si>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</si>
  <si>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</si>
  <si>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</si>
  <si>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</si>
  <si>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</si>
  <si>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</si>
  <si>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</si>
  <si>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</si>
  <si>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</si>
  <si>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</si>
  <si>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</si>
  <si>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</si>
  <si>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</si>
  <si>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</si>
  <si>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</si>
  <si>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</si>
  <si>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</si>
  <si>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</si>
  <si>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</si>
  <si>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</si>
  <si>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</si>
  <si>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</si>
  <si>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</si>
  <si>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</si>
  <si>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</si>
  <si>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</si>
  <si>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</si>
  <si>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</si>
  <si>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</si>
  <si>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</si>
  <si>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</si>
  <si>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</si>
  <si>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</si>
  <si>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</si>
  <si>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</si>
  <si>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</si>
  <si>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</si>
  <si>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</si>
  <si>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</si>
  <si>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</si>
  <si>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</si>
  <si>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</si>
  <si>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</si>
  <si>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</si>
  <si>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</si>
  <si>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</si>
  <si>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</si>
  <si>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</si>
  <si>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</si>
  <si>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</si>
  <si>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</si>
  <si>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</si>
  <si>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</si>
  <si>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</si>
  <si>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</si>
  <si>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</si>
  <si>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</si>
  <si>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</si>
  <si>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</si>
  <si>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</si>
  <si>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</si>
  <si>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</si>
  <si>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</si>
  <si>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</si>
  <si>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</si>
  <si>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</si>
  <si>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</si>
  <si>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</si>
  <si>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</si>
  <si>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</si>
  <si>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</si>
  <si>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</si>
  <si>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</si>
  <si>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</si>
  <si>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</si>
  <si>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</si>
  <si>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</si>
  <si>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</si>
  <si>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</si>
  <si>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</si>
  <si>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</si>
  <si>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</si>
  <si>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</si>
  <si>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</si>
  <si>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</si>
  <si>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</si>
  <si>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</si>
  <si>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</si>
  <si>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</si>
  <si>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</si>
  <si>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</si>
  <si>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</si>
  <si>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</si>
  <si>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</si>
  <si>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</si>
  <si>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</si>
  <si>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</si>
  <si>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</si>
  <si>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</si>
  <si>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</si>
  <si>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</si>
  <si>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</si>
  <si>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</si>
  <si>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</si>
  <si>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</si>
  <si>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</si>
  <si>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</si>
  <si>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</si>
  <si>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</si>
  <si>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</si>
  <si>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</si>
  <si>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</si>
  <si>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</si>
  <si>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</si>
  <si>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</si>
  <si>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</si>
  <si>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</si>
  <si>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</si>
  <si>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</si>
  <si>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</si>
  <si>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</si>
  <si>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</si>
  <si>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</si>
  <si>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</si>
  <si>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</si>
  <si>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</si>
  <si>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</si>
  <si>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</si>
  <si>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</si>
  <si>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</si>
  <si>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</si>
  <si>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</si>
  <si>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</si>
  <si>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</si>
  <si>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</si>
  <si>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</si>
  <si>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</si>
  <si>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</si>
  <si>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</si>
  <si>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</si>
  <si>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</si>
  <si>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</si>
  <si>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</si>
  <si>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</si>
  <si>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</si>
  <si>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</si>
  <si>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</si>
  <si>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</si>
  <si>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</si>
  <si>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</si>
  <si>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</si>
  <si>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</si>
  <si>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</si>
  <si>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</si>
  <si>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</si>
  <si>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</si>
  <si>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</si>
  <si>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</si>
  <si>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</si>
  <si>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</si>
  <si>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</si>
  <si>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</si>
  <si>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</si>
  <si>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</si>
  <si>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</si>
  <si>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</si>
  <si>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</si>
  <si>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</si>
  <si>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</si>
  <si>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</si>
  <si>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</si>
  <si>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</si>
  <si>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</si>
  <si>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</si>
  <si>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</si>
  <si>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</si>
  <si>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</si>
  <si>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</si>
  <si>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</si>
  <si>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</si>
  <si>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</si>
  <si>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</si>
  <si>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</si>
  <si>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</si>
  <si>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</si>
  <si>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</si>
  <si>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</si>
  <si>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</si>
  <si>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</si>
  <si>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</si>
  <si>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</si>
  <si>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</si>
  <si>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</si>
  <si>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</si>
  <si>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</si>
  <si>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</si>
  <si>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</si>
  <si>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</si>
  <si>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</si>
  <si>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</si>
  <si>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</si>
  <si>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</si>
  <si>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</si>
  <si>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</si>
  <si>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</si>
  <si>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</si>
  <si>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</si>
  <si>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</si>
  <si>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</si>
  <si>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</si>
  <si>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</si>
  <si>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</si>
  <si>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</si>
  <si>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</si>
  <si>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</si>
  <si>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</si>
  <si>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</si>
  <si>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</si>
  <si>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</si>
  <si>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</si>
  <si>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</si>
  <si>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</si>
  <si>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</si>
  <si>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</si>
  <si>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</si>
  <si>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</si>
  <si>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</si>
  <si>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</si>
  <si>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</si>
  <si>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</si>
  <si>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</si>
  <si>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</si>
  <si>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</si>
  <si>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</si>
  <si>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</si>
  <si>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</si>
  <si>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</si>
  <si>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</si>
  <si>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</si>
  <si>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</si>
  <si>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</si>
  <si>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</si>
  <si>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</si>
  <si>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</si>
  <si>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</si>
  <si>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</si>
  <si>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</si>
  <si>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</si>
  <si>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</si>
  <si>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</si>
  <si>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</si>
  <si>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</si>
  <si>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</si>
  <si>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</si>
  <si>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</si>
  <si>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</si>
  <si>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</si>
  <si>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</si>
  <si>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</si>
  <si>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</si>
  <si>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</si>
  <si>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</si>
  <si>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</si>
  <si>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</si>
  <si>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</si>
  <si>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</si>
  <si>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</si>
  <si>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</si>
  <si>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</si>
  <si>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</si>
  <si>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</si>
  <si>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</si>
  <si>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</si>
  <si>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</si>
  <si>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</si>
  <si>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</si>
  <si>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</si>
  <si>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</si>
  <si>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</si>
  <si>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</si>
  <si>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</si>
  <si>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</si>
  <si>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</si>
  <si>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</si>
  <si>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</si>
  <si>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</si>
  <si>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</si>
  <si>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</si>
  <si>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</si>
  <si>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</si>
  <si>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</si>
  <si>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</si>
  <si>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</si>
  <si>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</si>
  <si>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</si>
  <si>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</si>
  <si>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</si>
  <si>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</si>
  <si>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</si>
  <si>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</si>
  <si>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</si>
  <si>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</si>
  <si>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</si>
  <si>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</si>
  <si>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</si>
  <si>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</si>
  <si>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</si>
  <si>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</si>
  <si>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</si>
  <si>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</si>
  <si>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</si>
  <si>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</si>
  <si>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</si>
  <si>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</si>
  <si>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</si>
  <si>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</si>
  <si>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</si>
  <si>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</si>
  <si>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</si>
  <si>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</si>
  <si>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</si>
  <si>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</si>
  <si>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</si>
  <si>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</si>
  <si>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</si>
  <si>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</si>
  <si>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</si>
  <si>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</si>
  <si>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</si>
  <si>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</si>
  <si>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</si>
  <si>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</si>
  <si>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</si>
  <si>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</si>
  <si>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</si>
  <si>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</si>
  <si>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</si>
  <si>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</si>
  <si>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</si>
  <si>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</si>
  <si>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</si>
  <si>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</si>
  <si>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</si>
  <si>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</si>
  <si>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</si>
  <si>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</si>
  <si>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</si>
  <si>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</si>
  <si>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</si>
  <si>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</si>
  <si>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</si>
  <si>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</si>
  <si>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</si>
  <si>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</si>
  <si>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</si>
  <si>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</si>
  <si>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</si>
  <si>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</si>
  <si>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</si>
  <si>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</si>
  <si>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</si>
  <si>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</si>
  <si>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</si>
  <si>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</si>
  <si>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</si>
  <si>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</si>
  <si>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</si>
  <si>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</si>
  <si>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</si>
  <si>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</si>
  <si>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</si>
  <si>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</si>
  <si>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</si>
  <si>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</si>
  <si>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</si>
  <si>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</si>
  <si>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</si>
  <si>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</si>
  <si>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</si>
  <si>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</si>
  <si>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</si>
  <si>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</si>
  <si>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</si>
  <si>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</si>
  <si>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</si>
  <si>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</si>
  <si>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</si>
  <si>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</si>
  <si>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</si>
  <si>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</si>
  <si>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</si>
  <si>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</si>
  <si>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</si>
  <si>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</si>
  <si>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</si>
  <si>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</si>
  <si>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</si>
  <si>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</si>
  <si>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</si>
  <si>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</si>
  <si>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</si>
  <si>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</si>
  <si>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</si>
  <si>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</si>
  <si>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</si>
  <si>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</si>
  <si>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</si>
  <si>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</si>
  <si>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</si>
  <si>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</si>
  <si>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</si>
  <si>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</si>
  <si>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</si>
  <si>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</si>
  <si>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</si>
  <si>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</si>
  <si>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</si>
  <si>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</si>
  <si>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</si>
  <si>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</si>
  <si>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</si>
  <si>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</si>
  <si>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</si>
  <si>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</si>
  <si>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</si>
  <si>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</si>
  <si>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</si>
  <si>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</si>
  <si>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</si>
  <si>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</si>
  <si>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</si>
  <si>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</si>
  <si>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</si>
  <si>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</si>
  <si>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</si>
  <si>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</si>
  <si>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</si>
  <si>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</si>
  <si>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</si>
  <si>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</si>
  <si>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</si>
  <si>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</si>
  <si>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</si>
  <si>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</si>
  <si>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</si>
  <si>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</si>
  <si>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</si>
  <si>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</si>
  <si>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</si>
  <si>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</si>
  <si>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</si>
  <si>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</si>
  <si>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</si>
  <si>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</si>
  <si>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</si>
  <si>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</si>
  <si>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</si>
  <si>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</si>
  <si>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</si>
  <si>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</si>
  <si>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</si>
  <si>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</si>
  <si>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</si>
  <si>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</si>
  <si>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</si>
  <si>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</si>
  <si>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</si>
  <si>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</si>
  <si>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</si>
  <si>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</si>
  <si>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</si>
  <si>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</si>
  <si>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</si>
  <si>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</si>
  <si>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</si>
  <si>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</si>
  <si>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</si>
  <si>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</si>
  <si>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</si>
  <si>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</si>
  <si>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</si>
  <si>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</si>
  <si>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</si>
  <si>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</si>
  <si>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</si>
  <si>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</si>
  <si>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</si>
  <si>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</si>
  <si>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</si>
  <si>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</si>
  <si>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</si>
  <si>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</si>
  <si>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</si>
  <si>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</si>
  <si>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</si>
  <si>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</si>
  <si>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</si>
  <si>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</si>
  <si>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</si>
  <si>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</si>
  <si>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</si>
  <si>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</si>
  <si>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</si>
  <si>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</si>
  <si>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</si>
  <si>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</si>
  <si>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</si>
  <si>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</si>
  <si>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</si>
  <si>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</si>
  <si>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</si>
  <si>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</si>
  <si>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</si>
  <si>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</si>
  <si>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</si>
  <si>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</si>
  <si>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</si>
  <si>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</si>
  <si>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</si>
  <si>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</si>
  <si>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</si>
  <si>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</si>
  <si>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</si>
  <si>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</si>
  <si>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</si>
  <si>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</si>
  <si>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</si>
  <si>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</si>
  <si>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</si>
  <si>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</si>
  <si>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</si>
  <si>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</si>
  <si>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</si>
  <si>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</si>
  <si>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</si>
  <si>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</si>
  <si>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</si>
  <si>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</si>
  <si>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</si>
  <si>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</si>
  <si>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</si>
  <si>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</si>
  <si>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</si>
  <si>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</si>
  <si>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</si>
  <si>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</si>
  <si>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</si>
  <si>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</si>
  <si>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</si>
  <si>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</si>
  <si>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</si>
  <si>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</si>
  <si>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</si>
  <si>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</si>
  <si>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</si>
  <si>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</si>
  <si>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</si>
  <si>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</si>
  <si>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</si>
  <si>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</si>
  <si>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</si>
  <si>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</si>
  <si>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</si>
  <si>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</si>
  <si>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</si>
  <si>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</si>
  <si>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</si>
  <si>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</si>
  <si>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</si>
  <si>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</si>
  <si>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</si>
  <si>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</si>
  <si>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</si>
  <si>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</si>
  <si>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</si>
  <si>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</si>
  <si>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</si>
  <si>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</si>
  <si>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</si>
  <si>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</si>
  <si>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</si>
  <si>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</si>
  <si>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</si>
  <si>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</si>
  <si>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</si>
  <si>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</si>
  <si>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</si>
  <si>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</si>
  <si>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</si>
  <si>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</si>
  <si>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</si>
  <si>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</si>
  <si>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</si>
  <si>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</si>
  <si>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</si>
  <si>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</si>
  <si>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</si>
  <si>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</si>
  <si>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</si>
  <si>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</si>
  <si>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</si>
  <si>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</si>
  <si>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</si>
  <si>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</si>
  <si>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</si>
  <si>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</si>
  <si>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</si>
  <si>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</si>
  <si>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</si>
  <si>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</si>
  <si>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</si>
  <si>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</si>
  <si>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</si>
  <si>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</si>
  <si>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</si>
  <si>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</si>
  <si>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</si>
  <si>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</si>
  <si>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</si>
  <si>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</si>
  <si>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</si>
  <si>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</si>
  <si>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</si>
  <si>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</si>
  <si>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</si>
  <si>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</si>
  <si>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</si>
  <si>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</si>
  <si>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</si>
  <si>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</si>
  <si>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</si>
  <si>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</si>
  <si>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</si>
  <si>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</si>
  <si>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</si>
  <si>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</si>
  <si>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</si>
  <si>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</si>
  <si>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</si>
  <si>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</si>
  <si>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</si>
  <si>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</si>
  <si>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</si>
  <si>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</si>
  <si>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</si>
  <si>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</si>
  <si>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</si>
  <si>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</si>
  <si>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</si>
  <si>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</si>
  <si>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</si>
  <si>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</si>
  <si>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</si>
  <si>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</si>
  <si>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</si>
  <si>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</si>
  <si>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</si>
  <si>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</si>
  <si>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</si>
  <si>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</si>
  <si>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</si>
  <si>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</si>
  <si>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</si>
  <si>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</si>
  <si>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</si>
  <si>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</si>
  <si>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</si>
  <si>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</si>
  <si>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</si>
  <si>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</si>
  <si>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</si>
  <si>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</si>
  <si>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</si>
  <si>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</si>
  <si>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</si>
  <si>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</si>
  <si>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</si>
  <si>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</si>
  <si>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</si>
  <si>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</si>
  <si>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</si>
  <si>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</si>
  <si>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</si>
  <si>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</si>
  <si>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</si>
  <si>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</si>
  <si>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</si>
  <si>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</si>
  <si>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</si>
  <si>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</si>
  <si>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</si>
  <si>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</si>
  <si>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</si>
  <si>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</si>
  <si>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</si>
  <si>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</si>
  <si>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</si>
  <si>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</si>
  <si>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</si>
  <si>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</si>
  <si>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</si>
  <si>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</si>
  <si>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</si>
  <si>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</si>
  <si>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</si>
  <si>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</si>
  <si>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</si>
  <si>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</si>
  <si>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</si>
  <si>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</si>
  <si>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</si>
  <si>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</si>
  <si>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</si>
  <si>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</si>
  <si>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</si>
  <si>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</si>
  <si>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</si>
  <si>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</si>
  <si>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</si>
  <si>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</si>
  <si>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</si>
  <si>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</si>
  <si>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</si>
  <si>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</si>
  <si>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</si>
  <si>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</si>
  <si>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</si>
  <si>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</si>
  <si>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</si>
  <si>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</si>
  <si>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</si>
  <si>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</si>
  <si>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</si>
  <si>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</si>
  <si>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</si>
  <si>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</si>
  <si>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</si>
  <si>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</si>
  <si>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</si>
  <si>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</si>
  <si>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</si>
  <si>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</si>
  <si>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</si>
  <si>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</si>
  <si>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</si>
  <si>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</si>
  <si>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</si>
  <si>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</si>
  <si>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</si>
  <si>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</si>
  <si>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</si>
  <si>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</si>
  <si>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</si>
  <si>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</si>
  <si>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</si>
  <si>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</si>
  <si>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</si>
  <si>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</si>
  <si>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</si>
  <si>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</si>
  <si>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</si>
  <si>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</si>
  <si>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</si>
  <si>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</si>
  <si>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</si>
  <si>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</si>
  <si>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</si>
  <si>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</si>
  <si>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</si>
  <si>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</si>
  <si>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</si>
  <si>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</si>
  <si>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</si>
  <si>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</si>
  <si>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</si>
  <si>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</si>
  <si>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</si>
  <si>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</si>
  <si>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</si>
  <si>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</si>
  <si>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</si>
  <si>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</si>
  <si>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</si>
  <si>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</si>
  <si>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</si>
  <si>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</si>
  <si>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</si>
  <si>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</si>
  <si>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</si>
  <si>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</si>
  <si>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</si>
  <si>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</si>
  <si>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</si>
  <si>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</si>
  <si>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</si>
  <si>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</si>
  <si>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</si>
  <si>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</si>
  <si>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</si>
  <si>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</si>
  <si>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</si>
  <si>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</si>
  <si>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</si>
  <si>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</si>
  <si>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</si>
  <si>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</si>
  <si>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</si>
  <si>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</si>
  <si>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</si>
  <si>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</si>
  <si>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</si>
  <si>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</si>
  <si>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</si>
  <si>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</si>
  <si>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</si>
  <si>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</si>
  <si>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</si>
  <si>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</si>
  <si>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</si>
  <si>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</si>
  <si>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</si>
  <si>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</si>
  <si>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</si>
  <si>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</si>
  <si>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</si>
  <si>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</si>
  <si>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</si>
  <si>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</si>
  <si>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</si>
  <si>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</si>
  <si>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</si>
  <si>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</si>
  <si>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</si>
  <si>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</si>
  <si>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</si>
  <si>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</si>
  <si>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</si>
  <si>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</si>
  <si>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</si>
  <si>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</si>
  <si>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</si>
  <si>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</si>
  <si>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</si>
  <si>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</si>
  <si>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</si>
  <si>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</si>
  <si>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</si>
  <si>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</si>
  <si>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</si>
  <si>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</si>
  <si>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</si>
  <si>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</si>
  <si>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</si>
  <si>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</si>
  <si>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</si>
  <si>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</si>
  <si>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</si>
  <si>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</si>
  <si>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</si>
  <si>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</si>
  <si>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</si>
  <si>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</si>
  <si>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</si>
  <si>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</si>
  <si>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</si>
  <si>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</si>
  <si>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</si>
  <si>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</si>
  <si>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</si>
  <si>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</si>
  <si>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</si>
  <si>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</si>
  <si>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</si>
  <si>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</si>
  <si>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</si>
  <si>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</si>
  <si>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</si>
  <si>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</si>
  <si>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</si>
  <si>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</si>
  <si>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</si>
  <si>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</si>
  <si>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</si>
  <si>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</si>
  <si>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</si>
  <si>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</si>
  <si>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</si>
  <si>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</si>
  <si>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</si>
  <si>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</si>
  <si>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</si>
  <si>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</si>
  <si>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</si>
  <si>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</si>
  <si>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</si>
  <si>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</si>
  <si>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</si>
  <si>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</si>
  <si>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</si>
  <si>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</si>
  <si>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</si>
  <si>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</si>
  <si>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</si>
  <si>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</si>
  <si>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</si>
  <si>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</si>
  <si>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</si>
  <si>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</si>
  <si>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</si>
  <si>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</si>
  <si>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</si>
  <si>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</si>
  <si>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</si>
  <si>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</si>
  <si>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</si>
  <si>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</si>
  <si>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</si>
  <si>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</si>
  <si>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</si>
  <si>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</si>
  <si>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</si>
  <si>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</si>
  <si>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</si>
  <si>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</si>
  <si>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</si>
  <si>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</si>
  <si>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</si>
  <si>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</si>
  <si>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</si>
  <si>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</si>
  <si>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</si>
  <si>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</si>
  <si>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</si>
  <si>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</si>
  <si>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</si>
  <si>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</si>
  <si>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</si>
  <si>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</si>
  <si>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</si>
  <si>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</si>
  <si>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</si>
  <si>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</si>
  <si>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</si>
  <si>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</si>
  <si>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</si>
  <si>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</si>
  <si>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</si>
  <si>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</si>
  <si>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</si>
  <si>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</si>
  <si>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</si>
  <si>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</si>
  <si>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</si>
  <si>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</si>
  <si>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</si>
  <si>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</si>
  <si>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</si>
  <si>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</si>
  <si>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</si>
  <si>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</si>
  <si>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</si>
  <si>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</si>
  <si>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</si>
  <si>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</si>
  <si>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</si>
  <si>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</si>
  <si>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</si>
  <si>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</si>
  <si>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</si>
  <si>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</si>
  <si>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</si>
  <si>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</si>
  <si>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</si>
  <si>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</si>
  <si>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</si>
  <si>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</si>
  <si>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</si>
  <si>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</si>
  <si>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</si>
  <si>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</si>
  <si>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</si>
  <si>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</si>
  <si>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</si>
  <si>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</si>
  <si>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</si>
  <si>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</si>
  <si>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</si>
  <si>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</si>
  <si>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</si>
  <si>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</si>
  <si>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</si>
  <si>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</si>
  <si>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</si>
  <si>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</si>
  <si>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</si>
  <si>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</si>
  <si>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</si>
  <si>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</si>
  <si>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</si>
  <si>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</si>
  <si>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</si>
  <si>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</si>
  <si>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</si>
  <si>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</si>
  <si>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</si>
  <si>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</si>
  <si>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</si>
  <si>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</si>
  <si>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</si>
  <si>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</si>
  <si>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</si>
  <si>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</si>
  <si>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</si>
  <si>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</si>
  <si>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</si>
  <si>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</si>
  <si>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</si>
  <si>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</si>
  <si>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</si>
  <si>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</si>
  <si>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</si>
  <si>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</si>
  <si>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</si>
  <si>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</si>
  <si>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</si>
  <si>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</si>
  <si>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</si>
  <si>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</si>
  <si>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</si>
  <si>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</si>
  <si>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</si>
  <si>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</si>
  <si>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</si>
  <si>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</si>
  <si>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</si>
  <si>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</si>
  <si>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</si>
  <si>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</si>
  <si>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</si>
  <si>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</si>
  <si>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</si>
  <si>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</si>
  <si>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</si>
  <si>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</si>
  <si>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</si>
  <si>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</si>
  <si>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</si>
  <si>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</si>
  <si>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</si>
  <si>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</si>
  <si>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</si>
  <si>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</si>
  <si>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</si>
  <si>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</si>
  <si>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</si>
  <si>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</si>
  <si>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</si>
  <si>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</si>
  <si>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</si>
  <si>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</si>
  <si>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</si>
  <si>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</si>
  <si>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</si>
  <si>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</si>
  <si>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</si>
  <si>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</si>
  <si>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</si>
  <si>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</si>
  <si>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</si>
  <si>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</si>
  <si>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</si>
  <si>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</si>
  <si>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</si>
  <si>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</si>
  <si>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</si>
  <si>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</si>
  <si>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</si>
  <si>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</si>
  <si>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</si>
  <si>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</si>
  <si>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</si>
  <si>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</si>
  <si>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</si>
  <si>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</si>
  <si>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</si>
  <si>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</si>
  <si>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</si>
  <si>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</si>
  <si>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</si>
  <si>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</si>
  <si>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</si>
  <si>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</si>
  <si>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</si>
  <si>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</si>
  <si>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</si>
  <si>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</si>
  <si>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</si>
  <si>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</si>
  <si>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</si>
  <si>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</si>
  <si>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</si>
  <si>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</si>
  <si>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</si>
  <si>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</si>
  <si>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</si>
  <si>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</si>
  <si>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</si>
  <si>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</si>
  <si>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</si>
  <si>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</si>
  <si>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</si>
  <si>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</si>
  <si>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</si>
  <si>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</si>
  <si>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</si>
  <si>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</si>
  <si>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</si>
  <si>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</si>
  <si>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</si>
  <si>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</si>
  <si>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</si>
  <si>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</si>
  <si>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</si>
  <si>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</si>
  <si>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</si>
  <si>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</si>
  <si>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</si>
  <si>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</si>
  <si>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</si>
  <si>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</si>
  <si>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</si>
  <si>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</si>
  <si>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</si>
  <si>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</si>
  <si>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</si>
  <si>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</si>
  <si>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</si>
  <si>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</si>
  <si>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</si>
  <si>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</si>
  <si>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</si>
  <si>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</si>
  <si>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</si>
  <si>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</si>
  <si>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</si>
  <si>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</si>
  <si>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</si>
  <si>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</si>
  <si>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</si>
  <si>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</si>
  <si>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</si>
  <si>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</si>
  <si>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</si>
  <si>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</si>
  <si>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</si>
  <si>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</si>
  <si>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</si>
  <si>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</si>
  <si>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</si>
  <si>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</si>
  <si>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</si>
  <si>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</si>
  <si>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</si>
  <si>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</si>
  <si>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</si>
  <si>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</si>
  <si>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</si>
  <si>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</si>
  <si>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</si>
  <si>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</si>
  <si>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</si>
  <si>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</si>
  <si>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</si>
  <si>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</si>
  <si>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</si>
  <si>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</si>
  <si>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</si>
  <si>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</si>
  <si>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</si>
  <si>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</si>
  <si>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</si>
  <si>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</si>
  <si>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</si>
  <si>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</si>
  <si>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</si>
  <si>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</si>
  <si>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</si>
  <si>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</si>
  <si>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</si>
  <si>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</si>
  <si>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</si>
  <si>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</si>
  <si>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</si>
  <si>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</si>
  <si>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</si>
  <si>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</si>
  <si>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</si>
  <si>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</si>
  <si>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</si>
  <si>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</si>
  <si>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</si>
  <si>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</si>
  <si>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</si>
  <si>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</si>
  <si>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</si>
  <si>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</si>
  <si>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</si>
  <si>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</si>
  <si>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</si>
  <si>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</si>
  <si>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</si>
  <si>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</si>
  <si>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</si>
  <si>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</si>
  <si>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</si>
  <si>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</si>
  <si>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</si>
  <si>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</si>
  <si>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</si>
  <si>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</si>
  <si>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</si>
  <si>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</si>
  <si>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</si>
  <si>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</si>
  <si>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</si>
  <si>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</si>
  <si>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</si>
  <si>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</si>
  <si>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</si>
  <si>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</si>
  <si>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</si>
  <si>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</si>
  <si>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</si>
  <si>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</si>
  <si>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</si>
  <si>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</si>
  <si>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</si>
  <si>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</si>
  <si>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</si>
  <si>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</si>
  <si>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</si>
  <si>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</si>
  <si>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</si>
  <si>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</si>
  <si>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</si>
  <si>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</si>
  <si>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</si>
  <si>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</si>
  <si>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</si>
  <si>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</si>
  <si>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</si>
  <si>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</si>
  <si>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</si>
  <si>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</si>
  <si>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</si>
  <si>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</si>
  <si>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</si>
  <si>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</si>
  <si>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</si>
  <si>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</si>
  <si>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</si>
  <si>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</si>
  <si>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</si>
  <si>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</si>
  <si>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</si>
  <si>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</si>
  <si>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</si>
  <si>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</si>
  <si>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</si>
  <si>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</si>
  <si>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</si>
  <si>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</si>
  <si>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</si>
  <si>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</si>
  <si>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</si>
  <si>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</si>
  <si>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</si>
  <si>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</si>
  <si>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</si>
  <si>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</si>
  <si>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</si>
  <si>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</si>
  <si>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</si>
  <si>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</si>
  <si>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</si>
  <si>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</si>
  <si>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</si>
  <si>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</si>
  <si>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</si>
  <si>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</si>
  <si>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</si>
  <si>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</si>
  <si>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</si>
  <si>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</si>
  <si>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</si>
  <si>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</si>
  <si>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</si>
  <si>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</si>
  <si>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</si>
  <si>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</si>
  <si>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</si>
  <si>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</si>
  <si>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</si>
  <si>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</si>
  <si>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</si>
  <si>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</si>
  <si>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</si>
  <si>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</si>
  <si>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</si>
  <si>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</si>
  <si>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</si>
  <si>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</si>
  <si>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</si>
  <si>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</si>
  <si>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</si>
  <si>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</si>
  <si>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</si>
  <si>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</si>
  <si>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</si>
  <si>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</si>
  <si>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</si>
  <si>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</si>
  <si>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</si>
  <si>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</si>
  <si>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</si>
  <si>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</si>
  <si>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</si>
  <si>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</si>
  <si>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</si>
  <si>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</si>
  <si>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</si>
  <si>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</si>
  <si>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</si>
  <si>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</si>
  <si>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</si>
  <si>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</si>
  <si>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</si>
  <si>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</si>
  <si>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</si>
  <si>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</si>
  <si>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</si>
  <si>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</si>
  <si>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</si>
  <si>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</si>
  <si>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</si>
  <si>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</si>
  <si>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</si>
  <si>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</si>
  <si>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</si>
  <si>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</si>
  <si>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</si>
  <si>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</si>
  <si>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</si>
  <si>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</si>
  <si>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</si>
  <si>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</si>
  <si>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</si>
  <si>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</si>
  <si>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</si>
  <si>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</si>
  <si>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</si>
  <si>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</si>
  <si>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</si>
  <si>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</si>
  <si>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</si>
  <si>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</si>
  <si>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</si>
  <si>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</si>
  <si>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</si>
  <si>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</si>
  <si>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</si>
  <si>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</si>
  <si>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</si>
  <si>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</si>
  <si>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</si>
  <si>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</si>
  <si>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</si>
  <si>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</si>
  <si>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</si>
  <si>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</si>
  <si>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</si>
  <si>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</si>
  <si>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</si>
  <si>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</si>
  <si>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</si>
  <si>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</si>
  <si>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</si>
  <si>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</si>
  <si>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</si>
  <si>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</si>
  <si>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</si>
  <si>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</si>
  <si>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</si>
  <si>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</si>
  <si>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</si>
  <si>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</si>
  <si>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</si>
  <si>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</si>
  <si>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</si>
  <si>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</si>
  <si>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</si>
  <si>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</si>
  <si>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</si>
  <si>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</si>
  <si>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</si>
  <si>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</si>
  <si>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</si>
  <si>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</si>
  <si>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</si>
  <si>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</si>
  <si>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</si>
  <si>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</si>
  <si>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</si>
  <si>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</si>
  <si>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</si>
  <si>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</si>
  <si>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</si>
  <si>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</si>
  <si>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</si>
  <si>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</si>
  <si>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</si>
  <si>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</si>
  <si>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</si>
  <si>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</si>
  <si>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</si>
  <si>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</si>
  <si>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</si>
  <si>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</si>
  <si>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</si>
  <si>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</si>
  <si>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</si>
  <si>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</si>
  <si>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</si>
  <si>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</si>
  <si>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</si>
  <si>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</si>
  <si>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</si>
  <si>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</si>
  <si>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</si>
  <si>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</si>
  <si>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</si>
  <si>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</si>
  <si>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</si>
  <si>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</si>
  <si>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</si>
  <si>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</si>
  <si>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</si>
  <si>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</si>
  <si>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</si>
  <si>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</si>
  <si>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</si>
  <si>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</si>
  <si>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</si>
  <si>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</si>
  <si>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</si>
  <si>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</si>
  <si>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</si>
  <si>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</si>
  <si>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</si>
  <si>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</si>
  <si>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</si>
  <si>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</si>
  <si>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</si>
  <si>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</si>
  <si>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</si>
  <si>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</si>
  <si>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</si>
  <si>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</si>
  <si>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</si>
  <si>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</si>
  <si>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</si>
  <si>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</si>
  <si>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</si>
  <si>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</si>
  <si>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</si>
  <si>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</si>
  <si>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</si>
  <si>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</si>
  <si>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</si>
  <si>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</si>
  <si>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</si>
  <si>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</si>
  <si>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</si>
  <si>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</si>
  <si>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</si>
  <si>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</si>
  <si>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</si>
  <si>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</si>
  <si>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</si>
  <si>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</si>
  <si>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</si>
  <si>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</si>
  <si>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</si>
  <si>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</si>
  <si>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</si>
  <si>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</si>
  <si>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</si>
  <si>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</si>
  <si>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</si>
  <si>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</si>
  <si>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</si>
  <si>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</si>
  <si>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</si>
  <si>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</si>
  <si>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</si>
  <si>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</si>
  <si>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</si>
  <si>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</si>
  <si>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</si>
  <si>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</si>
  <si>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</si>
  <si>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</si>
  <si>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</si>
  <si>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</si>
  <si>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</si>
  <si>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</si>
  <si>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</si>
  <si>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</si>
  <si>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</si>
  <si>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</si>
  <si>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</si>
  <si>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</si>
  <si>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</si>
  <si>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</si>
  <si>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</si>
  <si>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</si>
  <si>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</si>
  <si>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</si>
  <si>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</si>
  <si>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</si>
  <si>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</si>
  <si>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</si>
  <si>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</si>
  <si>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</si>
  <si>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</si>
  <si>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</si>
  <si>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</si>
  <si>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</si>
  <si>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</si>
  <si>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</si>
  <si>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</si>
  <si>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</si>
  <si>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</si>
  <si>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</si>
  <si>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</si>
  <si>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</si>
  <si>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</si>
  <si>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</si>
  <si>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</si>
  <si>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</si>
  <si>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</si>
  <si>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</si>
  <si>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</si>
  <si>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</si>
  <si>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</si>
  <si>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</si>
  <si>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</si>
  <si>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</si>
  <si>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</si>
  <si>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</si>
  <si>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</si>
  <si>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</si>
  <si>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</si>
  <si>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</si>
  <si>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</si>
  <si>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</si>
  <si>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</si>
  <si>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</si>
  <si>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</si>
  <si>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</si>
  <si>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</si>
  <si>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</si>
  <si>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</si>
  <si>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</si>
  <si>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</si>
  <si>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</si>
  <si>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</si>
  <si>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</si>
  <si>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</si>
  <si>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</si>
  <si>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</si>
  <si>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</si>
  <si>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</si>
  <si>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</si>
  <si>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</si>
  <si>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</si>
  <si>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</si>
  <si>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</si>
  <si>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</si>
  <si>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</si>
  <si>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</si>
  <si>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</si>
  <si>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</si>
  <si>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</si>
  <si>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</si>
  <si>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</si>
  <si>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</si>
  <si>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</si>
  <si>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</si>
  <si>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</si>
  <si>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</si>
  <si>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</si>
  <si>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</si>
  <si>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</si>
  <si>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</si>
  <si>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</si>
  <si>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</si>
  <si>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</si>
  <si>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</si>
  <si>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</si>
  <si>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</si>
  <si>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</si>
  <si>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</si>
  <si>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</si>
  <si>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</si>
  <si>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</si>
  <si>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</si>
  <si>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</si>
  <si>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</si>
  <si>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</si>
  <si>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</si>
  <si>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</si>
  <si>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</si>
  <si>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</si>
  <si>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</si>
  <si>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</si>
  <si>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</si>
  <si>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</si>
  <si>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</si>
  <si>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</si>
  <si>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</si>
  <si>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</si>
  <si>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</si>
  <si>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</si>
  <si>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</si>
  <si>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</si>
  <si>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</si>
  <si>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</si>
  <si>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</si>
  <si>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</si>
  <si>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</si>
  <si>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</si>
  <si>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</si>
  <si>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</si>
  <si>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</si>
  <si>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</si>
  <si>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</si>
  <si>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</si>
  <si>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</si>
  <si>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</si>
  <si>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</si>
  <si>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</si>
  <si>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</si>
  <si>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</si>
  <si>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</si>
  <si>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</si>
  <si>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</si>
  <si>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</si>
  <si>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</si>
  <si>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</si>
  <si>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</si>
  <si>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</si>
  <si>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</si>
  <si>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</si>
  <si>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</si>
  <si>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</si>
  <si>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</si>
  <si>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</si>
  <si>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</si>
  <si>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</si>
  <si>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</si>
  <si>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</si>
  <si>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</si>
  <si>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</si>
  <si>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</si>
  <si>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</si>
  <si>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</si>
  <si>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</si>
  <si>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</si>
  <si>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</si>
  <si>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</si>
  <si>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</si>
  <si>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</si>
  <si>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</si>
  <si>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</si>
  <si>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</si>
  <si>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</si>
  <si>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</si>
  <si>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</si>
  <si>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</si>
  <si>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</si>
  <si>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</si>
  <si>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</si>
  <si>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</si>
  <si>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</si>
  <si>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</si>
  <si>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</si>
  <si>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</si>
  <si>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</si>
  <si>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</si>
  <si>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</si>
  <si>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</si>
  <si>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</si>
  <si>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</si>
  <si>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</si>
  <si>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</si>
  <si>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</si>
  <si>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</si>
  <si>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</si>
  <si>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</si>
  <si>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</si>
  <si>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</si>
  <si>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</si>
  <si>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</si>
  <si>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</si>
  <si>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</si>
  <si>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</si>
  <si>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</si>
  <si>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</si>
  <si>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</si>
  <si>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</si>
  <si>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</si>
  <si>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</si>
  <si>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</si>
  <si>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</si>
  <si>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</si>
  <si>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</si>
  <si>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</si>
  <si>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</si>
  <si>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</si>
  <si>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</si>
  <si>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</si>
  <si>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</si>
  <si>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</si>
  <si>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</si>
  <si>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</si>
  <si>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</si>
  <si>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</si>
  <si>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</si>
  <si>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</si>
  <si>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</si>
  <si>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</si>
  <si>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</si>
  <si>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</si>
  <si>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</si>
  <si>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</si>
  <si>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</si>
  <si>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</si>
  <si>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</si>
  <si>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</si>
  <si>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</si>
  <si>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</si>
  <si>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</si>
  <si>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</si>
  <si>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</si>
  <si>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</si>
  <si>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</si>
  <si>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</si>
  <si>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</si>
  <si>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</si>
  <si>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</si>
  <si>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</si>
  <si>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</si>
  <si>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</si>
  <si>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</si>
  <si>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</si>
  <si>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</si>
  <si>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</si>
  <si>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</si>
  <si>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</si>
  <si>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</si>
  <si>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</si>
  <si>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</si>
  <si>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</si>
  <si>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</si>
  <si>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</si>
  <si>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</si>
  <si>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</si>
  <si>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</si>
  <si>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</si>
  <si>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</si>
  <si>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</si>
  <si>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</si>
  <si>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</si>
  <si>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</si>
  <si>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</si>
  <si>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</si>
  <si>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</si>
  <si>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</si>
  <si>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</si>
  <si>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</si>
  <si>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</si>
  <si>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</si>
  <si>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</si>
  <si>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</si>
  <si>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</si>
  <si>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</si>
  <si>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</si>
  <si>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</si>
  <si>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</si>
  <si>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</si>
  <si>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</si>
  <si>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</si>
  <si>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</si>
  <si>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</si>
  <si>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</si>
  <si>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</si>
  <si>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</si>
  <si>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</si>
  <si>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</si>
  <si>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</si>
  <si>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</si>
  <si>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</si>
  <si>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</si>
  <si>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</si>
  <si>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</si>
  <si>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</si>
  <si>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</si>
  <si>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</si>
  <si>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</si>
  <si>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</si>
  <si>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</si>
  <si>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</si>
  <si>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</si>
  <si>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</si>
  <si>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</si>
  <si>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</si>
  <si>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</si>
  <si>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</si>
  <si>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</si>
  <si>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</si>
  <si>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</si>
  <si>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</si>
  <si>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</si>
  <si>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</si>
  <si>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</si>
  <si>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</si>
  <si>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</si>
  <si>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</si>
  <si>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</si>
  <si>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</si>
  <si>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</si>
  <si>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</si>
  <si>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</si>
  <si>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</si>
  <si>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</si>
  <si>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</si>
  <si>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</si>
  <si>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</si>
  <si>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</si>
  <si>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</si>
  <si>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</si>
  <si>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</si>
  <si>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</si>
  <si>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</si>
  <si>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</si>
  <si>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</si>
  <si>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</si>
  <si>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</si>
  <si>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</si>
  <si>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</si>
  <si>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</si>
  <si>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</si>
  <si>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</si>
  <si>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</si>
  <si>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</si>
  <si>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</si>
  <si>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</si>
  <si>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</si>
  <si>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</si>
  <si>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</si>
  <si>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</si>
  <si>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</si>
  <si>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</si>
  <si>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</si>
  <si>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</si>
  <si>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</si>
  <si>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</si>
  <si>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</si>
  <si>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</si>
  <si>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</si>
  <si>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</si>
  <si>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</si>
  <si>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</si>
  <si>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</si>
  <si>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</si>
  <si>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</si>
  <si>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</si>
  <si>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</si>
  <si>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</si>
  <si>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</si>
  <si>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</si>
  <si>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</si>
  <si>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</si>
  <si>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</si>
  <si>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</si>
  <si>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</si>
  <si>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</si>
  <si>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</si>
  <si>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</si>
  <si>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</si>
  <si>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</si>
  <si>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</si>
  <si>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</si>
  <si>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</si>
  <si>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</si>
  <si>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</si>
  <si>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</si>
  <si>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</si>
  <si>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</si>
  <si>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</si>
  <si>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</si>
  <si>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</si>
  <si>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</si>
  <si>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</si>
  <si>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</si>
  <si>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</si>
  <si>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</si>
  <si>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</si>
  <si>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</si>
  <si>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</si>
  <si>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</si>
  <si>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</si>
  <si>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</si>
  <si>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</si>
  <si>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</si>
  <si>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</si>
  <si>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</si>
  <si>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</si>
  <si>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</si>
  <si>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</si>
  <si>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</si>
  <si>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</si>
  <si>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</si>
  <si>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</si>
  <si>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</si>
  <si>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</si>
  <si>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</si>
  <si>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</si>
  <si>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</si>
  <si>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</si>
  <si>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</si>
  <si>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</si>
  <si>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</si>
  <si>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</si>
  <si>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</si>
  <si>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</si>
  <si>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</si>
  <si>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</si>
  <si>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</si>
  <si>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</si>
  <si>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</si>
  <si>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</si>
  <si>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</si>
  <si>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</si>
  <si>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</si>
  <si>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</si>
  <si>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</si>
  <si>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</si>
  <si>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</si>
  <si>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</si>
  <si>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</si>
  <si>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</si>
  <si>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</si>
  <si>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</si>
  <si>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</si>
  <si>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</si>
  <si>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</si>
  <si>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</si>
  <si>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</si>
  <si>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</si>
  <si>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</si>
  <si>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</si>
  <si>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</si>
  <si>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</si>
  <si>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</si>
  <si>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</si>
  <si>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</si>
  <si>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</si>
  <si>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</si>
  <si>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</si>
  <si>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</si>
  <si>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</si>
  <si>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</si>
  <si>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</si>
  <si>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</si>
  <si>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</si>
  <si>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</si>
  <si>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</si>
  <si>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</si>
  <si>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</si>
  <si>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</si>
  <si>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</si>
  <si>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</si>
  <si>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</si>
  <si>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</si>
  <si>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</si>
  <si>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</si>
  <si>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</si>
  <si>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</si>
  <si>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</si>
  <si>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</si>
  <si>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</si>
  <si>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</si>
  <si>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</si>
  <si>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</si>
  <si>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</si>
  <si>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</si>
  <si>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</si>
  <si>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</si>
  <si>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</si>
  <si>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</si>
  <si>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</si>
  <si>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</si>
  <si>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</si>
  <si>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</si>
  <si>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</si>
  <si>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</si>
  <si>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</si>
  <si>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</si>
  <si>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</si>
  <si>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</si>
  <si>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</si>
  <si>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</si>
  <si>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</si>
  <si>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</si>
  <si>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</si>
  <si>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</si>
  <si>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</si>
  <si>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</si>
  <si>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</si>
  <si>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</si>
  <si>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</si>
  <si>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</si>
  <si>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</si>
  <si>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</si>
  <si>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</si>
  <si>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</si>
  <si>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</si>
  <si>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</si>
  <si>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</si>
  <si>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</si>
  <si>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</si>
  <si>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</si>
  <si>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</si>
  <si>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</si>
  <si>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</si>
  <si>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</si>
  <si>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</si>
  <si>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</si>
  <si>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</si>
  <si>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</si>
  <si>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</si>
  <si>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</si>
  <si>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</si>
  <si>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</si>
  <si>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</si>
  <si>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</si>
  <si>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</si>
  <si>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</si>
  <si>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</si>
  <si>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</si>
  <si>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</si>
  <si>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</si>
  <si>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</si>
  <si>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</si>
  <si>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</si>
  <si>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</si>
  <si>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</si>
  <si>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</si>
  <si>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</si>
  <si>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</si>
  <si>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</si>
  <si>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</si>
  <si>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</si>
  <si>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</si>
  <si>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</si>
  <si>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</si>
  <si>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</si>
  <si>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</si>
  <si>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</si>
  <si>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</si>
  <si>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</si>
  <si>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</si>
  <si>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</si>
  <si>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</si>
  <si>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</si>
  <si>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</si>
  <si>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</si>
  <si>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</si>
  <si>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</si>
  <si>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</si>
  <si>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</si>
  <si>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</si>
  <si>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</si>
  <si>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</si>
  <si>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</si>
  <si>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</si>
  <si>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</si>
  <si>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</si>
  <si>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</si>
  <si>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</si>
  <si>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</si>
  <si>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</si>
  <si>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</si>
  <si>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</si>
  <si>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</si>
  <si>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</si>
  <si>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</si>
  <si>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</si>
  <si>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</si>
  <si>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</si>
  <si>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</si>
  <si>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</si>
  <si>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</si>
  <si>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</si>
  <si>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</si>
  <si>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</si>
  <si>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</si>
  <si>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</si>
  <si>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</si>
  <si>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</si>
  <si>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</si>
  <si>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</si>
  <si>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</si>
  <si>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</si>
  <si>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</si>
  <si>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</si>
  <si>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</si>
  <si>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</si>
  <si>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</si>
  <si>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</si>
  <si>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</si>
  <si>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</si>
  <si>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</si>
  <si>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</si>
  <si>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</si>
  <si>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</si>
  <si>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</si>
  <si>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</si>
  <si>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</si>
  <si>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</si>
  <si>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</si>
  <si>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</si>
  <si>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</si>
  <si>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</si>
  <si>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</si>
  <si>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</si>
  <si>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</si>
  <si>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</si>
  <si>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</si>
  <si>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</si>
  <si>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</si>
  <si>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</si>
  <si>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</si>
  <si>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</si>
  <si>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</si>
  <si>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</si>
  <si>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</si>
  <si>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</si>
  <si>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</si>
  <si>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</si>
  <si>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</si>
  <si>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</si>
  <si>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</si>
  <si>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</si>
  <si>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</si>
  <si>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</si>
  <si>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</si>
  <si>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</si>
  <si>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</si>
  <si>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</si>
  <si>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</si>
  <si>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</si>
  <si>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</si>
  <si>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</si>
  <si>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</si>
  <si>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</si>
  <si>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</si>
  <si>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</si>
  <si>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</si>
  <si>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</si>
  <si>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</si>
  <si>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</si>
  <si>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</si>
  <si>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</si>
  <si>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</si>
  <si>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</si>
  <si>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</si>
  <si>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</si>
  <si>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</si>
  <si>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</si>
  <si>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</si>
  <si>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</si>
  <si>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</si>
  <si>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</si>
  <si>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</si>
  <si>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</si>
  <si>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</si>
  <si>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</si>
  <si>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</si>
  <si>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</si>
  <si>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</si>
  <si>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</si>
  <si>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</si>
  <si>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</si>
  <si>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</si>
  <si>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</si>
  <si>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</si>
  <si>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</si>
  <si>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</si>
  <si>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</si>
  <si>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</si>
  <si>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</si>
  <si>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</si>
  <si>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</si>
  <si>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</si>
  <si>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</si>
  <si>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</si>
  <si>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</si>
  <si>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</si>
  <si>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</si>
  <si>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</si>
  <si>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</si>
  <si>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</si>
  <si>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</si>
  <si>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</si>
  <si>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</si>
  <si>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</si>
  <si>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</si>
  <si>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</si>
  <si>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</si>
  <si>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</si>
  <si>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</si>
  <si>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</si>
  <si>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</si>
  <si>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</si>
  <si>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</si>
  <si>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</si>
  <si>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</si>
  <si>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</si>
  <si>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</si>
  <si>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</si>
  <si>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</si>
  <si>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</si>
  <si>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</si>
  <si>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</si>
  <si>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</si>
  <si>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</si>
  <si>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</si>
  <si>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</si>
  <si>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</si>
  <si>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</si>
  <si>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</si>
  <si>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</si>
  <si>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</si>
  <si>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</si>
  <si>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</si>
  <si>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</si>
  <si>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</si>
  <si>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</si>
  <si>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</si>
  <si>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</si>
  <si>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</si>
  <si>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</si>
  <si>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</si>
  <si>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</si>
  <si>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</si>
  <si>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</si>
  <si>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</si>
  <si>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</si>
  <si>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</si>
  <si>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</si>
  <si>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</si>
  <si>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</si>
  <si>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</si>
  <si>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</si>
  <si>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</si>
  <si>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</si>
  <si>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</si>
  <si>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</si>
  <si>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</si>
  <si>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</si>
  <si>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</si>
  <si>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</si>
  <si>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</si>
  <si>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</si>
  <si>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</si>
  <si>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</si>
  <si>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</si>
  <si>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</si>
  <si>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</si>
  <si>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</si>
  <si>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</si>
  <si>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</si>
  <si>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</si>
  <si>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</si>
  <si>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</si>
  <si>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</si>
  <si>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</si>
  <si>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</si>
  <si>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</si>
  <si>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</si>
  <si>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</si>
  <si>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</si>
  <si>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</si>
  <si>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</si>
  <si>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</si>
  <si>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</si>
  <si>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</si>
  <si>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</si>
  <si>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</si>
  <si>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</si>
  <si>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</si>
  <si>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</si>
  <si>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</si>
  <si>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</si>
  <si>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</si>
  <si>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</si>
  <si>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</si>
  <si>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</si>
  <si>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</si>
  <si>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</si>
  <si>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</si>
  <si>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</si>
  <si>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</si>
  <si>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</si>
  <si>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</si>
  <si>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</si>
  <si>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</si>
  <si>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</si>
  <si>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</si>
  <si>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</si>
  <si>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</si>
  <si>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</si>
  <si>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</si>
  <si>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</si>
  <si>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</si>
  <si>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</si>
  <si>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</si>
  <si>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</si>
  <si>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</si>
  <si>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</si>
  <si>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</si>
  <si>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</si>
  <si>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</si>
  <si>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</si>
  <si>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</si>
  <si>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</si>
  <si>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</si>
  <si>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</si>
  <si>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</si>
  <si>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</si>
  <si>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</si>
  <si>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</si>
  <si>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</si>
  <si>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</si>
  <si>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</si>
  <si>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</si>
  <si>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</si>
  <si>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</si>
  <si>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</si>
  <si>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</si>
  <si>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</si>
  <si>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</si>
  <si>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</si>
  <si>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</si>
  <si>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</si>
  <si>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</si>
  <si>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</si>
  <si>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</si>
  <si>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</si>
  <si>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</si>
  <si>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</si>
  <si>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</si>
  <si>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</si>
  <si>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</si>
  <si>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</si>
  <si>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</si>
  <si>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</si>
  <si>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</si>
  <si>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</si>
  <si>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</si>
  <si>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</si>
  <si>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</si>
  <si>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</si>
  <si>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</si>
  <si>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</si>
  <si>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</si>
  <si>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</si>
  <si>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</si>
  <si>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</si>
  <si>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</si>
  <si>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</si>
  <si>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</si>
  <si>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</si>
  <si>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</si>
  <si>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</si>
  <si>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</si>
  <si>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</si>
  <si>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</si>
  <si>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</si>
  <si>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</si>
  <si>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</si>
  <si>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</si>
  <si>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</si>
  <si>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</si>
  <si>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</si>
  <si>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</si>
  <si>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</si>
  <si>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</si>
  <si>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</si>
  <si>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</si>
  <si>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</si>
  <si>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</si>
  <si>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</si>
  <si>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</si>
  <si>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</si>
  <si>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</si>
  <si>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</si>
  <si>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</si>
  <si>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</si>
  <si>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</si>
  <si>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</si>
  <si>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</si>
  <si>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</si>
  <si>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</si>
  <si>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</si>
  <si>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</si>
  <si>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</si>
  <si>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</si>
  <si>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</si>
  <si>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</si>
  <si>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</si>
  <si>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</si>
  <si>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</si>
  <si>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</si>
  <si>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</si>
  <si>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</si>
  <si>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</si>
  <si>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</si>
  <si>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</si>
  <si>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</si>
  <si>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</si>
  <si>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</si>
  <si>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</si>
  <si>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</si>
  <si>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</si>
  <si>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</si>
  <si>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</si>
  <si>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</si>
  <si>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</si>
  <si>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</si>
  <si>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</si>
  <si>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</si>
  <si>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</si>
  <si>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</si>
  <si>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</si>
  <si>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</si>
  <si>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</si>
  <si>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</si>
  <si>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</si>
  <si>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</si>
  <si>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</si>
  <si>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</si>
  <si>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</si>
  <si>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</si>
  <si>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</si>
  <si>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</si>
  <si>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</si>
  <si>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</si>
  <si>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</si>
  <si>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</si>
  <si>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</si>
  <si>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</si>
  <si>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</si>
  <si>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</si>
  <si>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</si>
  <si>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</si>
  <si>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</si>
  <si>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</si>
  <si>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</si>
  <si>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</si>
  <si>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</si>
  <si>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</si>
  <si>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</si>
  <si>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</si>
  <si>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</si>
  <si>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</si>
  <si>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</si>
  <si>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</si>
  <si>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</si>
  <si>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</si>
  <si>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</si>
  <si>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</si>
  <si>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</si>
  <si>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</si>
  <si>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</si>
  <si>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</si>
  <si>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</si>
  <si>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</si>
  <si>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</si>
  <si>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</si>
  <si>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</si>
  <si>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</si>
  <si>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</si>
  <si>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</si>
  <si>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</si>
  <si>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</si>
  <si>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</si>
  <si>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</si>
  <si>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</si>
  <si>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</si>
  <si>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</si>
  <si>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</si>
  <si>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</si>
  <si>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</si>
  <si>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</si>
  <si>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</si>
  <si>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</si>
  <si>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</si>
  <si>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</si>
  <si>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</si>
  <si>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</si>
  <si>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</si>
  <si>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</si>
  <si>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</si>
  <si>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</si>
  <si>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</si>
  <si>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</si>
  <si>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</si>
  <si>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</si>
  <si>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</si>
  <si>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</si>
  <si>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</si>
  <si>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</si>
  <si>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</si>
  <si>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</si>
  <si>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</si>
  <si>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</si>
  <si>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</si>
  <si>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</si>
  <si>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</si>
  <si>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</si>
  <si>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</si>
  <si>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</si>
  <si>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</si>
  <si>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</si>
  <si>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</si>
  <si>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</si>
  <si>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</si>
  <si>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</si>
  <si>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</si>
  <si>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</si>
  <si>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</si>
  <si>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</si>
  <si>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</si>
  <si>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</si>
  <si>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</si>
  <si>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</si>
  <si>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</si>
  <si>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</si>
  <si>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</si>
  <si>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</si>
  <si>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</si>
  <si>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</si>
  <si>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</si>
  <si>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</si>
  <si>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</si>
  <si>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</si>
  <si>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</si>
  <si>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</si>
  <si>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</si>
  <si>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</si>
  <si>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</si>
  <si>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</si>
  <si>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</si>
  <si>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</si>
  <si>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</si>
  <si>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</si>
  <si>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</si>
  <si>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</si>
  <si>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</si>
  <si>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</si>
  <si>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</si>
  <si>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</si>
  <si>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</si>
  <si>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</si>
  <si>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</si>
  <si>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</si>
  <si>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</si>
  <si>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</si>
  <si>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</si>
  <si>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</si>
  <si>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</si>
  <si>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</si>
  <si>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</si>
  <si>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</si>
  <si>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</si>
  <si>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</si>
  <si>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</si>
  <si>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</si>
  <si>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</si>
  <si>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</si>
  <si>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</si>
  <si>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</si>
  <si>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</si>
  <si>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</si>
  <si>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</si>
  <si>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</si>
  <si>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</si>
  <si>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</si>
  <si>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</si>
  <si>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</si>
  <si>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</si>
  <si>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</si>
  <si>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</si>
  <si>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</si>
  <si>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</si>
  <si>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</si>
  <si>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</si>
  <si>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</si>
  <si>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</si>
  <si>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</si>
  <si>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</si>
  <si>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</si>
  <si>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</si>
  <si>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</si>
  <si>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</si>
  <si>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</si>
  <si>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</si>
  <si>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</si>
  <si>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</si>
  <si>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</si>
  <si>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</si>
  <si>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</si>
  <si>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</si>
  <si>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</si>
  <si>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</si>
  <si>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</si>
  <si>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</si>
  <si>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</si>
  <si>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</si>
  <si>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</si>
  <si>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</si>
  <si>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</si>
  <si>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</si>
  <si>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</si>
  <si>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</si>
  <si>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</si>
  <si>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</si>
  <si>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</si>
  <si>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</si>
  <si>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</si>
  <si>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</si>
  <si>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</si>
  <si>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</si>
  <si>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</si>
  <si>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</si>
  <si>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</si>
  <si>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</si>
  <si>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</si>
  <si>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</si>
  <si>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</si>
  <si>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</si>
  <si>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</si>
  <si>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</si>
  <si>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</si>
  <si>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</si>
  <si>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</si>
  <si>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</si>
  <si>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</si>
  <si>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</si>
  <si>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</si>
  <si>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</si>
  <si>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</si>
  <si>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</si>
  <si>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</si>
  <si>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</si>
  <si>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</si>
  <si>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</si>
  <si>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</si>
  <si>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</si>
  <si>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</si>
  <si>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</si>
  <si>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</si>
  <si>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</si>
  <si>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</si>
  <si>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</si>
  <si>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</si>
  <si>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</si>
  <si>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</si>
  <si>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</si>
  <si>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</si>
  <si>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</si>
  <si>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</si>
  <si>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</si>
  <si>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</si>
  <si>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</si>
  <si>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</si>
  <si>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</si>
  <si>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</si>
  <si>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</si>
  <si>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</si>
  <si>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</si>
  <si>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</si>
  <si>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</si>
  <si>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</si>
  <si>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</si>
  <si>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</si>
  <si>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</si>
  <si>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</si>
  <si>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</si>
  <si>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</si>
  <si>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</si>
  <si>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</si>
  <si>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</si>
  <si>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</si>
  <si>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</si>
  <si>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</si>
  <si>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</si>
  <si>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</si>
  <si>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</si>
  <si>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</si>
  <si>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</si>
  <si>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</si>
  <si>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</si>
  <si>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</si>
  <si>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</si>
  <si>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</si>
  <si>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</si>
  <si>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</si>
  <si>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</si>
  <si>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</si>
  <si>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</si>
  <si>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</si>
  <si>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</si>
  <si>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</si>
  <si>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</si>
  <si>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</si>
  <si>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</si>
  <si>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</si>
  <si>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</si>
  <si>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</si>
  <si>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</si>
  <si>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</si>
  <si>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</si>
  <si>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</si>
  <si>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</si>
  <si>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</si>
  <si>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</si>
  <si>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</si>
  <si>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</si>
  <si>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</si>
  <si>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</si>
  <si>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</si>
  <si>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</si>
  <si>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</si>
  <si>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</si>
  <si>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</si>
  <si>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</si>
  <si>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</si>
  <si>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</si>
  <si>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</si>
  <si>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</si>
  <si>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</si>
  <si>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</si>
  <si>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</si>
  <si>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</si>
  <si>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</si>
  <si>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</si>
  <si>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</si>
  <si>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</si>
  <si>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</si>
  <si>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</si>
  <si>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</si>
  <si>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</si>
  <si>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</si>
  <si>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</si>
  <si>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</si>
  <si>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</si>
  <si>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</si>
  <si>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</si>
  <si>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</si>
  <si>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</si>
  <si>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</si>
  <si>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</si>
  <si>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</si>
  <si>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</si>
  <si>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</si>
  <si>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</si>
  <si>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</si>
  <si>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</si>
  <si>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</si>
  <si>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</si>
  <si>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</si>
  <si>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</si>
  <si>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</si>
  <si>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</si>
  <si>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</si>
  <si>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</si>
  <si>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</si>
  <si>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</si>
  <si>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</si>
  <si>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</si>
  <si>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</si>
  <si>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</si>
  <si>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</si>
  <si>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</si>
  <si>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</si>
  <si>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</si>
  <si>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</si>
  <si>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</si>
  <si>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</si>
  <si>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</si>
  <si>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</si>
  <si>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</si>
  <si>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</si>
  <si>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</si>
  <si>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</si>
  <si>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</si>
  <si>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</si>
  <si>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</si>
  <si>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</si>
  <si>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</si>
  <si>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</si>
  <si>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</si>
  <si>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</si>
  <si>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</si>
  <si>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</si>
  <si>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</si>
  <si>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</si>
  <si>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</si>
  <si>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</si>
  <si>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</si>
  <si>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</si>
  <si>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</si>
  <si>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</si>
  <si>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</si>
  <si>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</si>
  <si>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</si>
  <si>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</si>
  <si>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</si>
  <si>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</si>
  <si>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</si>
  <si>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</si>
  <si>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</si>
  <si>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</si>
  <si>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</si>
  <si>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</si>
  <si>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</si>
  <si>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</si>
  <si>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</si>
  <si>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</si>
  <si>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</si>
  <si>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</si>
  <si>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</si>
  <si>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</si>
  <si>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</si>
  <si>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</si>
  <si>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</si>
  <si>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</si>
  <si>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</si>
  <si>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</si>
  <si>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</si>
  <si>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</si>
  <si>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</si>
  <si>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</si>
  <si>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</si>
  <si>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</si>
  <si>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</si>
  <si>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</si>
  <si>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</si>
  <si>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</si>
  <si>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</si>
  <si>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</si>
  <si>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</si>
  <si>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</si>
  <si>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</si>
  <si>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</si>
  <si>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</si>
  <si>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</si>
  <si>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</si>
  <si>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</si>
  <si>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</si>
  <si>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</si>
  <si>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</si>
  <si>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</si>
  <si>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</si>
  <si>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</si>
  <si>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</si>
  <si>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</si>
  <si>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</si>
  <si>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</si>
  <si>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</si>
  <si>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</si>
  <si>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</si>
  <si>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</si>
  <si>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</si>
  <si>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</si>
  <si>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</si>
  <si>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</si>
  <si>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</si>
  <si>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</si>
  <si>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</si>
  <si>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</si>
  <si>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</si>
  <si>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</si>
  <si>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</si>
  <si>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</si>
  <si>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</si>
  <si>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</si>
  <si>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</si>
  <si>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</si>
  <si>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</si>
  <si>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</si>
  <si>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</si>
  <si>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</si>
  <si>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</si>
  <si>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</si>
  <si>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</si>
  <si>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</si>
  <si>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</si>
  <si>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</si>
  <si>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</si>
  <si>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</si>
  <si>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</si>
  <si>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</si>
  <si>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</si>
  <si>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</si>
  <si>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</si>
  <si>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</si>
  <si>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</si>
  <si>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</si>
  <si>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</si>
  <si>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</si>
  <si>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</si>
  <si>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</si>
  <si>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</si>
  <si>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</si>
  <si>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</si>
  <si>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</si>
  <si>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</si>
  <si>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</si>
  <si>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</si>
  <si>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</si>
  <si>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</si>
  <si>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</si>
  <si>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</si>
  <si>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</si>
  <si>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</si>
  <si>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</si>
  <si>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</si>
  <si>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</si>
  <si>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</si>
  <si>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</si>
  <si>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</si>
  <si>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</si>
  <si>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</si>
  <si>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</si>
  <si>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</si>
  <si>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</si>
  <si>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</si>
  <si>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</si>
  <si>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</si>
  <si>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</si>
  <si>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</si>
  <si>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</si>
  <si>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</si>
  <si>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</si>
  <si>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</si>
  <si>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</si>
  <si>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</si>
  <si>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</si>
  <si>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</si>
  <si>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</si>
  <si>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</si>
  <si>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</si>
  <si>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</si>
  <si>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</si>
  <si>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</si>
  <si>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</si>
  <si>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</si>
  <si>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</si>
  <si>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</si>
  <si>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</si>
  <si>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</si>
  <si>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</si>
  <si>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</si>
  <si>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</si>
  <si>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</si>
  <si>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</si>
  <si>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</si>
  <si>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</si>
  <si>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</si>
  <si>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</si>
  <si>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</si>
  <si>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</si>
  <si>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</si>
  <si>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</si>
  <si>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</si>
  <si>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</si>
  <si>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</si>
  <si>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</si>
  <si>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</si>
  <si>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</si>
  <si>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</si>
  <si>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</si>
  <si>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</si>
  <si>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</si>
  <si>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</si>
  <si>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</si>
  <si>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</si>
  <si>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</si>
  <si>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</si>
  <si>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</si>
  <si>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</si>
  <si>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</si>
  <si>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</si>
  <si>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</si>
  <si>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</si>
  <si>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</si>
  <si>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</si>
  <si>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</si>
  <si>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</si>
  <si>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</si>
  <si>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</si>
  <si>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</si>
  <si>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</si>
  <si>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</si>
  <si>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</si>
  <si>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</si>
  <si>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</si>
  <si>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</si>
  <si>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</si>
  <si>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</si>
  <si>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</si>
  <si>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</si>
  <si>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</si>
  <si>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</si>
  <si>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</si>
  <si>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</si>
  <si>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</si>
  <si>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</si>
  <si>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</si>
  <si>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</si>
  <si>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</si>
  <si>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</si>
  <si>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</si>
  <si>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</si>
  <si>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</si>
  <si>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</si>
  <si>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</si>
  <si>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</si>
  <si>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</si>
  <si>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</si>
  <si>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</si>
  <si>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</si>
  <si>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</si>
  <si>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</si>
  <si>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</si>
  <si>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</si>
  <si>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</si>
  <si>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</si>
  <si>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</si>
  <si>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</si>
  <si>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</si>
  <si>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</si>
  <si>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</si>
  <si>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</si>
  <si>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</si>
  <si>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</si>
  <si>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</si>
  <si>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</si>
  <si>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</si>
  <si>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</si>
  <si>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</si>
  <si>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</si>
  <si>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</si>
  <si>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</si>
  <si>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</si>
  <si>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</si>
  <si>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</si>
  <si>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</si>
  <si>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</si>
  <si>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</si>
  <si>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</si>
  <si>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</si>
  <si>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</si>
  <si>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</si>
  <si>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</si>
  <si>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</si>
  <si>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</si>
  <si>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</si>
  <si>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</si>
  <si>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</si>
  <si>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</si>
  <si>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</si>
  <si>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</si>
  <si>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</si>
  <si>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</si>
  <si>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</si>
  <si>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</si>
  <si>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</si>
  <si>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</si>
  <si>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</si>
  <si>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</si>
  <si>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</si>
  <si>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</si>
  <si>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</si>
  <si>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</si>
  <si>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</si>
  <si>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</si>
  <si>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</si>
  <si>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</si>
  <si>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</si>
  <si>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</si>
  <si>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</si>
  <si>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</si>
  <si>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</si>
  <si>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</si>
  <si>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</si>
  <si>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</si>
  <si>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</si>
  <si>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</si>
  <si>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</si>
  <si>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</si>
  <si>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</si>
  <si>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</si>
  <si>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</si>
  <si>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</si>
  <si>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</si>
  <si>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</si>
  <si>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</si>
  <si>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</si>
  <si>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</si>
  <si>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</si>
  <si>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</si>
  <si>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</si>
  <si>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</si>
  <si>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</si>
  <si>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</si>
  <si>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</si>
  <si>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</si>
  <si>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</si>
  <si>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</si>
  <si>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</si>
  <si>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</si>
  <si>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</si>
  <si>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</si>
  <si>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</si>
  <si>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</si>
  <si>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</si>
  <si>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</si>
  <si>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</si>
  <si>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</si>
  <si>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</si>
  <si>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</si>
  <si>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</si>
  <si>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</si>
  <si>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</si>
  <si>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</si>
  <si>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</si>
  <si>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</si>
  <si>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</si>
  <si>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</si>
  <si>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</si>
  <si>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</si>
  <si>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</si>
  <si>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</si>
  <si>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</si>
  <si>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</si>
  <si>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</si>
  <si>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</si>
  <si>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</si>
  <si>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</si>
  <si>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</si>
  <si>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</si>
  <si>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</si>
  <si>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</si>
  <si>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</si>
  <si>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</si>
  <si>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</si>
  <si>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</si>
  <si>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</si>
  <si>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</si>
  <si>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</si>
  <si>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</si>
  <si>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</si>
  <si>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</si>
  <si>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</si>
  <si>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</si>
  <si>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</si>
  <si>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</si>
  <si>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</si>
  <si>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</si>
  <si>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</si>
  <si>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</si>
  <si>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</si>
  <si>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</si>
  <si>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</si>
  <si>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</si>
  <si>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</si>
  <si>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</si>
  <si>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</si>
  <si>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</si>
  <si>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</si>
  <si>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</si>
  <si>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</si>
  <si>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</si>
  <si>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</si>
  <si>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</si>
  <si>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</si>
  <si>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</si>
  <si>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</si>
  <si>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</si>
  <si>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</si>
  <si>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</si>
  <si>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</si>
  <si>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</si>
  <si>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</si>
  <si>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</si>
  <si>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</si>
  <si>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</si>
  <si>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</si>
  <si>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</si>
  <si>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</si>
  <si>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</si>
  <si>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</si>
  <si>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</si>
  <si>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</si>
  <si>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</si>
  <si>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</si>
  <si>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</si>
  <si>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</si>
  <si>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</si>
  <si>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</si>
  <si>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</si>
  <si>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</si>
  <si>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</si>
  <si>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</si>
  <si>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</si>
  <si>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</si>
  <si>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</si>
  <si>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</si>
  <si>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</si>
  <si>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</si>
  <si>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</si>
  <si>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</si>
  <si>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</si>
  <si>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</si>
  <si>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</si>
  <si>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</si>
  <si>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</si>
  <si>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</si>
  <si>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</si>
  <si>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</si>
  <si>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</si>
  <si>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</si>
  <si>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</si>
  <si>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</si>
  <si>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</si>
  <si>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</si>
  <si>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</si>
  <si>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</si>
  <si>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</si>
  <si>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</si>
  <si>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</si>
  <si>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</si>
  <si>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</si>
  <si>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</si>
  <si>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</si>
  <si>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</si>
  <si>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</si>
  <si>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</si>
  <si>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</si>
  <si>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</si>
  <si>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</si>
  <si>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</si>
  <si>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</si>
  <si>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</si>
  <si>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</si>
  <si>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</si>
  <si>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</si>
  <si>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</si>
  <si>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</si>
  <si>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</si>
  <si>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</si>
  <si>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</si>
  <si>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</si>
  <si>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</si>
  <si>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</si>
  <si>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</si>
  <si>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</si>
  <si>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</si>
  <si>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</si>
  <si>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</si>
  <si>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</si>
  <si>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</si>
  <si>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</si>
  <si>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</si>
  <si>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</si>
  <si>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</si>
  <si>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</si>
  <si>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</si>
  <si>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</si>
  <si>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</si>
  <si>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</si>
  <si>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</si>
  <si>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</si>
  <si>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</si>
  <si>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</si>
  <si>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</si>
  <si>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</si>
  <si>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</si>
  <si>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</si>
  <si>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</si>
  <si>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</si>
  <si>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</si>
  <si>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</si>
  <si>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</si>
  <si>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</si>
  <si>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</si>
  <si>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</si>
  <si>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</si>
  <si>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</si>
  <si>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</si>
  <si>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</si>
  <si>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</si>
  <si>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</si>
  <si>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</si>
  <si>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</si>
  <si>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</si>
  <si>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</si>
  <si>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</si>
  <si>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</si>
  <si>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</si>
  <si>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</si>
  <si>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</si>
  <si>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</si>
  <si>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</si>
  <si>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</si>
  <si>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</si>
  <si>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</si>
  <si>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</si>
  <si>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</si>
  <si>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</si>
  <si>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</si>
  <si>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</si>
  <si>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</si>
  <si>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</si>
  <si>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</si>
  <si>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</si>
  <si>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</si>
  <si>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</si>
  <si>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</si>
  <si>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</si>
  <si>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</si>
  <si>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</si>
  <si>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</si>
  <si>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</si>
  <si>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</si>
  <si>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</si>
  <si>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</si>
  <si>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</si>
  <si>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</si>
  <si>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</si>
  <si>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</si>
  <si>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</si>
  <si>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</si>
  <si>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</si>
  <si>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</si>
  <si>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</si>
  <si>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</si>
  <si>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</si>
  <si>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</si>
  <si>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</si>
  <si>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</si>
  <si>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</si>
  <si>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</si>
  <si>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</si>
  <si>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</si>
  <si>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</si>
  <si>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</si>
  <si>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</si>
  <si>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</si>
  <si>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</si>
  <si>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</si>
  <si>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</si>
  <si>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</si>
  <si>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</si>
  <si>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</si>
  <si>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</si>
  <si>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</si>
  <si>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</si>
  <si>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</si>
  <si>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</si>
  <si>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</si>
  <si>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</si>
  <si>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</si>
  <si>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</si>
  <si>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</si>
  <si>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</si>
  <si>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</si>
  <si>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</si>
  <si>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</si>
  <si>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</si>
  <si>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</si>
  <si>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</si>
  <si>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</si>
  <si>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</si>
  <si>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</si>
  <si>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</si>
  <si>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</si>
  <si>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</si>
  <si>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</si>
  <si>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</si>
  <si>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</si>
  <si>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</si>
  <si>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</si>
  <si>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</si>
  <si>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</si>
  <si>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</si>
  <si>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</si>
  <si>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</si>
  <si>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</si>
  <si>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</si>
  <si>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</si>
  <si>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</si>
  <si>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</si>
  <si>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</si>
  <si>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</si>
  <si>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</si>
  <si>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</si>
  <si>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</si>
  <si>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</si>
  <si>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</si>
  <si>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</si>
  <si>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</si>
  <si>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</si>
  <si>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</si>
  <si>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</si>
  <si>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</si>
  <si>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</si>
  <si>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</si>
  <si>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</si>
  <si>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</si>
  <si>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</si>
  <si>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</si>
  <si>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</si>
  <si>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</si>
  <si>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</si>
  <si>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</si>
  <si>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</si>
  <si>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</si>
  <si>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</si>
  <si>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</si>
  <si>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</si>
  <si>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</si>
  <si>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</si>
  <si>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</si>
  <si>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</si>
  <si>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</si>
  <si>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</si>
  <si>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</si>
  <si>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</si>
  <si>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</si>
  <si>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</si>
  <si>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</si>
  <si>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</si>
  <si>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</si>
  <si>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</si>
  <si>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</si>
  <si>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</si>
  <si>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</si>
  <si>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</si>
  <si>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</si>
  <si>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</si>
  <si>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</si>
  <si>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</si>
  <si>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</si>
  <si>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</si>
  <si>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</si>
  <si>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</si>
  <si>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</si>
  <si>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</si>
  <si>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</si>
  <si>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</si>
  <si>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</si>
  <si>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</si>
  <si>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</si>
  <si>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</si>
  <si>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</si>
  <si>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</si>
  <si>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</si>
  <si>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</si>
  <si>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</si>
  <si>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</si>
  <si>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</si>
  <si>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</si>
  <si>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</si>
  <si>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</si>
  <si>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</si>
  <si>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</si>
  <si>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</si>
  <si>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</si>
  <si>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</si>
  <si>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</si>
  <si>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</si>
  <si>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</si>
  <si>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</si>
  <si>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</si>
  <si>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</si>
  <si>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</si>
  <si>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</si>
  <si>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</si>
  <si>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</si>
  <si>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</si>
  <si>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</si>
  <si>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</si>
  <si>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</si>
  <si>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</si>
  <si>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</si>
  <si>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</si>
  <si>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</si>
  <si>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</si>
  <si>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</si>
  <si>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</si>
  <si>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</si>
  <si>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</si>
  <si>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</si>
  <si>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</si>
  <si>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</si>
  <si>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</si>
  <si>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</si>
  <si>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</si>
  <si>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</si>
  <si>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</si>
  <si>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</si>
  <si>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</si>
  <si>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</si>
  <si>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</si>
  <si>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</si>
  <si>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</si>
  <si>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</si>
  <si>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</si>
  <si>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</si>
  <si>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</si>
  <si>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</si>
  <si>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</si>
  <si>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</si>
  <si>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</si>
  <si>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</si>
  <si>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</si>
  <si>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</si>
  <si>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</si>
  <si>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</si>
  <si>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</si>
  <si>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</si>
  <si>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</si>
  <si>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</si>
  <si>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</si>
  <si>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</si>
  <si>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</si>
  <si>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</si>
  <si>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</si>
  <si>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</si>
  <si>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</si>
  <si>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</si>
  <si>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</si>
  <si>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</si>
  <si>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</si>
  <si>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</si>
  <si>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</si>
  <si>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</si>
  <si>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</si>
  <si>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</si>
  <si>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</si>
  <si>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</si>
  <si>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</si>
  <si>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</si>
  <si>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</si>
  <si>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</si>
  <si>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</si>
  <si>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</si>
  <si>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</si>
  <si>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</si>
  <si>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</si>
  <si>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</si>
  <si>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</si>
  <si>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</si>
  <si>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</si>
  <si>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</si>
  <si>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</si>
  <si>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</si>
  <si>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</si>
  <si>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</si>
  <si>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</si>
  <si>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</si>
  <si>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</si>
  <si>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</si>
  <si>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</si>
  <si>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</si>
  <si>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</si>
  <si>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</si>
  <si>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</si>
  <si>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</si>
  <si>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</si>
  <si>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</si>
  <si>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</si>
  <si>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</si>
  <si>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</si>
  <si>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</si>
  <si>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</si>
  <si>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</si>
  <si>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</si>
  <si>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</si>
  <si>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</si>
  <si>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</si>
  <si>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</si>
  <si>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</si>
  <si>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</si>
  <si>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</si>
  <si>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</si>
  <si>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</si>
  <si>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</si>
  <si>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</si>
  <si>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</si>
  <si>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</si>
  <si>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</si>
  <si>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</si>
  <si>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</si>
  <si>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</si>
  <si>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</si>
  <si>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</si>
  <si>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</si>
  <si>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</si>
  <si>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</si>
  <si>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</si>
  <si>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</si>
  <si>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</si>
  <si>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</si>
  <si>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</si>
  <si>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</si>
  <si>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</si>
  <si>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</si>
  <si>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</si>
  <si>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</si>
  <si>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</si>
  <si>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</si>
  <si>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</si>
  <si>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</si>
  <si>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</si>
  <si>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</si>
  <si>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</si>
  <si>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</si>
  <si>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</si>
  <si>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</si>
  <si>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</si>
  <si>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</si>
  <si>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</si>
  <si>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</si>
  <si>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</si>
  <si>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</si>
  <si>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</si>
  <si>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</si>
  <si>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</si>
  <si>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</si>
  <si>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</si>
  <si>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</si>
  <si>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</si>
  <si>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</si>
  <si>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</si>
  <si>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</si>
  <si>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</si>
  <si>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</si>
  <si>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</si>
  <si>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</si>
  <si>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</si>
  <si>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</si>
  <si>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</si>
  <si>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</si>
  <si>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</si>
  <si>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</si>
  <si>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</si>
  <si>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</si>
  <si>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</si>
  <si>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</si>
  <si>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</si>
  <si>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</si>
  <si>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</si>
  <si>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</si>
  <si>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</si>
  <si>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</si>
  <si>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</si>
  <si>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</si>
  <si>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</si>
  <si>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</si>
  <si>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</si>
  <si>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</si>
  <si>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</si>
  <si>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</si>
  <si>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</si>
  <si>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</si>
  <si>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</si>
  <si>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</si>
  <si>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</si>
  <si>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</si>
  <si>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</si>
  <si>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</si>
  <si>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</si>
  <si>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</si>
  <si>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</si>
  <si>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</si>
  <si>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</si>
  <si>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</si>
  <si>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</si>
  <si>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</si>
  <si>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</si>
  <si>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</si>
  <si>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</si>
  <si>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</si>
  <si>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</si>
  <si>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</si>
  <si>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</si>
  <si>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</si>
  <si>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</si>
  <si>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</si>
  <si>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</si>
  <si>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</si>
  <si>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</si>
  <si>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</si>
  <si>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</si>
  <si>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</si>
  <si>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</si>
  <si>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</si>
  <si>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</si>
  <si>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</si>
  <si>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</si>
  <si>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</si>
  <si>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</si>
  <si>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</si>
  <si>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</si>
  <si>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</si>
  <si>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</si>
  <si>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</si>
  <si>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</si>
  <si>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</si>
  <si>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</si>
  <si>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</si>
  <si>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</si>
  <si>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</si>
  <si>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</si>
  <si>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</si>
  <si>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</si>
  <si>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</si>
  <si>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</si>
  <si>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</si>
  <si>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</si>
  <si>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</si>
  <si>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</si>
  <si>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</si>
  <si>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</si>
  <si>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</si>
  <si>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</si>
  <si>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</si>
  <si>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</si>
  <si>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</si>
  <si>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</si>
  <si>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</si>
  <si>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</si>
  <si>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</si>
  <si>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</si>
  <si>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</si>
  <si>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</si>
  <si>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</si>
  <si>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</si>
  <si>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</si>
  <si>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</si>
  <si>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</si>
  <si>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</si>
  <si>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</si>
  <si>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</si>
  <si>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</si>
  <si>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</si>
  <si>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</si>
  <si>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</si>
  <si>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</si>
  <si>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</si>
  <si>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</si>
  <si>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</si>
  <si>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</si>
  <si>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</si>
  <si>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</si>
  <si>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</si>
  <si>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</si>
  <si>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</si>
  <si>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</si>
  <si>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</si>
  <si>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</si>
  <si>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</si>
  <si>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</si>
  <si>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</si>
  <si>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</si>
  <si>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</si>
  <si>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</si>
  <si>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</si>
  <si>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</si>
  <si>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</si>
  <si>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</si>
  <si>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</si>
  <si>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</si>
  <si>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</si>
  <si>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</si>
  <si>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</si>
  <si>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</si>
  <si>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</si>
  <si>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</si>
  <si>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</si>
  <si>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</si>
  <si>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</si>
  <si>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</si>
  <si>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</si>
  <si>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</si>
  <si>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</si>
  <si>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</si>
  <si>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</si>
  <si>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</si>
  <si>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</si>
  <si>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</si>
  <si>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</si>
  <si>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</si>
  <si>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</si>
  <si>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</si>
  <si>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</si>
  <si>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</si>
  <si>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</si>
  <si>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</si>
  <si>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</si>
  <si>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</si>
  <si>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</si>
  <si>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</si>
  <si>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</si>
  <si>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</si>
  <si>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</si>
  <si>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</si>
  <si>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</si>
  <si>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</si>
  <si>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</si>
  <si>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</si>
  <si>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</si>
  <si>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</si>
  <si>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</si>
  <si>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</si>
  <si>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</si>
  <si>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</si>
  <si>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</si>
  <si>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</si>
  <si>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</si>
  <si>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</si>
  <si>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</si>
  <si>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</si>
  <si>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</si>
  <si>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</si>
  <si>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</si>
  <si>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</si>
  <si>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</si>
  <si>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</si>
  <si>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</si>
  <si>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</si>
  <si>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</si>
  <si>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</si>
  <si>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</si>
  <si>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</si>
  <si>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</si>
  <si>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</si>
  <si>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</si>
  <si>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</si>
  <si>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</si>
  <si>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</si>
  <si>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</si>
  <si>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</si>
  <si>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</si>
  <si>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</si>
  <si>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</si>
  <si>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</si>
  <si>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</si>
  <si>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</si>
  <si>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</si>
  <si>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</si>
  <si>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</si>
  <si>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</si>
  <si>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</si>
  <si>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</si>
  <si>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</si>
  <si>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</si>
  <si>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</si>
  <si>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</si>
  <si>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</si>
  <si>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</si>
  <si>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</si>
  <si>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</si>
  <si>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</si>
  <si>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</si>
  <si>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</si>
  <si>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</si>
  <si>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</si>
  <si>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</si>
  <si>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</si>
  <si>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</si>
  <si>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</si>
  <si>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</si>
  <si>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</si>
  <si>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</si>
  <si>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</si>
  <si>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</si>
  <si>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</si>
  <si>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</si>
  <si>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</si>
  <si>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</si>
  <si>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</si>
  <si>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</si>
  <si>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</si>
  <si>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</si>
  <si>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</si>
  <si>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</si>
  <si>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</si>
  <si>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</si>
  <si>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</si>
  <si>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</si>
  <si>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</si>
  <si>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</si>
  <si>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</si>
  <si>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</si>
  <si>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</si>
  <si>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</si>
  <si>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</si>
  <si>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</si>
  <si>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</si>
  <si>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</si>
  <si>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</si>
  <si>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</si>
  <si>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</si>
  <si>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</si>
  <si>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</si>
  <si>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</si>
  <si>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</si>
  <si>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</si>
  <si>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</si>
  <si>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</si>
  <si>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</si>
  <si>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</si>
  <si>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</si>
  <si>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</si>
  <si>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</si>
  <si>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</si>
  <si>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</si>
  <si>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</si>
  <si>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</si>
  <si>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</si>
  <si>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</si>
  <si>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</si>
  <si>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</si>
  <si>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</si>
  <si>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</si>
  <si>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</si>
  <si>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</si>
  <si>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</si>
  <si>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</si>
  <si>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</si>
  <si>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</si>
  <si>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</si>
  <si>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</si>
  <si>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</si>
  <si>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</si>
  <si>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</si>
  <si>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</si>
  <si>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</si>
  <si>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</si>
  <si>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</si>
  <si>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</si>
  <si>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</si>
  <si>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</si>
  <si>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</si>
  <si>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</si>
  <si>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</si>
  <si>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</si>
  <si>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</si>
  <si>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</si>
  <si>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</si>
  <si>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</si>
  <si>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</si>
  <si>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</si>
  <si>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</si>
  <si>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</si>
  <si>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</si>
  <si>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</si>
  <si>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</si>
  <si>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</si>
  <si>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</si>
  <si>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</si>
  <si>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</si>
  <si>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</si>
  <si>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</si>
  <si>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</si>
  <si>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</si>
  <si>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</si>
  <si>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</si>
  <si>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</si>
  <si>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</si>
  <si>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</si>
  <si>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</si>
  <si>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</si>
  <si>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</si>
  <si>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</si>
  <si>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</si>
  <si>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</si>
  <si>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</si>
  <si>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</si>
  <si>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</si>
  <si>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</si>
  <si>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</si>
  <si>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</si>
  <si>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</si>
  <si>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</si>
  <si>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</si>
  <si>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</si>
  <si>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</si>
  <si>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</si>
  <si>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</si>
  <si>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</si>
  <si>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</si>
  <si>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</si>
  <si>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</si>
  <si>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</si>
  <si>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</si>
  <si>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</si>
  <si>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</si>
  <si>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</si>
  <si>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</si>
  <si>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</si>
  <si>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</si>
  <si>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</si>
  <si>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</si>
  <si>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</si>
  <si>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</si>
  <si>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</si>
  <si>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</si>
  <si>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</si>
  <si>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</si>
  <si>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</si>
  <si>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</si>
  <si>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</si>
  <si>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</si>
  <si>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</si>
  <si>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</si>
  <si>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</si>
  <si>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</si>
  <si>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</si>
  <si>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</si>
  <si>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</si>
  <si>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</si>
  <si>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</si>
  <si>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</si>
  <si>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</si>
  <si>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</si>
  <si>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</si>
  <si>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</si>
  <si>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</si>
  <si>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</si>
  <si>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</si>
  <si>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</si>
  <si>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</si>
  <si>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</si>
  <si>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</si>
  <si>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</si>
  <si>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</si>
  <si>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</si>
  <si>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</si>
  <si>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</si>
  <si>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</si>
  <si>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</si>
  <si>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</si>
  <si>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</si>
  <si>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</si>
  <si>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</si>
  <si>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</si>
  <si>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</si>
  <si>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</si>
  <si>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</si>
  <si>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</si>
  <si>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</si>
  <si>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</si>
  <si>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</si>
  <si>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</si>
  <si>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</si>
  <si>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</si>
  <si>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</si>
  <si>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</si>
  <si>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</si>
  <si>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</si>
  <si>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</si>
  <si>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</si>
  <si>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</si>
  <si>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</si>
  <si>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</si>
  <si>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</si>
  <si>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</si>
  <si>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</si>
  <si>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</si>
  <si>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</si>
  <si>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</si>
  <si>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</si>
  <si>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</si>
  <si>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</si>
  <si>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</si>
  <si>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</si>
  <si>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</si>
  <si>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</si>
  <si>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</si>
  <si>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</si>
  <si>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</si>
  <si>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</si>
  <si>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</si>
  <si>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</si>
  <si>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</si>
  <si>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</si>
  <si>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</si>
  <si>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</si>
  <si>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</si>
  <si>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</si>
  <si>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</si>
  <si>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</si>
  <si>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</si>
  <si>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</si>
  <si>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</si>
  <si>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</si>
  <si>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</si>
  <si>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</si>
  <si>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</si>
  <si>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</si>
  <si>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</si>
  <si>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</si>
  <si>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</si>
  <si>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</si>
  <si>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</si>
  <si>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</si>
  <si>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</si>
  <si>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</si>
  <si>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</si>
  <si>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</si>
  <si>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</si>
  <si>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</si>
  <si>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</si>
  <si>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</si>
  <si>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</si>
  <si>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</si>
  <si>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</si>
  <si>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</si>
  <si>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</si>
  <si>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</si>
  <si>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</si>
  <si>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</si>
  <si>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</si>
  <si>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</si>
  <si>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</si>
  <si>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</si>
  <si>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</si>
  <si>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</si>
  <si>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</si>
  <si>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</si>
  <si>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</si>
  <si>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</si>
  <si>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</si>
  <si>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</si>
  <si>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</si>
  <si>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</si>
  <si>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</si>
  <si>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</si>
  <si>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</si>
  <si>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</si>
  <si>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</si>
  <si>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</si>
  <si>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</si>
  <si>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</si>
  <si>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</si>
  <si>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</si>
  <si>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</si>
  <si>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</si>
  <si>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</si>
  <si>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</si>
  <si>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</si>
  <si>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</si>
  <si>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</si>
  <si>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</si>
  <si>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</si>
  <si>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</si>
  <si>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</si>
  <si>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</si>
  <si>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</si>
  <si>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</si>
  <si>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</si>
  <si>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</si>
  <si>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</si>
  <si>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</si>
  <si>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</si>
  <si>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</si>
  <si>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</si>
  <si>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</si>
  <si>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</si>
  <si>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</si>
  <si>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</si>
  <si>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</si>
  <si>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</si>
  <si>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</si>
  <si>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</si>
  <si>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</si>
  <si>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</si>
  <si>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</si>
  <si>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</si>
  <si>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</si>
  <si>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</si>
  <si>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</si>
  <si>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</si>
  <si>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</si>
  <si>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</si>
  <si>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</si>
  <si>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</si>
  <si>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</si>
  <si>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</si>
  <si>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</si>
  <si>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</si>
  <si>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</si>
  <si>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</si>
  <si>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</si>
  <si>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</si>
  <si>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</si>
  <si>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</si>
  <si>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</si>
  <si>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</si>
  <si>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</si>
  <si>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</si>
  <si>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</si>
  <si>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</si>
  <si>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</si>
  <si>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</si>
  <si>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</si>
  <si>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</si>
  <si>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</si>
  <si>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</si>
  <si>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</si>
  <si>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</si>
  <si>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</si>
  <si>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</si>
  <si>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</si>
  <si>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</si>
  <si>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</si>
  <si>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</si>
  <si>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</si>
  <si>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</si>
  <si>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</si>
  <si>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</si>
  <si>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</si>
  <si>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</si>
  <si>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</si>
  <si>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</si>
  <si>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</si>
  <si>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</si>
  <si>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</si>
  <si>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</si>
  <si>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</si>
  <si>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</si>
  <si>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</si>
  <si>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</si>
  <si>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</si>
  <si>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</si>
  <si>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</si>
  <si>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</si>
  <si>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</si>
  <si>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</si>
  <si>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</si>
  <si>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</si>
  <si>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</si>
  <si>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</si>
  <si>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</si>
  <si>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</si>
  <si>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</si>
  <si>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</si>
  <si>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</si>
  <si>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</si>
  <si>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</si>
  <si>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</si>
  <si>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</si>
  <si>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</si>
  <si>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</si>
  <si>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</si>
  <si>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</si>
  <si>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</si>
  <si>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</si>
  <si>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</si>
  <si>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</si>
  <si>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</si>
  <si>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</si>
  <si>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</si>
  <si>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</si>
  <si>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</si>
  <si>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</si>
  <si>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</si>
  <si>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</si>
  <si>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</si>
  <si>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</si>
  <si>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</si>
  <si>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</si>
  <si>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</si>
  <si>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</si>
  <si>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</si>
  <si>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</si>
  <si>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</si>
  <si>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</si>
  <si>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</si>
  <si>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</si>
  <si>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</si>
  <si>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</si>
  <si>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</si>
  <si>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</si>
  <si>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</si>
  <si>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</si>
  <si>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</si>
  <si>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</si>
  <si>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</si>
  <si>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</si>
  <si>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</si>
  <si>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</si>
  <si>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</si>
  <si>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</si>
  <si>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</si>
  <si>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</si>
  <si>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</si>
  <si>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</si>
  <si>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</si>
  <si>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</si>
  <si>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</si>
  <si>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</si>
  <si>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</si>
  <si>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</si>
  <si>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</si>
  <si>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</si>
  <si>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</si>
  <si>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</si>
  <si>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</si>
  <si>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</si>
  <si>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</si>
  <si>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</si>
  <si>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</si>
  <si>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</si>
  <si>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</si>
  <si>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</si>
  <si>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</si>
  <si>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</si>
  <si>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</si>
  <si>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</si>
  <si>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</si>
  <si>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</si>
  <si>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</si>
  <si>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</si>
  <si>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</si>
  <si>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</si>
  <si>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</si>
  <si>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</si>
  <si>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</si>
  <si>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</si>
  <si>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</si>
  <si>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</si>
  <si>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</si>
  <si>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</si>
  <si>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</si>
  <si>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</si>
  <si>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</si>
  <si>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</si>
  <si>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</si>
  <si>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</si>
  <si>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</si>
  <si>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</si>
  <si>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</si>
  <si>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</si>
  <si>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</si>
  <si>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</si>
  <si>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</si>
  <si>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</si>
  <si>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</si>
  <si>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</si>
  <si>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</si>
  <si>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</si>
  <si>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</si>
  <si>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</si>
  <si>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</si>
  <si>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</si>
  <si>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</si>
  <si>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</si>
  <si>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</si>
  <si>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</si>
  <si>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</si>
  <si>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</si>
  <si>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</si>
  <si>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</si>
  <si>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</si>
  <si>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</si>
  <si>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</si>
  <si>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</si>
  <si>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</si>
  <si>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</si>
  <si>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</si>
  <si>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</si>
  <si>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</si>
  <si>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</si>
  <si>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</si>
  <si>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</si>
  <si>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</si>
  <si>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</si>
  <si>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</si>
  <si>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</si>
  <si>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</si>
  <si>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</si>
  <si>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</si>
  <si>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</si>
  <si>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</si>
  <si>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</si>
  <si>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</si>
  <si>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</si>
  <si>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</si>
  <si>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</si>
  <si>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</si>
  <si>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</si>
  <si>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</si>
  <si>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</si>
  <si>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</si>
  <si>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</si>
  <si>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</si>
  <si>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</si>
  <si>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</si>
  <si>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</si>
  <si>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</si>
  <si>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</si>
  <si>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</si>
  <si>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</si>
  <si>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</si>
  <si>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</si>
  <si>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</si>
  <si>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</si>
  <si>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</si>
  <si>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</si>
  <si>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</si>
  <si>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</si>
  <si>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</si>
  <si>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</si>
  <si>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</si>
  <si>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</si>
  <si>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</si>
  <si>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</si>
  <si>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</si>
  <si>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</si>
  <si>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</si>
  <si>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</si>
  <si>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</si>
  <si>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</si>
  <si>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</si>
  <si>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</si>
  <si>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</si>
  <si>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</si>
  <si>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</si>
  <si>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</si>
  <si>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</si>
  <si>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</si>
  <si>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</si>
  <si>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</si>
  <si>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</si>
  <si>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</si>
  <si>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</si>
  <si>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</si>
  <si>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</si>
  <si>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</si>
  <si>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</si>
  <si>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</si>
  <si>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</si>
  <si>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</si>
  <si>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</si>
  <si>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</si>
  <si>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</si>
  <si>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</si>
  <si>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</si>
  <si>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</si>
  <si>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</si>
  <si>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</si>
  <si>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</si>
  <si>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</si>
  <si>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</si>
  <si>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</si>
  <si>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</si>
  <si>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</si>
  <si>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</si>
  <si>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</si>
  <si>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</si>
  <si>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</si>
  <si>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</si>
  <si>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</si>
  <si>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</si>
  <si>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</si>
  <si>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</si>
  <si>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</si>
  <si>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</si>
  <si>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</si>
  <si>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</si>
  <si>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</si>
  <si>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</si>
  <si>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</si>
  <si>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</si>
  <si>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</si>
  <si>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</si>
  <si>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</si>
  <si>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</si>
  <si>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</si>
  <si>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</si>
  <si>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</si>
  <si>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</si>
  <si>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</si>
  <si>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</si>
  <si>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</si>
  <si>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</si>
  <si>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</si>
  <si>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</si>
  <si>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</si>
  <si>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</si>
  <si>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</si>
  <si>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</si>
  <si>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</si>
  <si>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</si>
  <si>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</si>
  <si>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</si>
  <si>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</si>
  <si>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</si>
  <si>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</si>
  <si>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</si>
  <si>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</si>
  <si>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</si>
  <si>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</si>
  <si>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</si>
  <si>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</si>
  <si>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</si>
  <si>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</si>
  <si>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</si>
  <si>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</si>
  <si>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</si>
  <si>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</si>
  <si>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</si>
  <si>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</si>
  <si>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</si>
  <si>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</si>
  <si>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</si>
  <si>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</si>
  <si>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</si>
  <si>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</si>
  <si>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</si>
  <si>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</si>
  <si>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</si>
  <si>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</si>
  <si>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</si>
  <si>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</si>
  <si>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</si>
  <si>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</si>
  <si>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</si>
  <si>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</si>
  <si>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</si>
  <si>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</si>
  <si>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</si>
  <si>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</si>
  <si>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</si>
  <si>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</si>
  <si>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</si>
  <si>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</si>
  <si>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</si>
  <si>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</si>
  <si>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</si>
  <si>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</si>
  <si>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</si>
  <si>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</si>
  <si>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</si>
  <si>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</si>
  <si>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</si>
  <si>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</si>
  <si>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</si>
  <si>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</si>
  <si>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</si>
  <si>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</si>
  <si>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</si>
  <si>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</si>
  <si>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</si>
  <si>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</si>
  <si>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</si>
  <si>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</si>
  <si>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</si>
  <si>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</si>
  <si>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</si>
  <si>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</si>
  <si>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</si>
  <si>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</si>
  <si>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</si>
  <si>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</si>
  <si>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</si>
  <si>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</si>
  <si>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</si>
  <si>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</si>
  <si>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</si>
  <si>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</si>
  <si>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</si>
  <si>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</si>
  <si>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</si>
  <si>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</si>
  <si>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</si>
  <si>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</si>
  <si>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</si>
  <si>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</si>
  <si>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</si>
  <si>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</si>
  <si>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</si>
  <si>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</si>
  <si>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</si>
  <si>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</si>
  <si>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</si>
  <si>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</si>
  <si>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</si>
  <si>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</si>
  <si>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</si>
  <si>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</si>
  <si>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</si>
  <si>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</si>
  <si>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</si>
  <si>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</si>
  <si>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</si>
  <si>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</si>
  <si>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</si>
  <si>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</si>
  <si>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</si>
  <si>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</si>
  <si>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</si>
  <si>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</si>
  <si>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</si>
  <si>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</si>
  <si>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</si>
  <si>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</si>
  <si>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</si>
  <si>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</si>
  <si>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</si>
  <si>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</si>
  <si>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</si>
  <si>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</si>
  <si>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</si>
  <si>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</si>
  <si>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</si>
  <si>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</si>
  <si>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</si>
  <si>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</si>
  <si>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</si>
  <si>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</si>
  <si>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</si>
  <si>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</si>
  <si>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</si>
  <si>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</si>
  <si>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</si>
  <si>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</si>
  <si>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</si>
  <si>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</si>
  <si>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</si>
  <si>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</si>
  <si>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</si>
  <si>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</si>
  <si>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</si>
  <si>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</si>
  <si>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</si>
  <si>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</si>
  <si>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</si>
  <si>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</si>
  <si>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</si>
  <si>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</si>
  <si>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</si>
  <si>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</si>
  <si>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</si>
  <si>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</si>
  <si>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</si>
  <si>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</si>
  <si>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</si>
  <si>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</si>
  <si>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</si>
  <si>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</si>
  <si>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</si>
  <si>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</si>
  <si>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</si>
  <si>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</si>
  <si>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</si>
  <si>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</si>
  <si>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</si>
  <si>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</si>
  <si>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</si>
  <si>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</si>
  <si>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</si>
  <si>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</si>
  <si>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</si>
  <si>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</si>
  <si>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</si>
  <si>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</si>
  <si>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</si>
  <si>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</si>
  <si>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</si>
  <si>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</si>
  <si>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</si>
  <si>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</si>
  <si>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</si>
  <si>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</si>
  <si>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</si>
  <si>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</si>
  <si>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</si>
  <si>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</si>
  <si>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</si>
  <si>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</si>
  <si>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</si>
  <si>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</si>
  <si>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</si>
  <si>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</si>
  <si>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</si>
  <si>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</si>
  <si>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</si>
  <si>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</si>
  <si>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</si>
  <si>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</si>
  <si>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</si>
  <si>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</si>
  <si>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</si>
  <si>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</si>
  <si>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</si>
  <si>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</si>
  <si>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</si>
  <si>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</si>
  <si>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</si>
  <si>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</si>
  <si>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</si>
  <si>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</si>
  <si>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</si>
  <si>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</si>
  <si>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</si>
  <si>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</si>
  <si>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</si>
  <si>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</si>
  <si>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</si>
  <si>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</si>
  <si>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</si>
  <si>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</si>
  <si>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</si>
  <si>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</si>
  <si>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</si>
  <si>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</si>
  <si>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</si>
  <si>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</si>
  <si>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</si>
  <si>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</si>
  <si>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</si>
  <si>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</si>
  <si>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</si>
  <si>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</si>
  <si>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</si>
  <si>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</si>
  <si>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</si>
  <si>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</si>
  <si>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</si>
  <si>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</si>
  <si>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</si>
  <si>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</si>
  <si>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</si>
  <si>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</si>
  <si>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</si>
  <si>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</si>
  <si>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</si>
  <si>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</si>
  <si>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</si>
  <si>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</si>
  <si>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</si>
  <si>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</si>
  <si>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</si>
  <si>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</si>
  <si>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</si>
  <si>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</si>
  <si>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</si>
  <si>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</si>
  <si>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</si>
  <si>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</si>
  <si>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</si>
  <si>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</si>
  <si>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</si>
  <si>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</si>
  <si>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</si>
  <si>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</si>
  <si>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</si>
  <si>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</si>
  <si>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</si>
  <si>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</si>
  <si>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</si>
  <si>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</si>
  <si>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</si>
  <si>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</si>
  <si>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</si>
  <si>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</si>
  <si>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</si>
  <si>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</si>
  <si>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</si>
  <si>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</si>
  <si>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</si>
  <si>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</si>
  <si>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</si>
  <si>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</si>
  <si>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</si>
  <si>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</si>
  <si>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</si>
  <si>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</si>
  <si>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</si>
  <si>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</si>
  <si>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</si>
  <si>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</si>
  <si>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</si>
  <si>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</si>
  <si>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</si>
  <si>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</si>
  <si>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</si>
  <si>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</si>
  <si>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</si>
  <si>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</si>
  <si>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</si>
  <si>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</si>
  <si>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</si>
  <si>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</si>
  <si>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</si>
  <si>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</si>
  <si>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</si>
  <si>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</si>
  <si>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</si>
  <si>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</si>
  <si>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</si>
  <si>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</si>
  <si>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</si>
  <si>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</si>
  <si>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</si>
  <si>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</si>
  <si>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</si>
  <si>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</si>
  <si>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</si>
  <si>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</si>
  <si>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</si>
  <si>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</si>
  <si>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</si>
  <si>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</si>
  <si>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</si>
  <si>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</si>
  <si>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</si>
  <si>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</si>
  <si>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</si>
  <si>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</si>
  <si>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</si>
  <si>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</si>
  <si>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</si>
  <si>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</si>
  <si>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</si>
  <si>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</si>
  <si>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</si>
  <si>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</si>
  <si>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</si>
  <si>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</si>
  <si>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</si>
  <si>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</si>
  <si>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</si>
  <si>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</si>
  <si>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</si>
  <si>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</si>
  <si>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</si>
  <si>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</si>
  <si>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</si>
  <si>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</si>
  <si>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</si>
  <si>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</si>
  <si>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</si>
  <si>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</si>
  <si>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</si>
  <si>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</si>
  <si>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</si>
  <si>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</si>
  <si>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</si>
  <si>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</si>
  <si>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</si>
  <si>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</si>
  <si>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</si>
  <si>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</si>
  <si>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</si>
  <si>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</si>
  <si>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</si>
  <si>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</si>
  <si>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</si>
  <si>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</si>
  <si>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</si>
  <si>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</si>
  <si>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</si>
  <si>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</si>
  <si>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</si>
  <si>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</si>
  <si>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</si>
  <si>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</si>
  <si>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</si>
  <si>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</si>
  <si>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</si>
  <si>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</si>
  <si>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</si>
  <si>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</si>
  <si>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</si>
  <si>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</si>
  <si>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</si>
  <si>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</si>
  <si>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</si>
  <si>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</si>
  <si>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</si>
  <si>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</si>
  <si>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</si>
  <si>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</si>
  <si>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</si>
  <si>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</si>
  <si>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</si>
  <si>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</si>
  <si>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</si>
  <si>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</si>
  <si>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</si>
  <si>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</si>
  <si>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</si>
  <si>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</si>
  <si>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</si>
  <si>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</si>
  <si>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</si>
  <si>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</si>
  <si>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</si>
  <si>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</si>
  <si>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</si>
  <si>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</si>
  <si>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</si>
  <si>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</si>
  <si>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</si>
  <si>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</si>
  <si>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</si>
  <si>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</si>
  <si>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</si>
  <si>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</si>
  <si>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</si>
  <si>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</si>
  <si>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</si>
  <si>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</si>
  <si>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</si>
  <si>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</si>
  <si>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</si>
  <si>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</si>
  <si>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</si>
  <si>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</si>
  <si>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</si>
  <si>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</si>
  <si>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</si>
  <si>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</si>
  <si>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</si>
  <si>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</si>
  <si>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</si>
  <si>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</si>
  <si>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</si>
  <si>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</si>
  <si>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</si>
  <si>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</si>
  <si>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</si>
  <si>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</si>
  <si>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</si>
  <si>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</si>
  <si>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</si>
  <si>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</si>
  <si>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</si>
  <si>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</si>
  <si>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</si>
  <si>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</si>
  <si>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</si>
  <si>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</si>
  <si>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</si>
  <si>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</si>
  <si>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</si>
  <si>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</si>
  <si>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</si>
  <si>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</si>
  <si>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</si>
  <si>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</si>
  <si>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</si>
  <si>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</si>
  <si>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</si>
  <si>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</si>
  <si>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</si>
  <si>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</si>
  <si>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</si>
  <si>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</si>
  <si>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</si>
  <si>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</si>
  <si>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</si>
  <si>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</si>
  <si>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</si>
  <si>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</si>
  <si>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</si>
  <si>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</si>
  <si>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</si>
  <si>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</si>
  <si>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</si>
  <si>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</si>
  <si>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</si>
  <si>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</si>
  <si>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</si>
  <si>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</si>
  <si>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</si>
  <si>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</si>
  <si>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</si>
  <si>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</si>
  <si>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</si>
  <si>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</si>
  <si>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</si>
  <si>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</si>
  <si>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</si>
  <si>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</si>
  <si>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</si>
  <si>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</si>
  <si>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</si>
  <si>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</si>
  <si>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</si>
  <si>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</si>
  <si>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</si>
  <si>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</si>
  <si>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</si>
  <si>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</si>
  <si>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</si>
  <si>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</si>
  <si>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</si>
  <si>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</si>
  <si>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</si>
  <si>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</si>
  <si>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</si>
  <si>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</si>
  <si>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</si>
  <si>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</si>
  <si>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</si>
  <si>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</si>
  <si>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</si>
  <si>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</si>
  <si>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</si>
  <si>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</si>
  <si>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</si>
  <si>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</si>
  <si>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</si>
  <si>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</si>
  <si>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</si>
  <si>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</si>
  <si>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</si>
  <si>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</si>
  <si>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</si>
  <si>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</si>
  <si>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</si>
  <si>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</si>
  <si>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</si>
  <si>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</si>
  <si>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</si>
  <si>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</si>
  <si>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</si>
  <si>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</si>
  <si>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</si>
  <si>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</si>
  <si>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</si>
  <si>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</si>
  <si>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</si>
  <si>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</si>
  <si>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</si>
  <si>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</si>
  <si>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</si>
  <si>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</si>
  <si>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</si>
  <si>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</si>
  <si>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</si>
  <si>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</si>
  <si>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</si>
  <si>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</si>
  <si>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</si>
  <si>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</si>
  <si>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</si>
  <si>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</si>
  <si>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</si>
  <si>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</si>
  <si>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</si>
  <si>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</si>
  <si>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</si>
  <si>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</si>
  <si>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</si>
  <si>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</si>
  <si>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</si>
  <si>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</si>
  <si>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</si>
  <si>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</si>
  <si>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</si>
  <si>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</si>
  <si>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</si>
  <si>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</si>
  <si>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</si>
  <si>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</si>
  <si>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</si>
  <si>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</si>
  <si>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</si>
  <si>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</si>
  <si>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</si>
  <si>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</si>
  <si>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</si>
  <si>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</si>
  <si>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</si>
  <si>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</si>
  <si>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</si>
  <si>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</si>
  <si>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</si>
  <si>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</si>
  <si>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</si>
  <si>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</si>
  <si>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</si>
  <si>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</si>
  <si>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</si>
  <si>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</si>
  <si>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</si>
  <si>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</si>
  <si>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</si>
  <si>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</si>
  <si>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</si>
  <si>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</si>
  <si>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</si>
  <si>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</si>
  <si>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</si>
  <si>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</si>
  <si>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</si>
  <si>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</si>
  <si>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</si>
  <si>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</si>
  <si>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</si>
  <si>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</si>
  <si>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</si>
  <si>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</si>
  <si>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</si>
  <si>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</si>
  <si>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</si>
  <si>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</si>
  <si>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</si>
  <si>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</si>
  <si>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</si>
  <si>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</si>
  <si>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</si>
  <si>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</si>
  <si>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</si>
  <si>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</si>
  <si>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</si>
  <si>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</si>
  <si>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</si>
  <si>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</si>
  <si>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</si>
  <si>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</si>
  <si>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</si>
  <si>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</si>
  <si>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</si>
  <si>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</si>
  <si>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</si>
  <si>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</si>
  <si>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</si>
  <si>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</si>
  <si>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</si>
  <si>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</si>
  <si>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</si>
  <si>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</si>
  <si>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</si>
  <si>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</si>
  <si>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</si>
  <si>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</si>
  <si>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</si>
  <si>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</si>
  <si>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</si>
  <si>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</si>
  <si>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</si>
  <si>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</si>
  <si>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</si>
  <si>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</si>
  <si>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</si>
  <si>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</si>
  <si>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</si>
  <si>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</si>
  <si>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</si>
  <si>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</si>
  <si>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</si>
  <si>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</si>
  <si>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</si>
  <si>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</si>
  <si>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</si>
  <si>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</si>
  <si>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</si>
  <si>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</si>
  <si>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</si>
  <si>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</si>
  <si>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</si>
  <si>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</si>
  <si>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</si>
  <si>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</si>
  <si>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</si>
  <si>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</si>
  <si>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</si>
  <si>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</si>
  <si>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</si>
  <si>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</si>
  <si>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</si>
  <si>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</si>
  <si>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</si>
  <si>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</si>
  <si>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</si>
  <si>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</si>
  <si>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</si>
  <si>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</si>
  <si>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</si>
  <si>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</si>
  <si>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</si>
  <si>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</si>
  <si>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</si>
  <si>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</si>
  <si>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</si>
  <si>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</si>
  <si>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</si>
  <si>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</si>
  <si>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</si>
  <si>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</si>
  <si>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</si>
  <si>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</si>
  <si>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</si>
  <si>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</si>
  <si>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</si>
  <si>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</si>
  <si>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</si>
  <si>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</si>
  <si>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</si>
  <si>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</si>
  <si>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</si>
  <si>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</si>
  <si>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</si>
  <si>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</si>
  <si>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</si>
  <si>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</si>
  <si>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</si>
  <si>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</si>
  <si>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</si>
  <si>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</si>
  <si>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</si>
  <si>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</si>
  <si>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</si>
  <si>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</si>
  <si>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</si>
  <si>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</si>
  <si>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</si>
  <si>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</si>
  <si>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</si>
  <si>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</si>
  <si>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</si>
  <si>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</si>
  <si>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</si>
  <si>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</si>
  <si>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</si>
  <si>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</si>
  <si>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</si>
  <si>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</si>
  <si>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</si>
  <si>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</si>
  <si>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</si>
  <si>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</si>
  <si>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</si>
  <si>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</si>
  <si>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</si>
  <si>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</si>
  <si>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</si>
  <si>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</si>
  <si>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</si>
  <si>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</si>
  <si>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</si>
  <si>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</si>
  <si>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</si>
  <si>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</si>
  <si>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</si>
  <si>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</si>
  <si>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</si>
  <si>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</si>
  <si>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</si>
  <si>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</si>
  <si>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</si>
  <si>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</si>
  <si>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</si>
  <si>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</si>
  <si>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</si>
  <si>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</si>
  <si>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</si>
  <si>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</si>
  <si>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</si>
  <si>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</si>
  <si>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</si>
  <si>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</si>
  <si>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</si>
  <si>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</si>
  <si>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</si>
  <si>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</si>
  <si>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</si>
  <si>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</si>
  <si>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</si>
  <si>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</si>
  <si>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</si>
  <si>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</si>
  <si>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</si>
  <si>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</si>
  <si>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</si>
  <si>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</si>
  <si>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</si>
  <si>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</si>
  <si>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</si>
  <si>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</si>
  <si>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</si>
  <si>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</si>
  <si>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</si>
  <si>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</si>
  <si>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</si>
  <si>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</si>
  <si>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</si>
  <si>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</si>
  <si>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</si>
  <si>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</si>
  <si>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</si>
  <si>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</si>
  <si>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</si>
  <si>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</si>
  <si>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</si>
  <si>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</si>
  <si>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</si>
  <si>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</si>
  <si>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</si>
  <si>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</si>
  <si>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</si>
  <si>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</si>
  <si>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</si>
  <si>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</si>
  <si>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</si>
  <si>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</si>
  <si>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</si>
  <si>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</si>
  <si>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</si>
  <si>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</si>
  <si>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</si>
  <si>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</si>
  <si>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</si>
  <si>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</si>
  <si>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</si>
  <si>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</si>
  <si>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</si>
  <si>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</si>
  <si>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</si>
  <si>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</si>
  <si>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</si>
  <si>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</si>
  <si>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</si>
  <si>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</si>
  <si>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</si>
  <si>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</si>
  <si>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</si>
  <si>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</si>
  <si>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</si>
  <si>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</si>
  <si>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</si>
  <si>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</si>
  <si>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</si>
  <si>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</si>
  <si>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</si>
  <si>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</si>
  <si>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</si>
  <si>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</si>
  <si>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</si>
  <si>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</si>
  <si>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</si>
  <si>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</si>
  <si>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</si>
  <si>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</si>
  <si>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</si>
  <si>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</si>
  <si>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</si>
  <si>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</si>
  <si>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</si>
  <si>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</si>
  <si>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</si>
  <si>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</si>
  <si>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</si>
  <si>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</si>
  <si>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</si>
  <si>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</si>
  <si>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</si>
  <si>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</si>
  <si>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</si>
  <si>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</si>
  <si>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</si>
  <si>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</si>
  <si>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</si>
  <si>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</si>
  <si>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</si>
  <si>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</si>
  <si>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</si>
  <si>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</si>
  <si>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</si>
  <si>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</si>
  <si>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</si>
  <si>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</si>
  <si>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</si>
  <si>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</si>
  <si>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</si>
  <si>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</si>
  <si>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</si>
  <si>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</si>
  <si>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</si>
  <si>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</si>
  <si>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</si>
  <si>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</si>
  <si>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</si>
  <si>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</si>
  <si>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</si>
  <si>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</si>
  <si>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</si>
  <si>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</si>
  <si>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</si>
  <si>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</si>
  <si>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</si>
  <si>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</si>
  <si>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</si>
  <si>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</si>
  <si>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</si>
  <si>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</si>
  <si>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</si>
  <si>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</si>
  <si>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</si>
  <si>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</si>
  <si>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</si>
  <si>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</si>
  <si>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</si>
  <si>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</si>
  <si>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</si>
  <si>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</si>
  <si>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</si>
  <si>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</si>
  <si>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</si>
  <si>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</si>
  <si>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</si>
  <si>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</si>
  <si>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</si>
  <si>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</si>
  <si>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</si>
  <si>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</si>
  <si>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</si>
  <si>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</si>
  <si>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</si>
  <si>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</si>
  <si>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</si>
  <si>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</si>
  <si>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</si>
  <si>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</si>
  <si>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</si>
  <si>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</si>
  <si>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</si>
  <si>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</si>
  <si>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</si>
  <si>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</si>
  <si>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</si>
  <si>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</si>
  <si>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</si>
  <si>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</si>
  <si>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</si>
  <si>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</si>
  <si>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</si>
  <si>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</si>
  <si>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</si>
  <si>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</si>
  <si>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</si>
  <si>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</si>
  <si>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</si>
  <si>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</si>
  <si>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</si>
  <si>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</si>
  <si>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</si>
  <si>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</si>
  <si>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</si>
  <si>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</si>
  <si>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</si>
  <si>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</si>
  <si>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</si>
  <si>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</si>
  <si>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</si>
  <si>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</si>
  <si>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</si>
  <si>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</si>
  <si>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</si>
  <si>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</si>
  <si>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</si>
  <si>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</si>
  <si>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</si>
  <si>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</si>
  <si>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</si>
  <si>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</si>
  <si>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</si>
  <si>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</si>
  <si>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</si>
  <si>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</si>
  <si>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</si>
  <si>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</si>
  <si>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</si>
  <si>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</si>
  <si>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</si>
  <si>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</si>
  <si>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</si>
  <si>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</si>
  <si>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</si>
  <si>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</si>
  <si>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</si>
  <si>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</si>
  <si>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</si>
  <si>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</si>
  <si>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</si>
  <si>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</si>
  <si>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</si>
  <si>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</si>
  <si>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</si>
  <si>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</si>
  <si>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</si>
  <si>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</si>
  <si>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</si>
  <si>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</si>
  <si>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</si>
  <si>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</si>
  <si>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</si>
  <si>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</si>
  <si>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</si>
  <si>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</si>
  <si>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</si>
  <si>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</si>
  <si>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</si>
  <si>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</si>
  <si>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</si>
  <si>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</si>
  <si>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</si>
  <si>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</si>
  <si>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</si>
  <si>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</si>
  <si>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</si>
  <si>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</si>
  <si>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</si>
  <si>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</si>
  <si>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</si>
  <si>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</si>
  <si>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</si>
  <si>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</si>
  <si>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</si>
  <si>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</si>
  <si>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</si>
  <si>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</si>
  <si>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</si>
  <si>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</si>
  <si>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</si>
  <si>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</si>
  <si>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</si>
  <si>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</si>
  <si>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</si>
  <si>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</si>
  <si>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</si>
  <si>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</si>
  <si>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</si>
  <si>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</si>
  <si>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</si>
  <si>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</si>
  <si>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</si>
  <si>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</si>
  <si>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</si>
  <si>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</si>
  <si>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</si>
  <si>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</si>
  <si>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</si>
  <si>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</si>
  <si>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</si>
  <si>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</si>
  <si>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</si>
  <si>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</si>
  <si>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</si>
  <si>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</si>
  <si>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</si>
  <si>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</si>
  <si>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</si>
  <si>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</si>
  <si>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</si>
  <si>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</si>
  <si>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</si>
  <si>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</si>
  <si>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</si>
  <si>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</si>
  <si>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</si>
  <si>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</si>
  <si>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</si>
  <si>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</si>
  <si>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</si>
  <si>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</si>
  <si>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</si>
  <si>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</si>
  <si>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</si>
  <si>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</si>
  <si>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</si>
  <si>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</si>
  <si>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</si>
  <si>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</si>
  <si>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</si>
  <si>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</si>
  <si>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</si>
  <si>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</si>
  <si>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</si>
  <si>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</si>
  <si>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</si>
  <si>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</si>
  <si>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</si>
  <si>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</si>
  <si>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</si>
  <si>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</si>
  <si>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</si>
  <si>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</si>
  <si>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</si>
  <si>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</si>
  <si>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</si>
  <si>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</si>
  <si>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</si>
  <si>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</si>
  <si>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</si>
  <si>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</si>
  <si>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</si>
  <si>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</si>
  <si>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</si>
  <si>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</si>
  <si>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</si>
  <si>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</si>
  <si>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</si>
  <si>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</si>
  <si>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</si>
  <si>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</si>
  <si>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</si>
  <si>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</si>
  <si>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</si>
  <si>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</si>
  <si>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</si>
  <si>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</si>
  <si>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</si>
  <si>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</si>
  <si>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</si>
  <si>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</si>
  <si>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</si>
  <si>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</si>
  <si>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</si>
  <si>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</si>
  <si>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</si>
  <si>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</si>
  <si>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</si>
  <si>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</si>
  <si>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</si>
  <si>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</si>
  <si>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</si>
  <si>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</si>
  <si>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</si>
  <si>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</si>
  <si>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</si>
  <si>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</si>
  <si>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</si>
  <si>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</si>
  <si>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</si>
  <si>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</si>
  <si>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</si>
  <si>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</si>
  <si>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</si>
  <si>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</si>
  <si>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</si>
  <si>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</si>
  <si>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</si>
  <si>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</si>
  <si>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</si>
  <si>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</si>
  <si>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</si>
  <si>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</si>
  <si>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</si>
  <si>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</si>
  <si>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</si>
  <si>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</si>
  <si>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</si>
  <si>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</si>
  <si>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</si>
  <si>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</si>
  <si>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</si>
  <si>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</si>
  <si>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</si>
  <si>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</si>
  <si>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</si>
  <si>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</si>
  <si>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</si>
  <si>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</si>
  <si>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</si>
  <si>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</si>
  <si>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</si>
  <si>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</si>
  <si>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</si>
  <si>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</si>
  <si>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</si>
  <si>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</si>
  <si>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</si>
  <si>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</si>
  <si>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</si>
  <si>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</si>
  <si>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</si>
  <si>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</si>
  <si>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</si>
  <si>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</si>
  <si>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</si>
  <si>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</si>
  <si>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</si>
  <si>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</si>
  <si>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</si>
  <si>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</si>
  <si>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</si>
  <si>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</si>
  <si>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</si>
  <si>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</si>
  <si>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</si>
  <si>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</si>
  <si>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</si>
  <si>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</si>
  <si>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</si>
  <si>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</si>
  <si>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</si>
  <si>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</si>
  <si>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</si>
  <si>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</si>
  <si>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</si>
  <si>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</si>
  <si>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</si>
  <si>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</si>
  <si>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</si>
  <si>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</si>
  <si>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</si>
  <si>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</si>
  <si>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</si>
  <si>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</si>
  <si>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</si>
  <si>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</si>
  <si>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</si>
  <si>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</si>
  <si>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</si>
  <si>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</si>
  <si>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</si>
  <si>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</si>
  <si>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</si>
  <si>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</si>
  <si>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</si>
  <si>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</si>
  <si>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</si>
  <si>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</si>
  <si>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</si>
  <si>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</si>
  <si>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</si>
  <si>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</si>
  <si>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</si>
  <si>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</si>
  <si>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</si>
  <si>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</si>
  <si>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</si>
  <si>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</si>
  <si>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</si>
  <si>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</si>
  <si>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</si>
  <si>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</si>
  <si>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</si>
  <si>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</si>
  <si>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</si>
  <si>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</si>
  <si>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</si>
  <si>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</si>
  <si>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</si>
  <si>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</si>
  <si>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</si>
  <si>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</si>
  <si>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</si>
  <si>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</si>
  <si>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</si>
  <si>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</si>
  <si>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</si>
  <si>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</si>
  <si>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</si>
  <si>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</si>
  <si>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</si>
  <si>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</si>
  <si>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</si>
  <si>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</si>
  <si>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</si>
  <si>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</si>
  <si>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</si>
  <si>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</si>
  <si>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</si>
  <si>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</si>
  <si>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</si>
  <si>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</si>
  <si>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</si>
  <si>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</si>
  <si>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</si>
  <si>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</si>
  <si>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</si>
  <si>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</si>
  <si>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</si>
  <si>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</si>
  <si>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</si>
  <si>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</si>
  <si>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</si>
  <si>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</si>
  <si>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</si>
  <si>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</si>
  <si>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</si>
  <si>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</si>
  <si>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</si>
  <si>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</si>
  <si>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</si>
  <si>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</si>
  <si>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</si>
  <si>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</si>
  <si>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</si>
  <si>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</si>
  <si>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</si>
  <si>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</si>
  <si>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</si>
  <si>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</si>
  <si>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</si>
  <si>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</si>
  <si>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</si>
  <si>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</si>
  <si>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</si>
  <si>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</si>
  <si>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</si>
  <si>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</si>
  <si>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</si>
  <si>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</si>
  <si>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</si>
  <si>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</si>
  <si>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</si>
  <si>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</si>
  <si>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</si>
  <si>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</si>
  <si>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</si>
  <si>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</si>
  <si>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</si>
  <si>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</si>
  <si>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</si>
  <si>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</si>
  <si>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</si>
  <si>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</si>
  <si>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</si>
  <si>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</si>
  <si>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</si>
  <si>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</si>
  <si>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</si>
  <si>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</si>
  <si>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</si>
  <si>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</si>
  <si>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</si>
  <si>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</si>
  <si>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</si>
  <si>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</si>
  <si>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</si>
  <si>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</si>
  <si>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</si>
  <si>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</si>
  <si>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</si>
  <si>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</si>
  <si>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</si>
  <si>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</si>
  <si>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</si>
  <si>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</si>
  <si>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</si>
  <si>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</si>
  <si>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</si>
  <si>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</si>
  <si>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</si>
  <si>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</si>
  <si>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</si>
  <si>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</si>
  <si>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</si>
  <si>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</si>
  <si>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</si>
  <si>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</si>
  <si>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</si>
  <si>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</si>
  <si>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</si>
  <si>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</si>
  <si>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</si>
  <si>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</si>
  <si>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</si>
  <si>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</si>
  <si>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</si>
  <si>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</si>
  <si>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</si>
  <si>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</si>
  <si>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</si>
  <si>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</si>
  <si>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</si>
  <si>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</si>
  <si>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</si>
  <si>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</si>
  <si>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</si>
  <si>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</si>
  <si>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</si>
  <si>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</si>
  <si>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</si>
  <si>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</si>
  <si>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</si>
  <si>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</si>
  <si>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</si>
  <si>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</si>
  <si>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</si>
  <si>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</si>
  <si>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</si>
  <si>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</si>
  <si>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</si>
  <si>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</si>
  <si>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</si>
  <si>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</si>
  <si>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</si>
  <si>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</si>
  <si>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</si>
  <si>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</si>
  <si>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</si>
  <si>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</si>
  <si>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</si>
  <si>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</si>
  <si>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</si>
  <si>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</si>
  <si>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</si>
  <si>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</si>
  <si>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</si>
  <si>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</si>
  <si>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</si>
  <si>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</si>
  <si>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</si>
  <si>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</si>
  <si>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</si>
  <si>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</si>
  <si>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</si>
  <si>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</si>
  <si>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</si>
  <si>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</si>
  <si>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</si>
  <si>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</si>
  <si>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</si>
  <si>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</si>
  <si>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</si>
  <si>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</si>
  <si>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</si>
  <si>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</si>
  <si>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</si>
  <si>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</si>
  <si>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</si>
  <si>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</si>
  <si>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</si>
  <si>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</si>
  <si>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</si>
  <si>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</si>
  <si>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</si>
  <si>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</si>
  <si>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</si>
  <si>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</si>
  <si>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</si>
  <si>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</si>
  <si>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</si>
  <si>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</si>
  <si>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</si>
  <si>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</si>
  <si>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</si>
  <si>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</si>
  <si>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</si>
  <si>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</si>
  <si>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</si>
  <si>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</si>
  <si>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</si>
  <si>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</si>
  <si>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</si>
  <si>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</si>
  <si>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</si>
  <si>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</si>
  <si>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</si>
  <si>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</si>
  <si>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</si>
  <si>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</si>
  <si>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</si>
  <si>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</si>
  <si>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</si>
  <si>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</si>
  <si>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</si>
  <si>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</si>
  <si>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</si>
  <si>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</si>
  <si>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</si>
  <si>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</si>
  <si>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</si>
  <si>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</si>
  <si>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</si>
  <si>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</si>
  <si>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</si>
  <si>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</si>
  <si>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</si>
  <si>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</si>
  <si>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</si>
  <si>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</si>
  <si>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</si>
  <si>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</si>
  <si>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</si>
  <si>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</si>
  <si>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</si>
  <si>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</si>
  <si>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</si>
  <si>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</si>
  <si>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</si>
  <si>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</si>
  <si>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</si>
  <si>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</si>
  <si>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</si>
  <si>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</si>
  <si>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</si>
  <si>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</si>
  <si>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</si>
  <si>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</si>
  <si>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</si>
  <si>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</si>
  <si>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</si>
  <si>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</si>
  <si>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</si>
  <si>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</si>
  <si>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</si>
  <si>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</si>
  <si>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</si>
  <si>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</si>
  <si>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</si>
  <si>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</si>
  <si>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</si>
  <si>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</si>
  <si>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</si>
  <si>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</si>
  <si>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</si>
  <si>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</si>
  <si>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</si>
  <si>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</si>
  <si>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</si>
  <si>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</si>
  <si>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</si>
  <si>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</si>
  <si>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</si>
  <si>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</si>
  <si>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</si>
  <si>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</si>
  <si>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</si>
  <si>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</si>
  <si>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</si>
  <si>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</si>
  <si>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</si>
  <si>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</si>
  <si>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</si>
  <si>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</si>
  <si>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</si>
  <si>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</si>
  <si>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</si>
  <si>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</si>
  <si>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</si>
  <si>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</si>
  <si>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</si>
  <si>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</si>
  <si>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</si>
  <si>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</si>
  <si>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</si>
  <si>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</si>
  <si>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</si>
  <si>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</si>
  <si>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</si>
  <si>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</si>
  <si>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</si>
  <si>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</si>
  <si>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</si>
  <si>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</si>
  <si>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</si>
  <si>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</si>
  <si>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</si>
  <si>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</si>
  <si>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</si>
  <si>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</si>
  <si>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</si>
  <si>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</si>
  <si>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</si>
  <si>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</si>
  <si>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</si>
  <si>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</si>
  <si>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</si>
  <si>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</si>
  <si>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</si>
  <si>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</si>
  <si>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</si>
  <si>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</si>
  <si>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</si>
  <si>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</si>
  <si>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</si>
  <si>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</si>
  <si>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</si>
  <si>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</si>
  <si>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</si>
  <si>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</si>
  <si>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</si>
  <si>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</si>
  <si>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</si>
  <si>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</si>
  <si>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</si>
  <si>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</si>
  <si>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</si>
  <si>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</si>
  <si>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</si>
  <si>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</si>
  <si>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</si>
  <si>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</si>
  <si>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</si>
  <si>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</si>
  <si>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</si>
  <si>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</si>
  <si>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</si>
  <si>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</si>
  <si>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</si>
  <si>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</si>
  <si>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</si>
  <si>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</si>
  <si>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</si>
  <si>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</si>
  <si>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</si>
  <si>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</si>
  <si>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</si>
  <si>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</si>
  <si>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</si>
  <si>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</si>
  <si>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</si>
  <si>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</si>
  <si>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</si>
  <si>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</si>
  <si>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</si>
  <si>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</si>
  <si>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</si>
  <si>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</si>
  <si>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</si>
  <si>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</si>
  <si>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</si>
  <si>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</si>
  <si>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</si>
  <si>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</si>
  <si>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</si>
  <si>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</si>
  <si>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</si>
  <si>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</si>
  <si>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</si>
  <si>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</si>
  <si>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</si>
  <si>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</si>
  <si>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</si>
  <si>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</si>
  <si>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</si>
  <si>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</si>
  <si>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</si>
  <si>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</si>
  <si>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</si>
  <si>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</si>
  <si>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</si>
  <si>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</si>
  <si>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</si>
  <si>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</si>
  <si>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</si>
  <si>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</si>
  <si>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</si>
  <si>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</si>
  <si>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</si>
  <si>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</si>
  <si>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</si>
  <si>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</si>
  <si>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</si>
  <si>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</si>
  <si>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</si>
  <si>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</si>
  <si>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</si>
  <si>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</si>
  <si>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</si>
  <si>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</si>
  <si>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</si>
  <si>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</si>
  <si>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</si>
  <si>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</si>
  <si>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</si>
  <si>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</si>
  <si>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</si>
  <si>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</si>
  <si>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</si>
  <si>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</si>
  <si>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</si>
  <si>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</si>
  <si>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</si>
  <si>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</si>
  <si>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</si>
  <si>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</si>
  <si>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</si>
  <si>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</si>
  <si>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</si>
  <si>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</si>
  <si>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</si>
  <si>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</si>
  <si>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</si>
  <si>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</si>
  <si>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</si>
  <si>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</si>
  <si>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</si>
  <si>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</si>
  <si>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</si>
  <si>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</si>
  <si>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</si>
  <si>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</si>
  <si>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</si>
  <si>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</si>
  <si>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</si>
  <si>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</si>
  <si>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</si>
  <si>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</si>
  <si>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</si>
  <si>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</si>
  <si>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</si>
  <si>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</si>
  <si>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</si>
  <si>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</si>
  <si>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</si>
  <si>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</si>
  <si>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</si>
  <si>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</si>
  <si>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</si>
  <si>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</si>
  <si>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</si>
  <si>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</si>
  <si>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</si>
  <si>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</si>
  <si>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</si>
  <si>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</si>
  <si>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</si>
  <si>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</si>
  <si>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</si>
  <si>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</si>
  <si>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</si>
  <si>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</si>
  <si>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</si>
  <si>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</si>
  <si>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</si>
  <si>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</si>
  <si>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</si>
  <si>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</si>
  <si>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</si>
  <si>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</si>
  <si>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</si>
  <si>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</si>
  <si>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</si>
  <si>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</si>
  <si>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</si>
  <si>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</si>
  <si>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</si>
  <si>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</si>
  <si>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</si>
  <si>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</si>
  <si>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</si>
  <si>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</si>
  <si>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</si>
  <si>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</si>
  <si>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</si>
  <si>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</si>
  <si>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</si>
  <si>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</si>
  <si>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</si>
  <si>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</si>
  <si>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</si>
  <si>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</si>
  <si>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</si>
  <si>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</si>
  <si>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</si>
  <si>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</si>
  <si>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</si>
  <si>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</si>
  <si>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</si>
  <si>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</si>
  <si>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</si>
  <si>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</si>
  <si>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</si>
  <si>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</si>
  <si>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</si>
  <si>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</si>
  <si>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</si>
  <si>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</si>
  <si>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</si>
  <si>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</si>
  <si>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</si>
  <si>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</si>
  <si>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</si>
  <si>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</si>
  <si>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</si>
  <si>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</si>
  <si>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</si>
  <si>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</si>
  <si>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</si>
  <si>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</si>
  <si>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</si>
  <si>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</si>
  <si>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</si>
  <si>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</si>
  <si>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</si>
  <si>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</si>
  <si>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</si>
  <si>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</si>
  <si>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</si>
  <si>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</si>
  <si>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</si>
  <si>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</si>
  <si>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</si>
  <si>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</si>
  <si>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</si>
  <si>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</si>
  <si>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</si>
  <si>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</si>
  <si>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</si>
  <si>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</si>
  <si>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</si>
  <si>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</si>
  <si>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</si>
  <si>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</si>
  <si>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</si>
  <si>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</si>
  <si>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</si>
  <si>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</si>
  <si>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</si>
  <si>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</si>
  <si>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</si>
  <si>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</si>
  <si>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</si>
  <si>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</si>
  <si>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</si>
  <si>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</si>
  <si>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</si>
  <si>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</si>
  <si>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</si>
  <si>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</si>
  <si>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</si>
  <si>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</si>
  <si>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</si>
  <si>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</si>
  <si>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</si>
  <si>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</si>
  <si>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</si>
  <si>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</si>
  <si>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</si>
  <si>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</si>
  <si>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</si>
  <si>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</si>
  <si>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</si>
  <si>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</si>
  <si>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</si>
  <si>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</si>
  <si>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</si>
  <si>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</si>
  <si>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</si>
  <si>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</si>
  <si>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</si>
  <si>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</si>
  <si>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</si>
  <si>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</si>
  <si>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</si>
  <si>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</si>
  <si>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</si>
  <si>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</si>
  <si>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</si>
  <si>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</si>
  <si>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</si>
  <si>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</si>
  <si>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</si>
  <si>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</si>
  <si>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</si>
  <si>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</si>
  <si>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</si>
  <si>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</si>
  <si>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</si>
  <si>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</si>
  <si>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</si>
  <si>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</si>
  <si>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</si>
  <si>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</si>
  <si>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</si>
  <si>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</si>
  <si>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</si>
  <si>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</si>
  <si>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</si>
  <si>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</si>
  <si>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</si>
  <si>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</si>
  <si>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</si>
  <si>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</si>
  <si>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</si>
  <si>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</si>
  <si>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</si>
  <si>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</si>
  <si>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</si>
  <si>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</si>
  <si>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</si>
  <si>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</si>
  <si>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</si>
  <si>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</si>
  <si>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</si>
  <si>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</si>
  <si>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</si>
  <si>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</si>
  <si>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</si>
  <si>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</si>
  <si>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</si>
  <si>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</si>
  <si>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</si>
  <si>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</si>
  <si>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</si>
  <si>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</si>
  <si>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</si>
  <si>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</si>
  <si>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</si>
  <si>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</si>
  <si>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</si>
  <si>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</si>
  <si>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</si>
  <si>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</si>
  <si>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</si>
  <si>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</si>
  <si>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</si>
  <si>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</si>
  <si>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</si>
  <si>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</si>
  <si>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</si>
  <si>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</si>
  <si>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</si>
  <si>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</si>
  <si>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</si>
  <si>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</si>
  <si>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</si>
  <si>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</si>
  <si>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</si>
  <si>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</si>
  <si>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</si>
  <si>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</si>
  <si>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</si>
  <si>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</si>
  <si>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</si>
  <si>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</si>
  <si>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</si>
  <si>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</si>
  <si>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</si>
  <si>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</si>
  <si>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</si>
  <si>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</si>
  <si>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</si>
  <si>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</si>
  <si>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</si>
  <si>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</si>
  <si>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</si>
  <si>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</si>
  <si>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</si>
  <si>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</si>
  <si>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</si>
  <si>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</si>
  <si>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</si>
  <si>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</si>
  <si>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</si>
  <si>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</si>
  <si>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</si>
  <si>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</si>
  <si>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</si>
  <si>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</si>
  <si>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</si>
  <si>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</si>
  <si>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</si>
  <si>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</si>
  <si>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</si>
  <si>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</si>
  <si>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</si>
  <si>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</si>
  <si>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</si>
  <si>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</si>
  <si>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</si>
  <si>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</si>
  <si>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</si>
  <si>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</si>
  <si>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</si>
  <si>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</si>
  <si>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</si>
  <si>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</si>
  <si>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</si>
  <si>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</si>
  <si>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</si>
  <si>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</si>
  <si>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</si>
  <si>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</si>
  <si>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</si>
  <si>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</si>
  <si>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</si>
  <si>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</si>
  <si>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</si>
  <si>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</si>
  <si>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</si>
  <si>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</si>
  <si>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</si>
  <si>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</si>
  <si>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</si>
  <si>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</si>
  <si>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</si>
  <si>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</si>
  <si>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</si>
  <si>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</si>
  <si>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</si>
  <si>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</si>
  <si>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</si>
  <si>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</si>
  <si>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</si>
  <si>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</si>
  <si>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</si>
  <si>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</si>
  <si>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</si>
  <si>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</si>
  <si>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</si>
  <si>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</si>
  <si>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</si>
  <si>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</si>
  <si>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</si>
  <si>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</si>
  <si>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</si>
  <si>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</si>
  <si>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</si>
  <si>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</si>
  <si>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</si>
  <si>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</si>
  <si>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</si>
  <si>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</si>
  <si>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</si>
  <si>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</si>
  <si>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</si>
  <si>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</si>
  <si>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</si>
  <si>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</si>
  <si>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</si>
  <si>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</si>
  <si>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</si>
  <si>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</si>
  <si>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</si>
  <si>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</si>
  <si>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</si>
  <si>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</si>
  <si>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</si>
  <si>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</si>
  <si>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</si>
  <si>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</si>
  <si>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</si>
  <si>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</si>
  <si>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</si>
  <si>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</si>
  <si>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</si>
  <si>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</si>
  <si>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</si>
  <si>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</si>
  <si>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</si>
  <si>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</si>
  <si>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</si>
  <si>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</si>
  <si>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</si>
  <si>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</si>
  <si>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</si>
  <si>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</si>
  <si>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</si>
  <si>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</si>
  <si>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</si>
  <si>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</si>
  <si>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</si>
  <si>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</si>
  <si>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</si>
  <si>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</si>
  <si>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</si>
  <si>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</si>
  <si>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</si>
  <si>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</si>
  <si>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</si>
  <si>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</si>
  <si>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</si>
  <si>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</si>
  <si>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</si>
  <si>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</si>
  <si>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</si>
  <si>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</si>
  <si>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</si>
  <si>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</si>
  <si>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</si>
  <si>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</si>
  <si>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</si>
  <si>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</si>
  <si>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</si>
  <si>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</si>
  <si>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</si>
  <si>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</si>
  <si>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</si>
  <si>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</si>
  <si>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</si>
  <si>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</si>
  <si>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</si>
  <si>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</si>
  <si>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</si>
  <si>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</si>
  <si>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</si>
  <si>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</si>
  <si>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</si>
  <si>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</si>
  <si>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</si>
  <si>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</si>
  <si>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</si>
  <si>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</si>
  <si>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</si>
  <si>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</si>
  <si>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</si>
  <si>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</si>
  <si>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</si>
  <si>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</si>
  <si>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</si>
  <si>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</si>
  <si>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</si>
  <si>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</si>
  <si>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</si>
  <si>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</si>
  <si>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</si>
  <si>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</si>
  <si>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</si>
  <si>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</si>
  <si>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</si>
  <si>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</si>
  <si>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</si>
  <si>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</si>
  <si>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</si>
  <si>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</si>
  <si>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</si>
  <si>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</si>
  <si>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</si>
  <si>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</si>
  <si>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</si>
  <si>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</si>
  <si>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</si>
  <si>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</si>
  <si>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</si>
  <si>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</si>
  <si>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</si>
  <si>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</si>
  <si>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</si>
  <si>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</si>
  <si>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</si>
  <si>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</si>
  <si>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</si>
  <si>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</si>
  <si>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</si>
  <si>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</si>
  <si>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</si>
  <si>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</si>
  <si>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</si>
  <si>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</si>
  <si>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</si>
  <si>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</si>
  <si>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</si>
  <si>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</si>
  <si>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</si>
  <si>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</si>
  <si>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</si>
  <si>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</si>
  <si>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</si>
  <si>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</si>
  <si>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</si>
  <si>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</si>
  <si>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</si>
  <si>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</si>
  <si>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</si>
  <si>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</si>
  <si>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</si>
  <si>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</si>
  <si>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</si>
  <si>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</si>
  <si>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</si>
  <si>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</si>
  <si>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</si>
  <si>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</si>
  <si>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</si>
  <si>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</si>
  <si>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</si>
  <si>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</si>
  <si>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</si>
  <si>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</si>
  <si>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</si>
  <si>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</si>
  <si>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</si>
  <si>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</si>
  <si>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</si>
  <si>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</si>
  <si>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</si>
  <si>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</si>
  <si>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</si>
  <si>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</si>
  <si>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</si>
  <si>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</si>
  <si>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</si>
  <si>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</si>
  <si>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</si>
  <si>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</si>
  <si>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</si>
  <si>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</si>
  <si>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</si>
  <si>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</si>
  <si>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</si>
  <si>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</si>
  <si>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</si>
  <si>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</si>
  <si>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</si>
  <si>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</si>
  <si>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</si>
  <si>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</si>
  <si>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</si>
  <si>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</si>
  <si>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</si>
  <si>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</si>
  <si>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</si>
  <si>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</si>
  <si>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</si>
  <si>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</si>
  <si>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</si>
  <si>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</si>
  <si>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</si>
  <si>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</si>
  <si>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</si>
  <si>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</si>
  <si>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</si>
  <si>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</si>
  <si>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</si>
  <si>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</si>
  <si>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</si>
  <si>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</si>
  <si>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</si>
  <si>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</si>
  <si>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</si>
  <si>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</si>
  <si>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</si>
  <si>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</si>
  <si>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</si>
  <si>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</si>
  <si>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</si>
  <si>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</si>
  <si>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</si>
  <si>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</si>
  <si>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</si>
  <si>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</si>
  <si>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</si>
  <si>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</si>
  <si>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</si>
  <si>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</si>
  <si>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</si>
  <si>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</si>
  <si>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</si>
  <si>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</si>
  <si>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</si>
  <si>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</si>
  <si>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</si>
  <si>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</si>
  <si>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</si>
  <si>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</si>
  <si>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</si>
  <si>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</si>
  <si>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</si>
  <si>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</si>
  <si>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</si>
  <si>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</si>
  <si>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</si>
  <si>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</si>
  <si>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</si>
  <si>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</si>
  <si>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</si>
  <si>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</si>
  <si>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</si>
  <si>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</si>
  <si>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</si>
  <si>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</si>
  <si>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</si>
  <si>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</si>
  <si>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</si>
  <si>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</si>
  <si>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</si>
  <si>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</si>
  <si>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</si>
  <si>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</si>
  <si>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</si>
  <si>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</si>
  <si>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</si>
  <si>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</si>
  <si>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</si>
  <si>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</si>
  <si>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</si>
  <si>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</si>
  <si>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</si>
  <si>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</si>
  <si>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</si>
  <si>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</si>
  <si>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</si>
  <si>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</si>
  <si>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</si>
  <si>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</si>
  <si>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</si>
  <si>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</si>
  <si>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</si>
  <si>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</si>
  <si>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</si>
  <si>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</si>
  <si>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</si>
  <si>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</si>
  <si>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</si>
  <si>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</si>
  <si>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</si>
  <si>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</si>
  <si>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</si>
  <si>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</si>
  <si>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</si>
  <si>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</si>
  <si>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</si>
  <si>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</si>
  <si>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</si>
  <si>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</si>
  <si>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</si>
  <si>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</si>
  <si>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</si>
  <si>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</si>
  <si>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</si>
  <si>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</si>
  <si>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</si>
  <si>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</si>
  <si>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</si>
  <si>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</si>
  <si>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</si>
  <si>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</si>
  <si>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</si>
  <si>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</si>
  <si>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</si>
  <si>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</si>
  <si>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</si>
  <si>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</si>
  <si>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</si>
  <si>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</si>
  <si>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</si>
  <si>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</si>
  <si>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</si>
  <si>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</si>
  <si>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</si>
  <si>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</si>
  <si>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</si>
  <si>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</si>
  <si>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</si>
  <si>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</si>
  <si>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</si>
  <si>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</si>
  <si>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</si>
  <si>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</si>
  <si>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</si>
  <si>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</si>
  <si>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</si>
  <si>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</si>
  <si>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</si>
  <si>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</si>
  <si>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</si>
  <si>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</si>
  <si>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</si>
  <si>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</si>
  <si>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</si>
  <si>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</si>
  <si>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</si>
  <si>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</si>
  <si>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</si>
  <si>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</si>
  <si>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</si>
  <si>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</si>
  <si>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</si>
  <si>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</si>
  <si>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</si>
  <si>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</si>
  <si>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</si>
  <si>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</si>
  <si>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</si>
  <si>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</si>
  <si>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</si>
  <si>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</si>
  <si>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</si>
  <si>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</si>
  <si>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</si>
  <si>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</si>
  <si>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</si>
  <si>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</si>
  <si>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</si>
  <si>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</si>
  <si>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</si>
  <si>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</si>
  <si>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</si>
  <si>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</si>
  <si>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</si>
  <si>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</si>
  <si>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</si>
  <si>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</si>
  <si>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</si>
  <si>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</si>
  <si>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</si>
  <si>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</si>
  <si>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</si>
  <si>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</si>
  <si>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</si>
  <si>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</si>
  <si>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</si>
  <si>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</si>
  <si>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</si>
  <si>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</si>
  <si>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</si>
  <si>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</si>
  <si>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</si>
  <si>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</si>
  <si>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</si>
  <si>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</si>
  <si>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</si>
  <si>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</si>
  <si>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</si>
  <si>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</si>
  <si>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</si>
  <si>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</si>
  <si>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</si>
  <si>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</si>
  <si>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</si>
  <si>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</si>
  <si>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</si>
  <si>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</si>
  <si>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</si>
  <si>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</si>
  <si>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</si>
  <si>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</si>
  <si>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</si>
  <si>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</si>
  <si>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</si>
  <si>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</si>
  <si>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</si>
  <si>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</si>
  <si>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</si>
  <si>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</si>
  <si>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</si>
  <si>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</si>
  <si>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</si>
  <si>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</si>
  <si>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</si>
  <si>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</si>
  <si>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</si>
  <si>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</si>
  <si>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</si>
  <si>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</si>
  <si>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</si>
  <si>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</si>
  <si>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</si>
  <si>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</si>
  <si>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</si>
  <si>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</si>
  <si>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</si>
  <si>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</si>
  <si>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</si>
  <si>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</si>
  <si>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</si>
  <si>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</si>
  <si>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</si>
  <si>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</si>
  <si>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</si>
  <si>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</si>
  <si>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</si>
  <si>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</si>
  <si>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</si>
  <si>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</si>
  <si>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</si>
  <si>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</si>
  <si>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</si>
  <si>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</si>
  <si>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</si>
  <si>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</si>
  <si>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</si>
  <si>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</si>
  <si>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</si>
  <si>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</si>
  <si>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</si>
  <si>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</si>
  <si>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</si>
  <si>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</si>
  <si>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</si>
  <si>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</si>
  <si>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</si>
  <si>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</si>
  <si>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</si>
  <si>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</si>
  <si>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</si>
  <si>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</si>
  <si>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</si>
  <si>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</si>
  <si>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</si>
  <si>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</si>
  <si>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</si>
  <si>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</si>
  <si>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</si>
  <si>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</si>
  <si>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</si>
  <si>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</si>
  <si>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</si>
  <si>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</si>
  <si>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</si>
  <si>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</si>
  <si>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</si>
  <si>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</si>
  <si>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</si>
  <si>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</si>
  <si>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</si>
  <si>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</si>
  <si>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</si>
  <si>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</si>
  <si>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</si>
  <si>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</si>
  <si>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</si>
  <si>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</si>
  <si>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</si>
  <si>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</si>
  <si>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</si>
  <si>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</si>
  <si>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</si>
  <si>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</si>
  <si>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</si>
  <si>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</si>
  <si>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</si>
  <si>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</si>
  <si>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</si>
  <si>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</si>
  <si>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</si>
  <si>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</si>
  <si>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</si>
  <si>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</si>
  <si>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</si>
  <si>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</si>
  <si>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</si>
  <si>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</si>
  <si>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</si>
  <si>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</si>
  <si>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</si>
  <si>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</si>
  <si>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</si>
  <si>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</si>
  <si>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</si>
  <si>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</si>
  <si>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</si>
  <si>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</si>
  <si>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</si>
  <si>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</si>
  <si>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</si>
  <si>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</si>
  <si>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</si>
  <si>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</si>
  <si>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</si>
  <si>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</si>
  <si>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</si>
  <si>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</si>
  <si>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</si>
  <si>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</si>
  <si>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</si>
  <si>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</si>
  <si>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</si>
  <si>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</si>
  <si>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</si>
  <si>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</si>
  <si>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</si>
  <si>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</si>
  <si>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</si>
  <si>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</si>
  <si>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</si>
  <si>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</si>
  <si>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</si>
  <si>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</si>
  <si>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</si>
  <si>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</si>
  <si>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</si>
  <si>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</si>
  <si>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</si>
  <si>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</si>
  <si>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</si>
  <si>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</si>
  <si>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</si>
  <si>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</si>
  <si>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</si>
  <si>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</si>
  <si>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</si>
  <si>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</si>
  <si>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</si>
  <si>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</si>
  <si>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</si>
  <si>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</si>
  <si>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</si>
  <si>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</si>
  <si>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</si>
  <si>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</si>
  <si>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</si>
  <si>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</si>
  <si>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</si>
  <si>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</si>
  <si>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</si>
  <si>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</si>
  <si>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</si>
  <si>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</si>
  <si>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</si>
  <si>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</si>
  <si>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</si>
  <si>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</si>
  <si>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</si>
  <si>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</si>
  <si>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</si>
  <si>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</si>
  <si>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</si>
  <si>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</si>
  <si>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</si>
  <si>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</si>
  <si>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</si>
  <si>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</si>
  <si>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</si>
  <si>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</si>
  <si>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</si>
  <si>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</si>
  <si>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</si>
  <si>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</si>
  <si>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</si>
  <si>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</si>
  <si>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</si>
  <si>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</si>
  <si>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</si>
  <si>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</si>
  <si>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</si>
  <si>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</si>
  <si>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</si>
  <si>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</si>
  <si>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</si>
  <si>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</si>
  <si>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</si>
  <si>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</si>
  <si>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</si>
  <si>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</si>
  <si>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</si>
  <si>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</si>
  <si>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</si>
  <si>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</si>
  <si>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</si>
  <si>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</si>
  <si>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</si>
  <si>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</si>
  <si>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</si>
  <si>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</si>
  <si>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</si>
  <si>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</si>
  <si>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</si>
  <si>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</si>
  <si>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</si>
  <si>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</si>
  <si>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</si>
  <si>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</si>
  <si>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</si>
  <si>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</si>
  <si>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</si>
  <si>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</si>
  <si>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</si>
  <si>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</si>
  <si>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</si>
  <si>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</si>
  <si>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</si>
  <si>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</si>
  <si>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</si>
  <si>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</si>
  <si>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</si>
  <si>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</si>
  <si>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</si>
  <si>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</si>
  <si>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</si>
  <si>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</si>
  <si>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</si>
  <si>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</si>
  <si>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</si>
  <si>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</si>
  <si>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</si>
  <si>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</si>
  <si>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</si>
  <si>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</si>
  <si>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</si>
  <si>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</si>
  <si>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</si>
  <si>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</si>
  <si>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</si>
  <si>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</si>
  <si>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</si>
  <si>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</si>
  <si>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</si>
  <si>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</si>
  <si>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</si>
  <si>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</si>
  <si>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</si>
  <si>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</si>
  <si>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</si>
  <si>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</si>
  <si>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</si>
  <si>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</si>
  <si>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</si>
  <si>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</si>
  <si>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</si>
  <si>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</si>
  <si>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</si>
  <si>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</si>
  <si>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</si>
  <si>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</si>
  <si>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</si>
  <si>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</si>
  <si>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</si>
  <si>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</si>
  <si>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</si>
  <si>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</si>
  <si>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</si>
  <si>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</si>
  <si>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</si>
  <si>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</si>
  <si>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</si>
  <si>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</si>
  <si>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</si>
  <si>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</si>
  <si>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</si>
  <si>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</si>
  <si>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</si>
  <si>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</si>
  <si>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</si>
  <si>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</si>
  <si>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</si>
  <si>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</si>
  <si>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</si>
  <si>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</si>
  <si>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</si>
  <si>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</si>
  <si>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</si>
  <si>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</si>
  <si>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</si>
  <si>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</si>
  <si>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</si>
  <si>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</si>
  <si>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</si>
  <si>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</si>
  <si>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</si>
  <si>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</si>
  <si>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</si>
  <si>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</si>
  <si>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</si>
  <si>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</si>
  <si>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</si>
  <si>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</si>
  <si>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</si>
  <si>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</si>
  <si>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</si>
  <si>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</si>
  <si>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</si>
  <si>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</si>
  <si>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</si>
  <si>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</si>
  <si>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</si>
  <si>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</si>
  <si>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</si>
  <si>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</si>
  <si>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</si>
  <si>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</si>
  <si>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</si>
  <si>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</si>
  <si>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</si>
  <si>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</si>
  <si>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</si>
  <si>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</si>
  <si>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</si>
  <si>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</si>
  <si>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</si>
  <si>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</si>
  <si>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</si>
  <si>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</si>
  <si>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</si>
  <si>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</si>
  <si>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</si>
  <si>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</si>
  <si>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</si>
  <si>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</si>
  <si>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</si>
  <si>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</si>
  <si>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</si>
  <si>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</si>
  <si>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</si>
  <si>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</si>
  <si>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</si>
  <si>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</si>
  <si>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</si>
  <si>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</si>
  <si>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</si>
  <si>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</si>
  <si>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</si>
  <si>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</si>
  <si>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</si>
  <si>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</si>
  <si>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</si>
  <si>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</si>
  <si>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</si>
  <si>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</si>
  <si>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</si>
  <si>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</si>
  <si>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</si>
  <si>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</si>
  <si>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</si>
  <si>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</si>
  <si>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</si>
  <si>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</si>
  <si>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</si>
  <si>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</si>
  <si>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</si>
  <si>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</si>
  <si>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</si>
  <si>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</si>
  <si>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</si>
  <si>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</si>
  <si>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</si>
  <si>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</si>
  <si>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</si>
  <si>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</si>
  <si>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</si>
  <si>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</si>
  <si>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</si>
  <si>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</si>
  <si>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</si>
  <si>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</si>
  <si>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</si>
  <si>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</si>
  <si>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</si>
  <si>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</si>
  <si>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</si>
  <si>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</si>
  <si>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</si>
  <si>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</si>
  <si>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</si>
  <si>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</si>
  <si>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</si>
  <si>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</si>
  <si>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</si>
  <si>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</si>
  <si>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</si>
  <si>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</si>
  <si>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</si>
  <si>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</si>
  <si>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</si>
  <si>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</si>
  <si>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</si>
  <si>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</si>
  <si>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</si>
  <si>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</si>
  <si>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</si>
  <si>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</si>
  <si>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</si>
  <si>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</si>
  <si>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</si>
  <si>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</si>
  <si>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</si>
  <si>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</si>
  <si>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</si>
  <si>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</si>
  <si>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</si>
  <si>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</si>
  <si>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</si>
  <si>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</si>
  <si>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</si>
  <si>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</si>
  <si>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</si>
  <si>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</si>
  <si>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</si>
  <si>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</si>
  <si>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</si>
  <si>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</si>
  <si>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</si>
  <si>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</si>
  <si>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</si>
  <si>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</si>
  <si>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</si>
  <si>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</si>
  <si>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</si>
  <si>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</si>
  <si>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</si>
  <si>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</si>
  <si>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</si>
  <si>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</si>
  <si>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</si>
  <si>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</si>
  <si>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</si>
  <si>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</si>
  <si>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</si>
  <si>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</si>
  <si>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</si>
  <si>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</si>
  <si>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</si>
  <si>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</si>
  <si>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</si>
  <si>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</si>
  <si>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</si>
  <si>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</si>
  <si>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</si>
  <si>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</si>
  <si>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</si>
  <si>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</si>
  <si>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</si>
  <si>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</si>
  <si>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</si>
  <si>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</si>
  <si>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</si>
  <si>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</si>
  <si>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</si>
  <si>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</si>
  <si>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</si>
  <si>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</si>
  <si>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</si>
  <si>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</si>
  <si>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</si>
  <si>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</si>
  <si>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</si>
  <si>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</si>
  <si>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</si>
  <si>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</si>
  <si>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</si>
  <si>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</si>
  <si>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</si>
  <si>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</si>
  <si>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</si>
  <si>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</si>
  <si>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</si>
  <si>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</si>
  <si>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</si>
  <si>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</si>
  <si>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</si>
  <si>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</si>
  <si>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</si>
  <si>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</si>
  <si>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</si>
  <si>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</si>
  <si>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</si>
  <si>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</si>
  <si>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</si>
  <si>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</si>
  <si>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</si>
  <si>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</si>
  <si>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</si>
  <si>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</si>
  <si>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</si>
  <si>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</si>
  <si>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</si>
  <si>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</si>
  <si>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</si>
  <si>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</si>
  <si>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</si>
  <si>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</si>
  <si>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</si>
  <si>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</si>
  <si>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</si>
  <si>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</si>
  <si>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</si>
  <si>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</si>
  <si>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</si>
  <si>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</si>
  <si>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</si>
  <si>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</si>
  <si>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</si>
  <si>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</si>
  <si>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</si>
  <si>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</si>
  <si>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</si>
  <si>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</si>
  <si>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</si>
  <si>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</si>
  <si>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</si>
  <si>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</si>
  <si>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</si>
  <si>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</si>
  <si>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</si>
  <si>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</si>
  <si>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</si>
  <si>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</si>
  <si>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</si>
  <si>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</si>
  <si>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</si>
  <si>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</si>
  <si>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</si>
  <si>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</si>
  <si>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</si>
  <si>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</si>
  <si>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</si>
  <si>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</si>
  <si>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</si>
  <si>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</si>
  <si>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</si>
  <si>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</si>
  <si>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</si>
  <si>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</si>
  <si>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</si>
  <si>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</si>
  <si>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</si>
  <si>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</si>
  <si>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</si>
  <si>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</si>
  <si>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</si>
  <si>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</si>
  <si>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</si>
  <si>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</si>
  <si>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</si>
  <si>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</si>
  <si>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</si>
  <si>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</si>
  <si>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</si>
  <si>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</si>
  <si>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</si>
  <si>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</si>
  <si>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</si>
  <si>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</si>
  <si>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</si>
  <si>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</si>
  <si>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</si>
  <si>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</si>
  <si>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</si>
  <si>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</si>
  <si>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</si>
  <si>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</si>
  <si>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</si>
  <si>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</si>
  <si>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</si>
  <si>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</si>
  <si>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</si>
  <si>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</si>
  <si>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</si>
  <si>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</si>
  <si>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</si>
  <si>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</si>
  <si>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</si>
  <si>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</si>
  <si>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</si>
  <si>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</si>
  <si>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</si>
  <si>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</si>
  <si>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</si>
  <si>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</si>
  <si>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</si>
  <si>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</si>
  <si>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</si>
  <si>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</si>
  <si>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</si>
  <si>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</si>
  <si>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</si>
  <si>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</si>
  <si>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</si>
  <si>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</si>
  <si>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</si>
  <si>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</si>
  <si>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</si>
  <si>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</si>
  <si>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</si>
  <si>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</si>
  <si>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</si>
  <si>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</si>
  <si>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</si>
  <si>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</si>
  <si>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</si>
  <si>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</si>
  <si>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</si>
  <si>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</si>
  <si>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</si>
  <si>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</si>
  <si>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</si>
  <si>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</si>
  <si>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</si>
  <si>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</si>
  <si>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</si>
  <si>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</si>
  <si>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</si>
  <si>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</si>
  <si>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</si>
  <si>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</si>
  <si>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</si>
  <si>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</si>
  <si>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</si>
  <si>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</si>
  <si>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</si>
  <si>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</si>
  <si>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</si>
  <si>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</si>
  <si>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</si>
  <si>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</si>
  <si>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</si>
  <si>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</si>
  <si>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</si>
  <si>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</si>
  <si>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</si>
  <si>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</si>
  <si>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</si>
  <si>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</si>
  <si>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</si>
  <si>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</si>
  <si>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</si>
  <si>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</si>
  <si>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</si>
  <si>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</si>
  <si>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</si>
  <si>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</si>
  <si>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</si>
  <si>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</si>
  <si>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</si>
  <si>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</si>
  <si>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</si>
  <si>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</si>
  <si>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</si>
  <si>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</si>
  <si>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</si>
  <si>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</si>
  <si>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</si>
  <si>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</si>
  <si>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</si>
  <si>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</si>
  <si>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</si>
  <si>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</si>
  <si>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</si>
  <si>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</si>
  <si>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</si>
  <si>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</si>
  <si>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</si>
  <si>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</si>
  <si>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</si>
  <si>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</si>
  <si>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</si>
  <si>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</si>
  <si>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</si>
  <si>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</si>
  <si>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</si>
  <si>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</si>
  <si>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</si>
  <si>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</si>
  <si>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</si>
  <si>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</si>
  <si>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</si>
  <si>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</si>
  <si>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</si>
  <si>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</si>
  <si>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</si>
  <si>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</si>
  <si>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</si>
  <si>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</si>
  <si>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</si>
  <si>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</si>
  <si>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</si>
  <si>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</si>
  <si>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</si>
  <si>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</si>
  <si>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</si>
  <si>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</si>
  <si>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</si>
  <si>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</si>
  <si>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</si>
  <si>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</si>
  <si>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</si>
  <si>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</si>
  <si>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</si>
  <si>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</si>
  <si>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</si>
  <si>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</si>
  <si>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</si>
  <si>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</si>
  <si>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</si>
  <si>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</si>
  <si>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</si>
  <si>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</si>
  <si>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</si>
  <si>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</si>
  <si>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</si>
  <si>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</si>
  <si>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</si>
  <si>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</si>
  <si>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</si>
  <si>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</si>
  <si>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</si>
  <si>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</si>
  <si>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</si>
  <si>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</si>
  <si>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</si>
  <si>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</si>
  <si>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</si>
  <si>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</si>
  <si>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</si>
  <si>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</si>
  <si>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</si>
  <si>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</si>
  <si>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</si>
  <si>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</si>
  <si>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</si>
  <si>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</si>
  <si>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</si>
  <si>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</si>
  <si>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</si>
  <si>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</si>
  <si>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</si>
  <si>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</si>
  <si>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</si>
  <si>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</si>
  <si>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</si>
  <si>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</si>
  <si>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</si>
  <si>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</si>
  <si>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</si>
  <si>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</si>
  <si>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</si>
  <si>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</si>
  <si>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</si>
  <si>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</si>
  <si>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</si>
  <si>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</si>
  <si>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</si>
  <si>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</si>
  <si>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</si>
  <si>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</si>
  <si>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</si>
  <si>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</si>
  <si>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</si>
  <si>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</si>
  <si>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</si>
  <si>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</si>
  <si>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</si>
  <si>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</si>
  <si>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</si>
  <si>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</si>
  <si>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</si>
  <si>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</si>
  <si>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</si>
  <si>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</si>
  <si>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</si>
  <si>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</si>
  <si>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</si>
  <si>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</si>
  <si>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</si>
  <si>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</si>
  <si>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</si>
  <si>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</si>
  <si>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</si>
  <si>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</si>
  <si>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</si>
  <si>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</si>
  <si>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</si>
  <si>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</si>
  <si>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</si>
  <si>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</si>
  <si>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</si>
  <si>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</si>
  <si>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</si>
  <si>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</si>
  <si>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</si>
  <si>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</si>
  <si>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</si>
  <si>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</si>
  <si>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</si>
  <si>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</si>
  <si>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</si>
  <si>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</si>
  <si>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</si>
  <si>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</si>
  <si>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</si>
  <si>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</si>
  <si>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</si>
  <si>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</si>
  <si>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</si>
  <si>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</si>
  <si>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</si>
  <si>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</si>
  <si>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</si>
  <si>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</si>
  <si>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</si>
  <si>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</si>
  <si>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</si>
  <si>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</si>
  <si>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</si>
  <si>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</si>
  <si>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</si>
  <si>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</si>
  <si>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</si>
  <si>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</si>
  <si>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</si>
  <si>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</si>
  <si>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</si>
  <si>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</si>
  <si>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</si>
  <si>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</si>
  <si>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</si>
  <si>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</si>
  <si>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</si>
  <si>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</si>
  <si>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</si>
  <si>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</si>
  <si>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</si>
  <si>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</si>
  <si>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</si>
  <si>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</si>
  <si>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</si>
  <si>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</si>
  <si>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</si>
  <si>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</si>
  <si>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</si>
  <si>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</si>
  <si>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</si>
  <si>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</si>
  <si>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</si>
  <si>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</si>
  <si>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</si>
  <si>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</si>
  <si>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</si>
  <si>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</si>
  <si>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</si>
  <si>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</si>
  <si>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</si>
  <si>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</si>
  <si>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</si>
  <si>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</si>
  <si>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</si>
  <si>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</si>
  <si>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</si>
  <si>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</si>
  <si>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</si>
  <si>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</si>
  <si>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</si>
  <si>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</si>
  <si>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</si>
  <si>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</si>
  <si>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</si>
  <si>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</si>
  <si>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</si>
  <si>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</si>
  <si>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</si>
  <si>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</si>
  <si>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</si>
  <si>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</si>
  <si>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</si>
  <si>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</si>
  <si>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</si>
  <si>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</si>
  <si>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</si>
  <si>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</si>
  <si>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</si>
  <si>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</si>
  <si>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</si>
  <si>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</si>
  <si>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</si>
  <si>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</si>
  <si>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</si>
  <si>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</si>
  <si>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</si>
  <si>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</si>
  <si>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</si>
  <si>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</si>
  <si>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</si>
  <si>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</si>
  <si>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</si>
  <si>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</si>
  <si>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</si>
  <si>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</si>
  <si>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</si>
  <si>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</si>
  <si>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</si>
  <si>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</si>
  <si>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</si>
  <si>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</si>
  <si>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</si>
  <si>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</si>
  <si>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</si>
  <si>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</si>
  <si>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</si>
  <si>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</si>
  <si>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</si>
  <si>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</si>
  <si>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</si>
  <si>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</si>
  <si>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</si>
  <si>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</si>
  <si>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</si>
  <si>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</si>
  <si>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</si>
  <si>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</si>
  <si>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</si>
  <si>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</si>
  <si>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</si>
  <si>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</si>
  <si>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</si>
  <si>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</si>
  <si>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</si>
  <si>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</si>
  <si>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</si>
  <si>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</si>
  <si>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</si>
  <si>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</si>
  <si>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</si>
  <si>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</si>
  <si>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</si>
  <si>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</si>
  <si>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</si>
  <si>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</si>
  <si>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</si>
  <si>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</si>
  <si>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</si>
  <si>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</si>
  <si>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</si>
  <si>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</si>
  <si>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</si>
  <si>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</si>
  <si>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</si>
  <si>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</si>
  <si>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</si>
  <si>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</si>
  <si>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</si>
  <si>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</si>
  <si>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</si>
  <si>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</si>
  <si>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</si>
  <si>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</si>
  <si>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</si>
  <si>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</si>
  <si>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</si>
  <si>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</si>
  <si>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</si>
  <si>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</si>
  <si>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</si>
  <si>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</si>
  <si>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</si>
  <si>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</si>
  <si>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</si>
  <si>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</si>
  <si>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</si>
  <si>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</si>
  <si>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</si>
  <si>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</si>
  <si>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</si>
  <si>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</si>
  <si>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</si>
  <si>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</si>
  <si>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</si>
  <si>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</si>
  <si>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</si>
  <si>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</si>
  <si>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</si>
  <si>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</si>
  <si>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</si>
  <si>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</si>
  <si>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</si>
  <si>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</si>
  <si>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</si>
  <si>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</si>
  <si>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</si>
  <si>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</si>
  <si>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</si>
  <si>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</si>
  <si>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</si>
  <si>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</si>
  <si>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</si>
  <si>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</si>
  <si>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</si>
  <si>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</si>
  <si>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</si>
  <si>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</si>
  <si>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</si>
  <si>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</si>
  <si>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</si>
  <si>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</si>
  <si>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</si>
  <si>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</si>
  <si>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</si>
  <si>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</si>
  <si>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</si>
  <si>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</si>
  <si>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</si>
  <si>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</si>
  <si>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</si>
  <si>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</si>
  <si>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</si>
  <si>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</si>
  <si>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</si>
  <si>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</si>
  <si>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</si>
  <si>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</si>
  <si>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</si>
  <si>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</si>
  <si>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</si>
  <si>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</si>
  <si>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</si>
  <si>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</si>
  <si>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</si>
  <si>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</si>
  <si>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</si>
  <si>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</si>
  <si>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</si>
  <si>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</si>
  <si>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</si>
  <si>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</si>
  <si>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</si>
  <si>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</si>
  <si>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</si>
  <si>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</si>
  <si>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</si>
  <si>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</si>
  <si>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</si>
  <si>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</si>
  <si>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</si>
  <si>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</si>
  <si>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</si>
  <si>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</si>
  <si>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</si>
  <si>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</si>
  <si>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</si>
  <si>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</si>
  <si>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</si>
  <si>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</si>
  <si>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</si>
  <si>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</si>
  <si>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</si>
  <si>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</si>
  <si>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</si>
  <si>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</si>
  <si>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</si>
  <si>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</si>
  <si>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</si>
  <si>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</si>
  <si>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</si>
  <si>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</si>
  <si>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</si>
  <si>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</si>
  <si>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</si>
  <si>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</si>
  <si>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</si>
  <si>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</si>
  <si>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</si>
  <si>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</si>
  <si>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</si>
  <si>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</si>
  <si>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</si>
  <si>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</si>
  <si>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</si>
  <si>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</si>
  <si>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</si>
  <si>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</si>
  <si>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</si>
  <si>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</si>
  <si>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</si>
  <si>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</si>
  <si>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</si>
  <si>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</si>
  <si>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</si>
  <si>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</si>
  <si>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</si>
  <si>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</si>
  <si>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</si>
  <si>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</si>
  <si>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</si>
  <si>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</si>
  <si>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</si>
  <si>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</si>
  <si>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</si>
  <si>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</si>
  <si>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</si>
  <si>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</si>
  <si>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</si>
  <si>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</si>
  <si>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</si>
  <si>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</si>
  <si>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</si>
  <si>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</si>
  <si>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</si>
  <si>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</si>
  <si>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</si>
  <si>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</si>
  <si>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</si>
  <si>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</si>
  <si>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</si>
  <si>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</si>
  <si>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</si>
  <si>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</si>
  <si>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</si>
  <si>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</si>
  <si>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</si>
  <si>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</si>
  <si>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</si>
  <si>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</si>
  <si>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</si>
  <si>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</si>
  <si>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</si>
  <si>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</si>
  <si>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</si>
  <si>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</si>
  <si>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</si>
  <si>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</si>
  <si>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</si>
  <si>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</si>
  <si>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</si>
  <si>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</si>
  <si>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</si>
  <si>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</si>
  <si>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</si>
  <si>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</si>
  <si>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</si>
  <si>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</si>
  <si>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</si>
  <si>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</si>
  <si>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</si>
  <si>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</si>
  <si>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</si>
  <si>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</si>
  <si>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</si>
  <si>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</si>
  <si>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</si>
  <si>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</si>
  <si>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</si>
  <si>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</si>
  <si>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</si>
  <si>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</si>
  <si>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</si>
  <si>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</si>
  <si>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</si>
  <si>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</si>
  <si>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</si>
  <si>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</si>
  <si>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</si>
  <si>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</si>
  <si>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</si>
  <si>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</si>
  <si>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</si>
  <si>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</si>
  <si>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</si>
  <si>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</si>
  <si>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</si>
  <si>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</si>
  <si>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</si>
  <si>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</si>
  <si>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</si>
  <si>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</si>
  <si>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</si>
  <si>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</si>
  <si>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</si>
  <si>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</si>
  <si>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</si>
  <si>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</si>
  <si>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</si>
  <si>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</si>
  <si>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</si>
  <si>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</si>
  <si>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</si>
  <si>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</si>
  <si>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</si>
  <si>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</si>
  <si>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</si>
  <si>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</si>
  <si>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</si>
  <si>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</si>
  <si>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</si>
  <si>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</si>
  <si>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</si>
  <si>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</si>
  <si>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</si>
  <si>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</si>
  <si>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</si>
  <si>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</si>
  <si>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</si>
  <si>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</si>
  <si>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</si>
  <si>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</si>
  <si>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</si>
  <si>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</si>
  <si>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</si>
  <si>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</si>
  <si>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</si>
  <si>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</si>
  <si>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</si>
  <si>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</si>
  <si>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</si>
  <si>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</si>
  <si>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</si>
  <si>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</si>
  <si>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</si>
  <si>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</si>
  <si>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</si>
  <si>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</si>
  <si>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</si>
  <si>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</si>
  <si>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</si>
  <si>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</si>
  <si>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</si>
  <si>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</si>
  <si>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</si>
  <si>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</si>
  <si>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</si>
  <si>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</si>
  <si>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</si>
  <si>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</si>
  <si>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</si>
  <si>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</si>
  <si>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</si>
  <si>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</si>
  <si>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</si>
  <si>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</si>
  <si>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</si>
  <si>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</si>
  <si>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</si>
  <si>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</si>
  <si>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</si>
  <si>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</si>
  <si>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</si>
  <si>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</si>
  <si>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</si>
  <si>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</si>
  <si>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</si>
  <si>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</si>
  <si>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</si>
  <si>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</si>
  <si>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</si>
  <si>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</si>
  <si>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</si>
  <si>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</si>
  <si>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</si>
  <si>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</si>
  <si>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</si>
  <si>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</si>
  <si>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</si>
  <si>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</si>
  <si>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</si>
  <si>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</si>
  <si>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</si>
  <si>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</si>
  <si>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</si>
  <si>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</si>
  <si>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</si>
  <si>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</si>
  <si>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</si>
  <si>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</si>
  <si>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</si>
  <si>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</si>
  <si>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</si>
  <si>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</si>
  <si>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</si>
  <si>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</si>
  <si>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</si>
  <si>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</si>
  <si>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</si>
  <si>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</si>
  <si>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</si>
  <si>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</si>
  <si>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</si>
  <si>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</si>
  <si>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</si>
  <si>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</si>
  <si>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</si>
  <si>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</si>
  <si>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</si>
  <si>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</si>
  <si>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</si>
  <si>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</si>
  <si>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</si>
  <si>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</si>
  <si>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</si>
  <si>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</si>
  <si>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</si>
  <si>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</si>
  <si>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</si>
  <si>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</si>
  <si>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</si>
  <si>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</si>
  <si>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</si>
  <si>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</si>
  <si>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</si>
  <si>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</si>
  <si>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</si>
  <si>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</si>
  <si>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</si>
  <si>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</si>
  <si>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</si>
  <si>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</si>
  <si>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</si>
  <si>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</si>
  <si>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</si>
  <si>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</si>
  <si>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</si>
  <si>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</si>
  <si>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</si>
  <si>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</si>
  <si>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</si>
  <si>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</si>
  <si>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</si>
  <si>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</si>
  <si>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</si>
  <si>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</si>
  <si>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</si>
  <si>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</si>
  <si>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</si>
  <si>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</si>
  <si>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</si>
  <si>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</si>
  <si>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</si>
  <si>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</si>
  <si>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</si>
  <si>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</si>
  <si>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</si>
  <si>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</si>
  <si>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</si>
  <si>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</si>
  <si>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</si>
  <si>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</si>
  <si>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</si>
  <si>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</si>
  <si>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</si>
  <si>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</si>
  <si>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</si>
  <si>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</si>
  <si>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</si>
  <si>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</si>
  <si>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</si>
  <si>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</si>
  <si>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</si>
  <si>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</si>
  <si>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</si>
  <si>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</si>
  <si>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</si>
  <si>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</si>
  <si>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</si>
  <si>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</si>
  <si>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</si>
  <si>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</si>
  <si>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</si>
  <si>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</si>
  <si>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</si>
  <si>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</si>
  <si>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</si>
  <si>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</si>
  <si>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</si>
  <si>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</si>
  <si>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</si>
  <si>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</si>
  <si>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</si>
  <si>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</si>
  <si>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</si>
  <si>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</si>
  <si>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</si>
  <si>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</si>
  <si>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</si>
  <si>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</si>
  <si>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</si>
  <si>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</si>
  <si>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</si>
  <si>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</si>
  <si>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</si>
  <si>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</si>
  <si>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</si>
  <si>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</si>
  <si>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</si>
  <si>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</si>
  <si>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</si>
  <si>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</si>
  <si>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</si>
  <si>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</si>
  <si>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</si>
  <si>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</si>
  <si>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</si>
  <si>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</si>
  <si>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</si>
  <si>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</si>
  <si>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</si>
  <si>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</si>
  <si>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</si>
  <si>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</si>
  <si>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</si>
  <si>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</si>
  <si>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</si>
  <si>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</si>
  <si>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</si>
  <si>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</si>
  <si>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</si>
  <si>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</si>
  <si>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</si>
  <si>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</si>
  <si>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</si>
  <si>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</si>
  <si>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</si>
  <si>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</si>
  <si>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</si>
  <si>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</si>
  <si>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</si>
  <si>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</si>
  <si>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</si>
  <si>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</si>
  <si>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</si>
  <si>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</si>
  <si>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</si>
  <si>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</si>
  <si>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</si>
  <si>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</si>
  <si>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</si>
  <si>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</si>
  <si>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</si>
  <si>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</si>
  <si>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</si>
  <si>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</si>
  <si>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</si>
  <si>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</si>
  <si>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</si>
  <si>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</si>
  <si>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</si>
  <si>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</si>
  <si>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</si>
  <si>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</si>
  <si>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</si>
  <si>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</si>
  <si>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</si>
  <si>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</si>
  <si>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</si>
  <si>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</si>
  <si>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</si>
  <si>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</si>
  <si>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</si>
  <si>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</si>
  <si>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</si>
  <si>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</si>
  <si>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</si>
  <si>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</si>
  <si>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</si>
  <si>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</si>
  <si>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</si>
  <si>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</si>
  <si>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</si>
  <si>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</si>
  <si>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</si>
  <si>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</si>
  <si>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</si>
  <si>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</si>
  <si>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</si>
  <si>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</si>
  <si>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</si>
  <si>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</si>
  <si>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</si>
  <si>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</si>
  <si>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</si>
  <si>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</si>
  <si>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</si>
  <si>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</si>
  <si>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</si>
  <si>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</si>
  <si>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</si>
  <si>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</si>
  <si>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</si>
  <si>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</si>
  <si>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</si>
  <si>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</si>
  <si>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</si>
  <si>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</si>
  <si>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</si>
  <si>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</si>
  <si>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</si>
  <si>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</si>
  <si>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</si>
  <si>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</si>
  <si>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</si>
  <si>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</si>
  <si>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</si>
  <si>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</si>
  <si>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</si>
  <si>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</si>
  <si>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</si>
  <si>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</si>
  <si>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</si>
  <si>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</si>
  <si>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</si>
  <si>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</si>
  <si>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</si>
  <si>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</si>
  <si>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</si>
  <si>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</si>
  <si>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</si>
  <si>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</si>
  <si>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</si>
  <si>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</si>
  <si>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</si>
  <si>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</si>
  <si>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</si>
  <si>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</si>
  <si>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</si>
  <si>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</si>
  <si>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</si>
  <si>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</si>
  <si>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</si>
  <si>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</si>
  <si>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</si>
  <si>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</si>
  <si>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</si>
  <si>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</si>
  <si>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</si>
  <si>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</si>
  <si>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</si>
  <si>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</si>
  <si>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</si>
  <si>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</si>
  <si>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</si>
  <si>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</si>
  <si>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</si>
  <si>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</si>
  <si>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</si>
  <si>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</si>
  <si>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</si>
  <si>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</si>
  <si>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</si>
  <si>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</si>
  <si>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</si>
  <si>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</si>
  <si>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</si>
  <si>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</si>
  <si>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</si>
  <si>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</si>
  <si>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</si>
  <si>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</si>
  <si>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</si>
  <si>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</si>
  <si>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</si>
  <si>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</si>
  <si>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</si>
  <si>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</si>
  <si>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</si>
  <si>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</si>
  <si>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</si>
  <si>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</si>
  <si>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</si>
  <si>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</si>
  <si>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</si>
  <si>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</si>
  <si>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</si>
  <si>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</si>
  <si>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</si>
  <si>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</si>
  <si>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</si>
  <si>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</si>
  <si>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</si>
  <si>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</si>
  <si>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</si>
  <si>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</si>
  <si>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</si>
  <si>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</si>
  <si>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</si>
  <si>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</si>
  <si>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</si>
  <si>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</si>
  <si>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</si>
  <si>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</si>
  <si>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</si>
  <si>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</si>
  <si>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</si>
  <si>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</si>
  <si>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</si>
  <si>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</si>
  <si>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</si>
  <si>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</si>
  <si>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</si>
  <si>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</si>
  <si>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</si>
  <si>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</si>
  <si>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</si>
  <si>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</si>
  <si>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</si>
  <si>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</si>
  <si>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</si>
  <si>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</si>
  <si>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</si>
  <si>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</si>
  <si>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</si>
  <si>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</si>
  <si>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</si>
  <si>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</si>
  <si>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</si>
  <si>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</si>
  <si>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</si>
  <si>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</si>
  <si>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</si>
  <si>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</si>
  <si>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</si>
  <si>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</si>
  <si>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</si>
  <si>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</si>
  <si>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</si>
  <si>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</si>
  <si>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</si>
  <si>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</si>
  <si>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</si>
  <si>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</si>
  <si>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</si>
  <si>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</si>
  <si>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</si>
  <si>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</si>
  <si>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</si>
  <si>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</si>
  <si>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</si>
  <si>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</si>
  <si>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</si>
  <si>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</si>
  <si>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</si>
  <si>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</si>
  <si>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</si>
  <si>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</si>
  <si>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</si>
  <si>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</si>
  <si>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</si>
  <si>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</si>
  <si>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</si>
  <si>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</si>
  <si>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</si>
  <si>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</si>
  <si>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</si>
  <si>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</si>
  <si>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</si>
  <si>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</si>
  <si>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</si>
  <si>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</si>
  <si>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</si>
  <si>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</si>
  <si>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</si>
  <si>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</si>
  <si>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</si>
  <si>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</si>
  <si>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</si>
  <si>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</si>
  <si>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</si>
  <si>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</si>
  <si>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</si>
  <si>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</si>
  <si>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</si>
  <si>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</si>
  <si>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</si>
  <si>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</si>
  <si>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</si>
  <si>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</si>
  <si>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</si>
  <si>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</si>
  <si>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</si>
  <si>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</si>
  <si>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</si>
  <si>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</si>
  <si>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</si>
  <si>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</si>
  <si>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</si>
  <si>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</si>
  <si>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</si>
  <si>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</si>
  <si>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</si>
  <si>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</si>
  <si>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</si>
  <si>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</si>
  <si>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</si>
  <si>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</si>
  <si>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</si>
  <si>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</si>
  <si>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</si>
  <si>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</si>
  <si>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</si>
  <si>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</si>
  <si>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</si>
  <si>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</si>
  <si>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</si>
  <si>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</si>
  <si>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</si>
  <si>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</si>
  <si>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</si>
  <si>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</si>
  <si>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</si>
  <si>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</si>
  <si>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</si>
  <si>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</si>
  <si>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</si>
  <si>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</si>
  <si>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</si>
  <si>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</si>
  <si>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</si>
  <si>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</si>
  <si>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</si>
  <si>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</si>
  <si>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</si>
  <si>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</si>
  <si>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</si>
  <si>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</si>
  <si>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</si>
  <si>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</si>
  <si>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</si>
  <si>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</si>
  <si>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</si>
  <si>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</si>
  <si>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</si>
  <si>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</si>
  <si>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</si>
  <si>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</si>
  <si>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</si>
  <si>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</si>
  <si>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</si>
  <si>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</si>
  <si>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</si>
  <si>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</si>
  <si>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</si>
  <si>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</si>
  <si>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</si>
  <si>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</si>
  <si>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</si>
  <si>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</si>
  <si>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</si>
  <si>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</si>
  <si>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</si>
  <si>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</si>
  <si>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</si>
  <si>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</si>
  <si>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</si>
  <si>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</si>
  <si>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</si>
  <si>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</si>
  <si>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</si>
  <si>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</si>
  <si>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</si>
  <si>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</si>
  <si>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</si>
  <si>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</si>
  <si>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</si>
  <si>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</si>
  <si>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</si>
  <si>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</si>
  <si>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</si>
  <si>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</si>
  <si>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</si>
  <si>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</si>
  <si>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</si>
  <si>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</si>
  <si>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</si>
  <si>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</si>
  <si>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</si>
  <si>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</si>
  <si>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</si>
  <si>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</si>
  <si>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</si>
  <si>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</si>
  <si>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</si>
  <si>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</si>
  <si>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</si>
  <si>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</si>
  <si>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</si>
  <si>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</si>
  <si>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</si>
  <si>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</si>
  <si>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</si>
  <si>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</si>
  <si>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</si>
  <si>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</si>
  <si>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</si>
  <si>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</si>
  <si>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</si>
  <si>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</si>
  <si>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</si>
  <si>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</si>
  <si>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</si>
  <si>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</si>
  <si>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</si>
  <si>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</si>
  <si>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</si>
  <si>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</si>
  <si>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</si>
  <si>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</si>
  <si>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</si>
  <si>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</si>
  <si>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</si>
  <si>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</si>
  <si>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</si>
  <si>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</si>
  <si>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</si>
  <si>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</si>
  <si>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</si>
  <si>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</si>
  <si>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</si>
  <si>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</si>
  <si>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</si>
  <si>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</si>
  <si>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</si>
  <si>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</si>
  <si>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</si>
  <si>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</si>
  <si>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</si>
  <si>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</si>
  <si>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</si>
  <si>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</si>
  <si>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</si>
  <si>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</si>
  <si>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</si>
  <si>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</si>
  <si>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</si>
  <si>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</si>
  <si>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</si>
  <si>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</si>
  <si>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</si>
  <si>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</si>
  <si>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</si>
  <si>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</si>
  <si>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</si>
  <si>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</si>
  <si>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</si>
  <si>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</si>
  <si>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</si>
  <si>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</si>
  <si>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</si>
  <si>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</si>
  <si>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</si>
  <si>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</si>
  <si>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</si>
  <si>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</si>
  <si>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</si>
  <si>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</si>
  <si>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</si>
  <si>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</si>
  <si>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</si>
  <si>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</si>
  <si>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</si>
  <si>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</si>
  <si>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</si>
  <si>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</si>
  <si>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</si>
  <si>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</si>
  <si>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</si>
  <si>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</si>
  <si>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</si>
  <si>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</si>
  <si>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</si>
  <si>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</si>
  <si>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</si>
  <si>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</si>
  <si>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</si>
  <si>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</si>
  <si>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</si>
  <si>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</si>
  <si>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</si>
  <si>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</si>
  <si>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</si>
  <si>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</si>
  <si>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</si>
  <si>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</si>
  <si>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</si>
  <si>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</si>
  <si>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</si>
  <si>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</si>
  <si>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</si>
  <si>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</si>
  <si>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</si>
  <si>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</si>
  <si>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</si>
  <si>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</si>
  <si>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</si>
  <si>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</si>
  <si>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</si>
  <si>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</si>
  <si>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</si>
  <si>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</si>
  <si>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</si>
  <si>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</si>
  <si>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</si>
  <si>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</si>
  <si>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</si>
  <si>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</si>
  <si>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</si>
  <si>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</si>
  <si>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</si>
  <si>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</si>
  <si>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</si>
  <si>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</si>
  <si>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</si>
  <si>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</si>
  <si>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</si>
  <si>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</si>
  <si>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</si>
  <si>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</si>
  <si>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</si>
  <si>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</si>
  <si>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</si>
  <si>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</si>
  <si>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</si>
  <si>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</si>
  <si>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</si>
  <si>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</si>
  <si>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</si>
  <si>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</si>
  <si>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</si>
  <si>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</si>
  <si>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</si>
  <si>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</si>
  <si>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</si>
  <si>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</si>
  <si>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</si>
  <si>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</si>
  <si>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</si>
  <si>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</si>
  <si>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</si>
  <si>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</si>
  <si>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</si>
  <si>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</si>
  <si>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</si>
  <si>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</si>
  <si>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</si>
  <si>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</si>
  <si>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</si>
  <si>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</si>
  <si>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</si>
  <si>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</si>
  <si>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</si>
  <si>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</si>
  <si>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</si>
  <si>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</si>
  <si>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</si>
  <si>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</si>
  <si>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</si>
  <si>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</si>
  <si>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</si>
  <si>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</si>
  <si>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</si>
  <si>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</si>
  <si>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</si>
  <si>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</si>
  <si>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</si>
  <si>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</si>
  <si>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</si>
  <si>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</si>
  <si>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</si>
  <si>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</si>
  <si>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</si>
  <si>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</si>
  <si>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</si>
  <si>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</si>
  <si>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</si>
  <si>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</si>
  <si>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</si>
  <si>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</si>
  <si>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</si>
  <si>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</si>
  <si>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</si>
  <si>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</si>
  <si>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</si>
  <si>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</si>
  <si>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</si>
  <si>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</si>
  <si>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</si>
  <si>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</si>
  <si>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</si>
  <si>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</si>
  <si>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</si>
  <si>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</si>
  <si>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</si>
  <si>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</si>
  <si>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</si>
  <si>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</si>
  <si>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</si>
  <si>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</si>
  <si>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</si>
  <si>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</si>
  <si>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</si>
  <si>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</si>
  <si>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</si>
  <si>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</si>
  <si>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</si>
  <si>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</si>
  <si>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</si>
  <si>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</si>
  <si>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</si>
  <si>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</si>
  <si>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</si>
  <si>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</si>
  <si>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</si>
  <si>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</si>
  <si>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</si>
  <si>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</si>
  <si>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</si>
  <si>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</si>
  <si>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</si>
  <si>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</si>
  <si>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</si>
  <si>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</si>
  <si>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</si>
  <si>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</si>
  <si>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</si>
  <si>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</si>
  <si>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</si>
  <si>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</si>
  <si>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</si>
  <si>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</si>
  <si>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</si>
  <si>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</si>
  <si>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</si>
  <si>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</si>
  <si>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</si>
  <si>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</si>
  <si>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</si>
  <si>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</si>
  <si>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</si>
  <si>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</si>
  <si>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</si>
  <si>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</si>
  <si>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</si>
  <si>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</si>
  <si>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</si>
  <si>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</si>
  <si>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</si>
  <si>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</si>
  <si>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</si>
  <si>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</si>
  <si>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</si>
  <si>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</si>
  <si>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</si>
  <si>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</si>
  <si>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</si>
  <si>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</si>
  <si>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</si>
  <si>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</si>
  <si>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</si>
  <si>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</si>
  <si>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</si>
  <si>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</si>
  <si>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</si>
  <si>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</si>
  <si>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</si>
  <si>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</si>
  <si>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</si>
  <si>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</si>
  <si>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</si>
  <si>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</si>
  <si>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</si>
  <si>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</si>
  <si>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</si>
  <si>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</si>
  <si>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</si>
  <si>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</si>
  <si>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</si>
  <si>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</si>
  <si>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</si>
  <si>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</si>
  <si>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</si>
  <si>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</si>
  <si>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</si>
  <si>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</si>
  <si>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</si>
  <si>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</si>
  <si>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</si>
  <si>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</si>
  <si>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</si>
  <si>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</si>
  <si>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</si>
  <si>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</si>
  <si>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</si>
  <si>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</si>
  <si>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</si>
  <si>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</si>
  <si>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</si>
  <si>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</si>
  <si>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</si>
  <si>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</si>
  <si>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</si>
  <si>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</si>
  <si>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</si>
  <si>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</si>
  <si>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</si>
  <si>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</si>
  <si>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</si>
  <si>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</si>
  <si>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</si>
  <si>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</si>
  <si>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</si>
  <si>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</si>
  <si>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</si>
  <si>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</si>
  <si>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</si>
  <si>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</si>
  <si>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</si>
  <si>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</si>
  <si>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</si>
  <si>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</si>
  <si>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</si>
  <si>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</si>
  <si>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</si>
  <si>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</si>
  <si>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</si>
  <si>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</si>
  <si>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</si>
  <si>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</si>
  <si>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</si>
  <si>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</si>
  <si>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</si>
  <si>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</si>
  <si>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</si>
  <si>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</si>
  <si>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</si>
  <si>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</si>
  <si>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</si>
  <si>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</si>
  <si>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</si>
  <si>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</si>
  <si>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</si>
  <si>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</si>
  <si>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</si>
  <si>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</si>
  <si>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</si>
  <si>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</si>
  <si>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</si>
  <si>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</si>
  <si>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</si>
  <si>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</si>
  <si>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</si>
  <si>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</si>
  <si>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</si>
  <si>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</si>
  <si>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</si>
  <si>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</si>
  <si>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</si>
  <si>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</si>
  <si>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</si>
  <si>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</si>
  <si>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</si>
  <si>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</si>
  <si>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</si>
  <si>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</si>
  <si>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</si>
  <si>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</si>
  <si>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</si>
  <si>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</si>
  <si>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</si>
  <si>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</si>
  <si>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</si>
  <si>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</si>
  <si>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</si>
  <si>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</si>
  <si>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</si>
  <si>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</si>
  <si>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</si>
  <si>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</si>
  <si>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</si>
  <si>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</si>
  <si>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</si>
  <si>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</si>
  <si>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</si>
  <si>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</si>
  <si>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</si>
  <si>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</si>
  <si>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</si>
  <si>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</si>
  <si>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</si>
  <si>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</si>
  <si>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</si>
  <si>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</si>
  <si>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</si>
  <si>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</si>
  <si>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</si>
  <si>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</si>
  <si>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</si>
  <si>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</si>
  <si>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</si>
  <si>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</si>
  <si>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</si>
  <si>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</si>
  <si>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</si>
  <si>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</si>
  <si>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</si>
  <si>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</si>
  <si>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</si>
  <si>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</si>
  <si>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</si>
  <si>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</si>
  <si>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</si>
  <si>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</si>
  <si>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</si>
  <si>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</si>
  <si>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</si>
  <si>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</si>
  <si>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</si>
  <si>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</si>
  <si>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</si>
  <si>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</si>
  <si>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</si>
  <si>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</si>
  <si>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</si>
  <si>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</si>
  <si>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</si>
  <si>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</si>
  <si>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</si>
  <si>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</si>
  <si>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</si>
  <si>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</si>
  <si>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</si>
  <si>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</si>
  <si>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</si>
  <si>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</si>
  <si>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</si>
  <si>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</si>
  <si>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</si>
  <si>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</si>
  <si>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</si>
  <si>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</si>
  <si>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</si>
  <si>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</si>
  <si>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</si>
  <si>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</si>
  <si>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</si>
  <si>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</si>
  <si>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</si>
  <si>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</si>
  <si>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</si>
  <si>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</si>
  <si>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</si>
  <si>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</si>
  <si>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</si>
  <si>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</si>
  <si>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</si>
  <si>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</si>
  <si>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</si>
  <si>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</si>
  <si>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</si>
  <si>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</si>
  <si>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</si>
  <si>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</si>
  <si>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</si>
  <si>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</si>
  <si>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</si>
  <si>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</si>
  <si>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</si>
  <si>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</si>
  <si>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</si>
  <si>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</si>
  <si>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</si>
  <si>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</si>
  <si>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</si>
  <si>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</si>
  <si>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</si>
  <si>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</si>
  <si>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</si>
  <si>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</si>
  <si>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</si>
  <si>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</si>
  <si>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</si>
  <si>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</si>
  <si>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</si>
  <si>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</si>
  <si>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</si>
  <si>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</si>
  <si>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</si>
  <si>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</si>
  <si>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</si>
  <si>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</si>
  <si>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</si>
  <si>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</si>
  <si>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</si>
  <si>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</si>
  <si>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</si>
  <si>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</si>
  <si>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</si>
  <si>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</si>
  <si>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</si>
  <si>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</si>
  <si>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</si>
  <si>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</si>
  <si>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</si>
  <si>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</si>
  <si>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</si>
  <si>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</si>
  <si>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</si>
  <si>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</si>
  <si>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</si>
  <si>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</si>
  <si>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</si>
  <si>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</si>
  <si>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</si>
  <si>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</si>
  <si>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</si>
  <si>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</si>
  <si>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</si>
  <si>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</si>
  <si>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</si>
  <si>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</si>
  <si>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</si>
  <si>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</si>
  <si>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</si>
  <si>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</si>
  <si>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</si>
  <si>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</si>
  <si>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</si>
  <si>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</si>
  <si>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</si>
  <si>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</si>
  <si>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</si>
  <si>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</si>
  <si>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</si>
  <si>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</si>
  <si>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</si>
  <si>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</si>
  <si>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</si>
  <si>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</si>
  <si>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</si>
  <si>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</si>
  <si>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</si>
  <si>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</si>
  <si>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</si>
  <si>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</si>
  <si>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</si>
  <si>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</si>
  <si>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</si>
  <si>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</si>
  <si>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</si>
  <si>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</si>
  <si>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</si>
  <si>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</si>
  <si>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</si>
  <si>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</si>
  <si>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</si>
  <si>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</si>
  <si>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</si>
  <si>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</si>
  <si>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</si>
  <si>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</si>
  <si>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</si>
  <si>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</si>
  <si>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</si>
  <si>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</si>
  <si>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</si>
  <si>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</si>
  <si>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</si>
  <si>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</si>
  <si>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</si>
  <si>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</si>
  <si>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</si>
  <si>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</si>
  <si>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</si>
  <si>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</si>
  <si>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</si>
  <si>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</si>
  <si>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</si>
  <si>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</si>
  <si>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</si>
  <si>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</si>
  <si>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</si>
  <si>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</si>
  <si>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</si>
  <si>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</si>
  <si>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</si>
  <si>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</si>
  <si>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</si>
  <si>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</si>
  <si>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</si>
  <si>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</si>
  <si>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</si>
  <si>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</si>
  <si>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</si>
  <si>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</si>
  <si>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</si>
  <si>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</si>
  <si>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</si>
  <si>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</si>
  <si>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</si>
  <si>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</si>
  <si>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</si>
  <si>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</si>
  <si>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</si>
  <si>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</si>
  <si>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</si>
  <si>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</si>
  <si>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</si>
  <si>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</si>
  <si>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</si>
  <si>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</si>
  <si>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</si>
  <si>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</si>
  <si>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</si>
  <si>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</si>
  <si>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</si>
  <si>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</si>
  <si>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</si>
  <si>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</si>
  <si>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</si>
  <si>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</si>
  <si>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</si>
  <si>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</si>
  <si>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</si>
  <si>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</si>
  <si>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</si>
  <si>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</si>
  <si>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</si>
  <si>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</si>
  <si>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</si>
  <si>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</si>
  <si>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</si>
  <si>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</si>
  <si>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</si>
  <si>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</si>
  <si>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</si>
  <si>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</si>
  <si>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</si>
  <si>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</si>
  <si>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</si>
  <si>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</si>
  <si>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</si>
  <si>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</si>
  <si>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</si>
  <si>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</si>
  <si>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</si>
  <si>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</si>
  <si>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</si>
  <si>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</si>
  <si>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</si>
  <si>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</si>
  <si>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</si>
  <si>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</si>
  <si>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</si>
  <si>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</si>
  <si>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</si>
  <si>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</si>
  <si>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</si>
  <si>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</si>
  <si>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</si>
  <si>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</si>
  <si>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</si>
  <si>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</si>
  <si>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</si>
  <si>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</si>
  <si>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</si>
  <si>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</si>
  <si>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</si>
  <si>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</si>
  <si>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</si>
  <si>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</si>
  <si>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</si>
  <si>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</si>
  <si>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</si>
  <si>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</si>
  <si>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</si>
  <si>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</si>
  <si>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</si>
  <si>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</si>
  <si>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</si>
  <si>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</si>
  <si>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</si>
  <si>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</si>
  <si>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</si>
  <si>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</si>
  <si>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</si>
  <si>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</si>
  <si>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</si>
  <si>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</si>
  <si>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</si>
  <si>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</si>
  <si>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</si>
  <si>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</si>
  <si>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</si>
  <si>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</si>
  <si>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</si>
  <si>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</si>
  <si>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</si>
  <si>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</si>
  <si>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</si>
  <si>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</si>
  <si>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</si>
  <si>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</si>
  <si>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</si>
  <si>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</si>
  <si>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</si>
  <si>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</si>
  <si>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</si>
  <si>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</si>
  <si>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</si>
  <si>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</si>
  <si>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</si>
  <si>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</si>
  <si>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</si>
  <si>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</si>
  <si>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</si>
  <si>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</si>
  <si>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</si>
  <si>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</si>
  <si>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</si>
  <si>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</si>
  <si>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</si>
  <si>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</si>
  <si>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</si>
  <si>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</si>
  <si>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</si>
  <si>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</si>
  <si>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</si>
  <si>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</si>
  <si>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</si>
  <si>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</si>
  <si>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</si>
  <si>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</si>
  <si>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</si>
  <si>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</si>
  <si>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</si>
  <si>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</si>
  <si>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</si>
  <si>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</si>
  <si>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</si>
  <si>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</si>
  <si>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</si>
  <si>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</si>
  <si>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</si>
  <si>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</si>
  <si>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</si>
  <si>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</si>
  <si>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</si>
  <si>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</si>
  <si>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</si>
  <si>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</si>
  <si>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</si>
  <si>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</si>
  <si>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</si>
  <si>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</si>
  <si>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</si>
  <si>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</si>
  <si>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</si>
  <si>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</si>
  <si>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</si>
  <si>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</si>
  <si>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</si>
  <si>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</si>
  <si>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</si>
  <si>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</si>
  <si>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</si>
  <si>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</si>
  <si>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</si>
  <si>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</si>
  <si>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</si>
  <si>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</si>
  <si>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</si>
  <si>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</si>
  <si>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</si>
  <si>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</si>
  <si>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</si>
  <si>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</si>
  <si>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</si>
  <si>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</si>
  <si>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</si>
  <si>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</si>
  <si>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</si>
  <si>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</si>
  <si>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</si>
  <si>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</si>
  <si>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</si>
  <si>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</si>
  <si>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</si>
  <si>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</si>
  <si>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</si>
  <si>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</si>
  <si>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</si>
  <si>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</si>
  <si>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</si>
  <si>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</si>
  <si>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</si>
  <si>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</si>
  <si>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</si>
  <si>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</si>
  <si>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</si>
  <si>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</si>
  <si>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</si>
  <si>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</si>
  <si>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</si>
  <si>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</si>
  <si>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</si>
  <si>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</si>
  <si>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</si>
  <si>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</si>
  <si>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</si>
  <si>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</si>
  <si>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</si>
  <si>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</si>
  <si>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</si>
  <si>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</si>
  <si>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</si>
  <si>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</si>
  <si>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</si>
  <si>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</si>
  <si>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</si>
  <si>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</si>
  <si>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</si>
  <si>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</si>
  <si>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</si>
  <si>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</si>
  <si>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</si>
  <si>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</si>
  <si>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</si>
  <si>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</si>
  <si>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</si>
  <si>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</si>
  <si>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</si>
  <si>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</si>
  <si>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</si>
  <si>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</si>
  <si>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</si>
  <si>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</si>
  <si>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</si>
  <si>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</si>
  <si>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</si>
  <si>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</si>
  <si>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</si>
  <si>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</si>
  <si>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</si>
  <si>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</si>
  <si>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</si>
  <si>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</si>
  <si>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</si>
  <si>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</si>
  <si>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</si>
  <si>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</si>
  <si>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</si>
  <si>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</si>
  <si>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</si>
  <si>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</si>
  <si>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</si>
  <si>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</si>
  <si>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</si>
  <si>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</si>
  <si>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</si>
  <si>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</si>
  <si>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</si>
  <si>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</si>
  <si>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</si>
  <si>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</si>
  <si>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</si>
  <si>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</si>
  <si>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</si>
  <si>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</si>
  <si>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</si>
  <si>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</si>
  <si>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</si>
  <si>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</si>
  <si>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</si>
  <si>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</si>
  <si>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</si>
  <si>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</si>
  <si>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</si>
  <si>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</si>
  <si>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</si>
  <si>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</si>
  <si>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</si>
  <si>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</si>
  <si>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</si>
  <si>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</si>
  <si>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</si>
  <si>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</si>
  <si>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</si>
  <si>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</si>
  <si>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</si>
  <si>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</si>
  <si>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</si>
  <si>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</si>
  <si>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</si>
  <si>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</si>
  <si>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</si>
  <si>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</si>
  <si>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</si>
  <si>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</si>
  <si>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</si>
  <si>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</si>
  <si>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</si>
  <si>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</si>
  <si>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</si>
  <si>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</si>
  <si>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</si>
  <si>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</si>
  <si>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</si>
  <si>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</si>
  <si>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</si>
  <si>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</si>
  <si>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</si>
  <si>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</si>
  <si>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</si>
  <si>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</si>
  <si>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</si>
  <si>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</si>
  <si>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</si>
  <si>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</si>
  <si>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</si>
  <si>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</si>
  <si>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</si>
  <si>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</si>
  <si>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</si>
  <si>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</si>
  <si>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</si>
  <si>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</si>
  <si>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</si>
  <si>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</si>
  <si>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</si>
  <si>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</si>
  <si>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</si>
  <si>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</si>
  <si>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</si>
  <si>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</si>
  <si>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</si>
  <si>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</si>
  <si>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</si>
  <si>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</si>
  <si>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</si>
  <si>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</si>
  <si>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</si>
  <si>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</si>
  <si>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</si>
  <si>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</si>
  <si>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</si>
  <si>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</si>
  <si>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</si>
  <si>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</si>
  <si>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</si>
  <si>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</si>
  <si>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</si>
  <si>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</si>
  <si>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</si>
  <si>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</si>
  <si>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</si>
  <si>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</si>
  <si>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</si>
  <si>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</si>
  <si>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</si>
  <si>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</si>
  <si>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</si>
  <si>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</si>
  <si>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</si>
  <si>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</si>
  <si>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</si>
  <si>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</si>
  <si>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</si>
  <si>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</si>
  <si>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</si>
  <si>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</si>
  <si>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</si>
  <si>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</si>
  <si>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</si>
  <si>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</si>
  <si>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</si>
  <si>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</si>
  <si>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</si>
  <si>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</si>
  <si>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</si>
  <si>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</si>
  <si>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</si>
  <si>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</si>
  <si>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</si>
  <si>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</si>
  <si>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</si>
  <si>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</si>
  <si>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</si>
  <si>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</si>
  <si>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</si>
  <si>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</si>
  <si>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</si>
  <si>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</si>
  <si>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</si>
  <si>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</si>
  <si>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</si>
  <si>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</si>
  <si>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</si>
  <si>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</si>
  <si>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</si>
  <si>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</si>
  <si>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</si>
  <si>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</si>
  <si>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</si>
  <si>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</si>
  <si>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</si>
  <si>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</si>
  <si>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</si>
  <si>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</si>
  <si>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</si>
  <si>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</si>
  <si>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</si>
  <si>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</si>
  <si>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</si>
  <si>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</si>
  <si>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</si>
  <si>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</si>
  <si>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</si>
  <si>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</si>
  <si>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</si>
  <si>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</si>
  <si>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</si>
  <si>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</si>
  <si>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</si>
  <si>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</si>
  <si>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</si>
  <si>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</si>
  <si>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</si>
  <si>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</si>
  <si>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</si>
  <si>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</si>
  <si>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</si>
  <si>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</si>
  <si>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</si>
  <si>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</si>
  <si>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</si>
  <si>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</si>
  <si>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</si>
  <si>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</si>
  <si>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</si>
  <si>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</si>
  <si>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</si>
  <si>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</si>
  <si>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</si>
  <si>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</si>
  <si>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</si>
  <si>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</si>
  <si>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</si>
  <si>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</si>
  <si>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</si>
  <si>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</si>
  <si>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</si>
  <si>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</si>
  <si>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</si>
  <si>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</si>
  <si>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</si>
  <si>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</si>
  <si>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</si>
  <si>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</si>
  <si>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</si>
  <si>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</si>
  <si>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</si>
  <si>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</si>
  <si>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</si>
  <si>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</si>
  <si>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</si>
  <si>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</si>
  <si>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</si>
  <si>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</si>
  <si>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</si>
  <si>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</si>
  <si>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</si>
  <si>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</si>
  <si>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</si>
  <si>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</si>
  <si>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</si>
  <si>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</si>
  <si>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</si>
  <si>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</si>
  <si>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</si>
  <si>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</si>
  <si>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</si>
  <si>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</si>
  <si>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</si>
  <si>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</si>
  <si>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</si>
  <si>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</si>
  <si>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</si>
  <si>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</si>
  <si>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</si>
  <si>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</si>
  <si>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</si>
  <si>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</si>
  <si>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</si>
  <si>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</si>
  <si>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</si>
  <si>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</si>
  <si>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</si>
  <si>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</si>
  <si>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</si>
  <si>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</si>
  <si>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</si>
  <si>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</si>
  <si>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</si>
  <si>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</si>
  <si>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</si>
  <si>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</si>
  <si>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</si>
  <si>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</si>
  <si>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</si>
  <si>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</si>
  <si>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</si>
  <si>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</si>
  <si>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</si>
  <si>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</si>
  <si>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</si>
  <si>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</si>
  <si>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</si>
  <si>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</si>
  <si>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</si>
  <si>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</si>
  <si>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</si>
  <si>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</si>
  <si>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</si>
  <si>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</si>
  <si>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</si>
  <si>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</si>
  <si>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</si>
  <si>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</si>
  <si>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</si>
  <si>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</si>
  <si>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</si>
  <si>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</si>
  <si>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</si>
  <si>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</si>
  <si>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</si>
  <si>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</si>
  <si>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</si>
  <si>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</si>
  <si>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</si>
  <si>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</si>
  <si>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</si>
  <si>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</si>
  <si>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</si>
  <si>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</si>
  <si>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</si>
  <si>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</si>
  <si>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</si>
  <si>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</si>
  <si>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</si>
  <si>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</si>
  <si>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</si>
  <si>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</si>
  <si>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</si>
  <si>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</si>
  <si>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</si>
  <si>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</si>
  <si>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</si>
  <si>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</si>
  <si>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</si>
  <si>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</si>
  <si>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</si>
  <si>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</si>
  <si>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</si>
  <si>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</si>
  <si>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</si>
  <si>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</si>
  <si>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</si>
  <si>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</si>
  <si>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</si>
  <si>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</si>
  <si>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</si>
  <si>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</si>
  <si>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</si>
  <si>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</si>
  <si>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</si>
  <si>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</si>
  <si>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</si>
  <si>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</si>
  <si>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</si>
  <si>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</si>
  <si>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</si>
  <si>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</si>
  <si>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</si>
  <si>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</si>
  <si>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</si>
  <si>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</si>
  <si>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</si>
  <si>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</si>
  <si>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</si>
  <si>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</si>
  <si>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</si>
  <si>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</si>
  <si>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</si>
  <si>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</si>
  <si>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</si>
  <si>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</si>
  <si>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</si>
  <si>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</si>
  <si>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</si>
  <si>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</si>
  <si>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</si>
  <si>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</si>
  <si>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</si>
  <si>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</si>
  <si>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</si>
  <si>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</si>
  <si>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</si>
  <si>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</si>
  <si>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</si>
  <si>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</si>
  <si>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</si>
  <si>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</si>
  <si>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</si>
  <si>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</si>
  <si>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</si>
  <si>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</si>
  <si>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</si>
  <si>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</si>
  <si>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</si>
  <si>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</si>
  <si>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</si>
  <si>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</si>
  <si>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</si>
  <si>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</si>
  <si>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</si>
  <si>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</si>
  <si>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</si>
  <si>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</si>
  <si>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</si>
  <si>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</si>
  <si>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</si>
  <si>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</si>
  <si>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</si>
  <si>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</si>
  <si>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</si>
  <si>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</si>
  <si>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</si>
  <si>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</si>
  <si>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</si>
  <si>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</si>
  <si>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</si>
  <si>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</si>
  <si>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</si>
  <si>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</si>
  <si>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</si>
  <si>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</si>
  <si>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</si>
  <si>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</si>
  <si>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</si>
  <si>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</si>
  <si>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</si>
  <si>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</si>
  <si>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</si>
  <si>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</si>
  <si>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</si>
  <si>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</si>
  <si>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</si>
  <si>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</si>
  <si>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</si>
  <si>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</si>
  <si>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</si>
  <si>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</si>
  <si>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</si>
  <si>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</si>
  <si>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</si>
  <si>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</si>
  <si>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</si>
  <si>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</si>
  <si>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</si>
  <si>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</si>
  <si>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</si>
  <si>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</si>
  <si>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</si>
  <si>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</si>
  <si>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</si>
  <si>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</si>
  <si>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</si>
  <si>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</si>
  <si>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</si>
  <si>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</si>
  <si>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</si>
  <si>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</si>
  <si>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</si>
  <si>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</si>
  <si>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</si>
  <si>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</si>
  <si>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</si>
  <si>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</si>
  <si>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</si>
  <si>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</si>
  <si>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</si>
  <si>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</si>
  <si>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</si>
  <si>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</si>
  <si>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</si>
  <si>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</si>
  <si>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</si>
  <si>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</si>
  <si>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</si>
  <si>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</si>
  <si>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</si>
  <si>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</si>
  <si>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</si>
  <si>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</si>
  <si>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</si>
  <si>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</si>
  <si>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</si>
  <si>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</si>
  <si>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</si>
  <si>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</si>
  <si>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</si>
  <si>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</si>
  <si>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</si>
  <si>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</si>
  <si>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</si>
  <si>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</si>
  <si>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</si>
  <si>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</si>
  <si>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</si>
  <si>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</si>
  <si>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</si>
  <si>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</si>
  <si>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</si>
  <si>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</si>
  <si>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</si>
  <si>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</si>
  <si>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</si>
  <si>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</si>
  <si>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</si>
  <si>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</si>
  <si>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</si>
  <si>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</si>
  <si>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</si>
  <si>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</si>
  <si>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</si>
  <si>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</si>
  <si>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</si>
  <si>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</si>
  <si>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</si>
  <si>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</si>
  <si>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</si>
  <si>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</si>
  <si>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</si>
  <si>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</si>
  <si>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</si>
  <si>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</si>
  <si>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</si>
  <si>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</si>
  <si>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</si>
  <si>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</si>
  <si>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</si>
  <si>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</si>
  <si>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</si>
  <si>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</si>
  <si>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</si>
  <si>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</si>
  <si>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</si>
  <si>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</si>
  <si>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</si>
  <si>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</si>
  <si>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</si>
  <si>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</si>
  <si>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</si>
  <si>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</si>
  <si>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</si>
  <si>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</si>
  <si>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</si>
  <si>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</si>
  <si>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</si>
  <si>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</si>
  <si>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</si>
  <si>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</si>
  <si>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</si>
  <si>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</si>
  <si>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</si>
  <si>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</si>
  <si>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</si>
  <si>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</si>
  <si>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</si>
  <si>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</si>
  <si>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</si>
  <si>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</si>
  <si>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</si>
  <si>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</si>
  <si>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</si>
  <si>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</si>
  <si>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</si>
  <si>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</si>
  <si>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</si>
  <si>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</si>
  <si>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</si>
  <si>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</si>
  <si>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</si>
  <si>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</si>
  <si>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</si>
  <si>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</si>
  <si>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</si>
  <si>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</si>
  <si>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</si>
  <si>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</si>
  <si>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</si>
  <si>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</si>
  <si>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</si>
  <si>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</si>
  <si>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</si>
  <si>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</si>
  <si>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</si>
  <si>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</si>
  <si>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</si>
  <si>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</si>
  <si>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</si>
  <si>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</si>
  <si>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</si>
  <si>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</si>
  <si>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</si>
  <si>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</si>
  <si>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</si>
  <si>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</si>
  <si>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</si>
  <si>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</si>
  <si>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</si>
  <si>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</si>
  <si>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</si>
  <si>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</si>
  <si>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</si>
  <si>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</si>
  <si>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</si>
  <si>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</si>
  <si>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</si>
  <si>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</si>
  <si>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</si>
  <si>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</si>
  <si>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</si>
  <si>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</si>
  <si>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</si>
  <si>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</si>
  <si>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</si>
  <si>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</si>
  <si>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</si>
  <si>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</si>
  <si>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</si>
  <si>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</si>
  <si>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</si>
  <si>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</si>
  <si>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</si>
  <si>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</si>
  <si>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</si>
  <si>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</si>
  <si>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</si>
  <si>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</si>
  <si>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</si>
  <si>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</si>
  <si>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</si>
  <si>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</si>
  <si>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</si>
  <si>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</si>
  <si>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</si>
  <si>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</si>
  <si>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</si>
  <si>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</si>
  <si>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</si>
  <si>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</si>
  <si>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</si>
  <si>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</si>
  <si>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</si>
  <si>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</si>
  <si>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</si>
  <si>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</si>
  <si>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</si>
  <si>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</si>
  <si>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</si>
  <si>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</si>
  <si>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</si>
  <si>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</si>
  <si>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</si>
  <si>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</si>
  <si>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</si>
  <si>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</si>
  <si>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</si>
  <si>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</si>
  <si>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</si>
  <si>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</si>
  <si>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</si>
  <si>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</si>
  <si>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</si>
  <si>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</si>
  <si>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</si>
  <si>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</si>
  <si>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</si>
  <si>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</si>
  <si>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</si>
  <si>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</si>
  <si>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</si>
  <si>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</si>
  <si>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</si>
  <si>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</si>
  <si>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</si>
  <si>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</si>
  <si>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</si>
  <si>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</si>
  <si>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</si>
  <si>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</si>
  <si>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</si>
  <si>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</si>
  <si>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</si>
  <si>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</si>
  <si>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</si>
  <si>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</si>
  <si>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</si>
  <si>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</si>
  <si>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</si>
  <si>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</si>
  <si>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</si>
  <si>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</si>
  <si>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</si>
  <si>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</si>
  <si>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</si>
  <si>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</si>
  <si>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</si>
  <si>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</si>
  <si>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</si>
  <si>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</si>
  <si>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</si>
  <si>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</si>
  <si>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</si>
  <si>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</si>
  <si>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</si>
  <si>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</si>
  <si>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</si>
  <si>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</si>
  <si>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</si>
  <si>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</si>
  <si>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</si>
  <si>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</si>
  <si>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</si>
  <si>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</si>
  <si>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</si>
  <si>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</si>
  <si>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</si>
  <si>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</si>
  <si>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</si>
  <si>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</si>
  <si>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</si>
  <si>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</si>
  <si>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</si>
  <si>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</si>
  <si>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</si>
  <si>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</si>
  <si>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</si>
  <si>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</si>
  <si>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</si>
  <si>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</si>
  <si>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</si>
  <si>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</si>
  <si>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</si>
  <si>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</si>
  <si>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</si>
  <si>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</si>
  <si>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</si>
  <si>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</si>
  <si>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</si>
  <si>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</si>
  <si>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</si>
  <si>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</si>
  <si>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</si>
  <si>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</si>
  <si>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</si>
  <si>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</si>
  <si>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</si>
  <si>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</si>
  <si>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</si>
  <si>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</si>
  <si>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</si>
  <si>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</si>
  <si>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</si>
  <si>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</si>
  <si>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</si>
  <si>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</si>
  <si>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</si>
  <si>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</si>
  <si>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</si>
  <si>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</si>
  <si>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</si>
  <si>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</si>
  <si>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</si>
  <si>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</si>
  <si>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</si>
  <si>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</si>
  <si>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</si>
  <si>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</si>
  <si>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</si>
  <si>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</si>
  <si>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</si>
  <si>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</si>
  <si>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</si>
  <si>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</si>
  <si>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</si>
  <si>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</si>
  <si>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</si>
  <si>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</si>
  <si>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</si>
  <si>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</si>
  <si>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</si>
  <si>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</si>
  <si>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</si>
  <si>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</si>
  <si>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</si>
  <si>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</si>
  <si>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</si>
  <si>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</si>
  <si>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</si>
  <si>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</si>
  <si>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</si>
  <si>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</si>
  <si>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</si>
  <si>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</si>
  <si>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</si>
  <si>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</si>
  <si>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</si>
  <si>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</si>
  <si>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</si>
  <si>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</si>
  <si>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</si>
  <si>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</si>
  <si>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</si>
  <si>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</si>
  <si>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</si>
  <si>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</si>
  <si>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</si>
  <si>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</si>
  <si>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</si>
  <si>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</si>
  <si>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</si>
  <si>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</si>
  <si>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</si>
  <si>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</si>
  <si>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</si>
  <si>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</si>
  <si>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</si>
  <si>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</si>
  <si>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</si>
  <si>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</si>
  <si>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</si>
  <si>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</si>
  <si>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</si>
  <si>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</si>
  <si>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</si>
  <si>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</si>
  <si>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</si>
  <si>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</si>
  <si>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</si>
  <si>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</si>
  <si>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</si>
  <si>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</si>
  <si>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</si>
  <si>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</si>
  <si>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</si>
  <si>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</si>
  <si>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</si>
  <si>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</si>
  <si>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</si>
  <si>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</si>
  <si>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</si>
  <si>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</si>
  <si>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</si>
  <si>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</si>
  <si>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</si>
  <si>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</si>
  <si>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</si>
  <si>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</si>
  <si>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</si>
  <si>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</si>
  <si>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</si>
  <si>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</si>
  <si>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</si>
  <si>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</si>
  <si>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</si>
  <si>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</si>
  <si>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</si>
  <si>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</si>
  <si>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</si>
  <si>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</si>
  <si>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</si>
  <si>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</si>
  <si>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</si>
  <si>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</si>
  <si>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</si>
  <si>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</si>
  <si>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</si>
  <si>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</si>
  <si>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</si>
  <si>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</si>
  <si>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</si>
  <si>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</si>
  <si>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</si>
  <si>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</si>
  <si>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</si>
  <si>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</si>
  <si>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</si>
  <si>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</si>
  <si>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</si>
  <si>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</si>
  <si>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</si>
  <si>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</si>
  <si>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</si>
  <si>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</si>
  <si>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</si>
  <si>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</si>
  <si>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</si>
  <si>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</si>
  <si>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</si>
  <si>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</si>
  <si>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</si>
  <si>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</si>
  <si>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</si>
  <si>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</si>
  <si>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</si>
  <si>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</si>
  <si>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</si>
  <si>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</si>
  <si>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</si>
  <si>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</si>
  <si>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</si>
  <si>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</si>
  <si>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</si>
  <si>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</si>
  <si>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</si>
  <si>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</si>
  <si>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</si>
  <si>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</si>
  <si>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</si>
  <si>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</si>
  <si>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</si>
  <si>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</si>
  <si>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</si>
  <si>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</si>
  <si>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</si>
  <si>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</si>
  <si>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</si>
  <si>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</si>
  <si>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</si>
  <si>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</si>
  <si>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</si>
  <si>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</si>
  <si>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</si>
  <si>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</si>
  <si>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</si>
  <si>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</si>
  <si>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</si>
  <si>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</si>
  <si>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</si>
  <si>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</si>
  <si>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</si>
  <si>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</si>
  <si>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</si>
  <si>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</si>
  <si>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</si>
  <si>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</si>
  <si>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</si>
  <si>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</si>
  <si>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</si>
  <si>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</si>
  <si>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</si>
  <si>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</si>
  <si>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</si>
  <si>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</si>
  <si>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</si>
  <si>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</si>
  <si>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</si>
  <si>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</si>
  <si>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</si>
  <si>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</si>
  <si>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</si>
  <si>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</si>
  <si>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</si>
  <si>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</si>
  <si>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</si>
  <si>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</si>
  <si>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</si>
  <si>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</si>
  <si>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</si>
  <si>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</si>
  <si>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</si>
  <si>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</si>
  <si>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</si>
  <si>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</si>
  <si>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</si>
  <si>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</si>
  <si>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</si>
  <si>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</si>
  <si>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</si>
  <si>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</si>
  <si>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</si>
  <si>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</si>
  <si>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</si>
  <si>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</si>
  <si>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</si>
  <si>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</si>
  <si>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</si>
  <si>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</si>
  <si>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</si>
  <si>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</si>
  <si>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</si>
  <si>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</si>
  <si>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</si>
  <si>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</si>
  <si>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</si>
  <si>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</si>
  <si>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</si>
  <si>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</si>
  <si>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</si>
  <si>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</si>
  <si>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</si>
  <si>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</si>
  <si>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</si>
  <si>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</si>
  <si>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</si>
  <si>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</si>
  <si>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</si>
  <si>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</si>
  <si>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</si>
  <si>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</si>
  <si>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</si>
  <si>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</si>
  <si>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</si>
  <si>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</si>
  <si>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</si>
  <si>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</si>
  <si>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</si>
  <si>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</si>
  <si>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</si>
  <si>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</si>
  <si>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</si>
  <si>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</si>
  <si>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</si>
  <si>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</si>
  <si>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</si>
  <si>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</si>
  <si>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</si>
  <si>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</si>
  <si>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</si>
  <si>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</si>
  <si>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</si>
  <si>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</si>
  <si>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</si>
  <si>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</si>
  <si>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</si>
  <si>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</si>
  <si>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</si>
  <si>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</si>
  <si>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</si>
  <si>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</si>
  <si>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</si>
  <si>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</si>
  <si>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</si>
  <si>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</si>
  <si>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</si>
  <si>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</si>
  <si>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</si>
  <si>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</si>
  <si>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</si>
  <si>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</si>
  <si>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</si>
  <si>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</si>
  <si>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</si>
  <si>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</si>
  <si>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</si>
  <si>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</si>
  <si>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</si>
  <si>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</si>
  <si>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</si>
  <si>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</si>
  <si>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</si>
  <si>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</si>
  <si>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</si>
  <si>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</si>
  <si>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</si>
  <si>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</si>
  <si>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</si>
  <si>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</si>
  <si>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</si>
  <si>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</si>
  <si>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</si>
  <si>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</si>
  <si>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</si>
  <si>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</si>
  <si>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</si>
  <si>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</si>
  <si>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</si>
  <si>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</si>
  <si>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</si>
  <si>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</si>
  <si>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</si>
  <si>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</si>
  <si>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</si>
  <si>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</si>
  <si>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</si>
  <si>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</si>
  <si>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</si>
  <si>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</si>
  <si>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</si>
  <si>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</si>
  <si>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</si>
  <si>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</si>
  <si>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</si>
  <si>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</si>
  <si>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</si>
  <si>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</si>
  <si>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</si>
  <si>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</si>
  <si>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</si>
  <si>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</si>
  <si>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</si>
  <si>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</si>
  <si>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</si>
  <si>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</si>
  <si>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</si>
  <si>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</si>
  <si>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</si>
  <si>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</si>
  <si>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</si>
  <si>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</si>
  <si>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</si>
  <si>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</si>
  <si>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</si>
  <si>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</si>
  <si>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</si>
  <si>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</si>
  <si>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</si>
  <si>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</si>
  <si>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</si>
  <si>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</si>
  <si>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</si>
  <si>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</si>
  <si>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</si>
  <si>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</si>
  <si>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</si>
  <si>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</si>
  <si>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</si>
  <si>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</si>
  <si>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</si>
  <si>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</si>
  <si>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</si>
  <si>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</si>
  <si>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</si>
  <si>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</si>
  <si>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</si>
  <si>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</si>
  <si>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</si>
  <si>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</si>
  <si>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</si>
  <si>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</si>
  <si>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</si>
  <si>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</si>
  <si>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</si>
  <si>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</si>
  <si>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</si>
  <si>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</si>
  <si>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</si>
  <si>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</si>
  <si>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</si>
  <si>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</si>
  <si>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</si>
  <si>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</si>
  <si>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</si>
  <si>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</si>
  <si>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</si>
  <si>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</si>
  <si>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</si>
  <si>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</si>
  <si>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</si>
  <si>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</si>
  <si>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</si>
  <si>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</si>
  <si>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</si>
  <si>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</si>
  <si>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</si>
  <si>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</si>
  <si>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</si>
  <si>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</si>
  <si>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</si>
  <si>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</si>
  <si>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</si>
  <si>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</si>
  <si>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</si>
  <si>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</si>
  <si>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</si>
  <si>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</si>
  <si>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</si>
  <si>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</si>
  <si>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</si>
  <si>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</si>
  <si>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</si>
  <si>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</si>
  <si>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</si>
  <si>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</si>
  <si>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</si>
  <si>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</si>
  <si>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</si>
  <si>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</si>
  <si>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</si>
  <si>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</si>
  <si>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</si>
  <si>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</si>
  <si>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</si>
  <si>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</si>
  <si>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</si>
  <si>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</si>
  <si>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</si>
  <si>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</si>
  <si>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</si>
  <si>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</si>
  <si>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</si>
  <si>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</si>
  <si>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</si>
  <si>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</si>
  <si>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</si>
  <si>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</si>
  <si>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</si>
  <si>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</si>
  <si>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</si>
  <si>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</si>
  <si>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</si>
  <si>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</si>
  <si>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</si>
  <si>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</si>
  <si>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</si>
  <si>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</si>
  <si>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</si>
  <si>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</si>
  <si>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</si>
  <si>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</si>
  <si>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</si>
  <si>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</si>
  <si>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</si>
  <si>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</si>
  <si>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</si>
  <si>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</si>
  <si>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</si>
  <si>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</si>
  <si>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</si>
  <si>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</si>
  <si>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</si>
  <si>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</si>
  <si>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</si>
  <si>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</si>
  <si>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</si>
  <si>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</si>
  <si>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</si>
  <si>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</si>
  <si>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</si>
  <si>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</si>
  <si>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</si>
  <si>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</si>
  <si>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</si>
  <si>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</si>
  <si>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</si>
  <si>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</si>
  <si>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</si>
  <si>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</si>
  <si>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</si>
  <si>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</si>
  <si>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</si>
  <si>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</si>
  <si>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</si>
  <si>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</si>
  <si>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</si>
  <si>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</si>
  <si>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</si>
  <si>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</si>
  <si>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</si>
  <si>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</si>
  <si>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</si>
  <si>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</si>
  <si>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</si>
  <si>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</si>
  <si>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</si>
  <si>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</si>
  <si>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</si>
  <si>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</si>
  <si>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</si>
  <si>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</si>
  <si>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</si>
  <si>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</si>
  <si>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</si>
  <si>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</si>
  <si>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</si>
  <si>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</si>
  <si>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</si>
  <si>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</si>
  <si>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</si>
  <si>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</si>
  <si>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</si>
  <si>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</si>
  <si>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</si>
  <si>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</si>
  <si>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</si>
  <si>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</si>
  <si>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</si>
  <si>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</si>
  <si>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</si>
  <si>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</si>
  <si>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</si>
  <si>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</si>
  <si>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</si>
  <si>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</si>
  <si>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</si>
  <si>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</si>
  <si>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</si>
  <si>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</si>
  <si>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</si>
  <si>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</si>
  <si>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</si>
  <si>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</si>
  <si>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</si>
  <si>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</si>
  <si>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</si>
  <si>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</si>
  <si>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</si>
  <si>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</si>
  <si>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</si>
  <si>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</si>
  <si>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</si>
  <si>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</si>
  <si>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</si>
  <si>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</si>
  <si>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</si>
  <si>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</si>
  <si>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</si>
  <si>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</si>
  <si>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</si>
  <si>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</si>
  <si>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</si>
  <si>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</si>
  <si>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</si>
  <si>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</si>
  <si>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</si>
  <si>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</si>
  <si>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</si>
  <si>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</si>
  <si>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</si>
  <si>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</si>
  <si>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</si>
  <si>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</si>
  <si>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</si>
  <si>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</si>
  <si>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</si>
  <si>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</si>
  <si>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</si>
  <si>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</si>
  <si>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</si>
  <si>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</si>
  <si>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</si>
  <si>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</si>
  <si>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</si>
  <si>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</si>
  <si>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</si>
  <si>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</si>
  <si>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</si>
  <si>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</si>
  <si>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</si>
  <si>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</si>
  <si>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</si>
  <si>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</si>
  <si>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</si>
  <si>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</si>
  <si>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</si>
  <si>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</si>
  <si>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</si>
  <si>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</si>
  <si>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</si>
  <si>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</si>
  <si>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</si>
  <si>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</si>
  <si>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</si>
  <si>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</si>
  <si>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</si>
  <si>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</si>
  <si>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</si>
  <si>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</si>
  <si>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</si>
  <si>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</si>
  <si>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</si>
  <si>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</si>
  <si>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</si>
  <si>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</si>
  <si>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</si>
  <si>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</si>
  <si>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</si>
  <si>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</si>
  <si>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</si>
  <si>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</si>
  <si>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</si>
  <si>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</si>
  <si>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</si>
  <si>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</si>
  <si>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</si>
  <si>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</si>
  <si>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</si>
  <si>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</si>
  <si>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</si>
  <si>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</si>
  <si>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</si>
  <si>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</si>
  <si>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</si>
  <si>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</si>
  <si>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</si>
  <si>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</si>
  <si>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</si>
  <si>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</si>
  <si>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</si>
  <si>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</si>
  <si>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</si>
  <si>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</si>
  <si>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</si>
  <si>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</si>
  <si>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</si>
  <si>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</si>
  <si>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</si>
  <si>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</si>
  <si>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</si>
  <si>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</si>
  <si>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</si>
  <si>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</si>
  <si>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</si>
  <si>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</si>
  <si>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</si>
  <si>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</si>
  <si>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</si>
  <si>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</si>
  <si>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</si>
  <si>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</si>
  <si>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</si>
  <si>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</si>
  <si>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</si>
  <si>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</si>
  <si>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</si>
  <si>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</si>
  <si>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</si>
  <si>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</si>
  <si>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</si>
  <si>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</si>
  <si>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</si>
  <si>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</si>
  <si>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</si>
  <si>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</si>
  <si>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</si>
  <si>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</si>
  <si>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</si>
  <si>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</si>
  <si>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</si>
  <si>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</si>
  <si>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</si>
  <si>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</si>
  <si>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</si>
  <si>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</si>
  <si>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</si>
  <si>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</si>
  <si>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</si>
  <si>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</si>
  <si>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</si>
  <si>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</si>
  <si>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</si>
  <si>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</si>
  <si>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</si>
  <si>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</si>
  <si>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</si>
  <si>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</si>
  <si>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</si>
  <si>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</si>
  <si>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</si>
  <si>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</si>
  <si>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</si>
  <si>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</si>
  <si>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</si>
  <si>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</si>
  <si>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</si>
  <si>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</si>
  <si>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</si>
  <si>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</si>
  <si>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</si>
  <si>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</si>
  <si>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</si>
  <si>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</si>
  <si>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</si>
  <si>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</si>
  <si>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</si>
  <si>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</si>
  <si>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</si>
  <si>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</si>
  <si>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</si>
  <si>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</si>
  <si>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</si>
  <si>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</si>
  <si>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</si>
  <si>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</si>
  <si>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</si>
  <si>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</si>
  <si>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</si>
  <si>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</si>
  <si>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</si>
  <si>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</si>
  <si>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</si>
  <si>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</si>
  <si>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</si>
  <si>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</si>
  <si>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</si>
  <si>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</si>
  <si>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</si>
  <si>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</si>
  <si>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</si>
  <si>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</si>
  <si>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</si>
  <si>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</si>
  <si>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</si>
  <si>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</si>
  <si>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</si>
  <si>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</si>
  <si>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</si>
  <si>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</si>
  <si>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</si>
  <si>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</si>
  <si>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</si>
  <si>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</si>
  <si>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</si>
  <si>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</si>
  <si>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</si>
  <si>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</si>
  <si>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</si>
  <si>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</si>
  <si>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</si>
  <si>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</si>
  <si>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</si>
  <si>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</si>
  <si>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</si>
  <si>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</si>
  <si>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</si>
  <si>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</si>
  <si>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</si>
  <si>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</si>
  <si>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</si>
  <si>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</si>
  <si>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</si>
  <si>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</si>
  <si>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</si>
  <si>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</si>
  <si>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</si>
  <si>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</si>
  <si>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</si>
  <si>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</si>
  <si>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</si>
  <si>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</si>
  <si>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</si>
  <si>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</si>
  <si>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</si>
  <si>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</si>
  <si>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</si>
  <si>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</si>
  <si>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</si>
  <si>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</si>
  <si>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</si>
  <si>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</si>
  <si>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</si>
  <si>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</si>
  <si>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</si>
  <si>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</si>
  <si>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</si>
  <si>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</si>
  <si>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</si>
  <si>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</si>
  <si>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</si>
  <si>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</si>
  <si>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</si>
  <si>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</si>
  <si>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</si>
  <si>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</si>
  <si>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</si>
  <si>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</si>
  <si>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</si>
  <si>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</si>
  <si>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</si>
  <si>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</si>
  <si>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</si>
  <si>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</si>
  <si>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</si>
  <si>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</si>
  <si>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</si>
  <si>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</si>
  <si>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</si>
  <si>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</si>
  <si>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</si>
  <si>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</si>
  <si>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</si>
  <si>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</si>
  <si>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</si>
  <si>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</si>
  <si>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</si>
  <si>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</si>
  <si>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</si>
  <si>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</si>
  <si>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</si>
  <si>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</si>
  <si>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</si>
  <si>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</si>
  <si>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</si>
  <si>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</si>
  <si>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</si>
  <si>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</si>
  <si>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</si>
  <si>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</si>
  <si>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</si>
  <si>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</si>
  <si>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</si>
  <si>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</si>
  <si>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</si>
  <si>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</si>
  <si>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</si>
  <si>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</si>
  <si>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</si>
  <si>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</si>
  <si>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</si>
  <si>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</si>
  <si>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</si>
  <si>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</si>
  <si>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</si>
  <si>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</si>
  <si>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</si>
  <si>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</si>
  <si>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</si>
  <si>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</si>
  <si>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</si>
  <si>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</si>
  <si>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</si>
  <si>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</si>
  <si>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</si>
  <si>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</si>
  <si>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</si>
  <si>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</si>
  <si>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</si>
  <si>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</si>
  <si>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</si>
  <si>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</si>
  <si>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</si>
  <si>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</si>
  <si>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</si>
  <si>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</si>
  <si>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</si>
  <si>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</si>
  <si>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</si>
  <si>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</si>
  <si>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</si>
  <si>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</si>
  <si>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</si>
  <si>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</si>
  <si>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</si>
  <si>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</si>
  <si>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</si>
  <si>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</si>
  <si>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</si>
  <si>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</si>
  <si>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</si>
  <si>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</si>
  <si>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</si>
  <si>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</si>
  <si>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</si>
  <si>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</si>
  <si>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</si>
  <si>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</si>
  <si>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</si>
  <si>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</si>
  <si>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</si>
  <si>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</si>
  <si>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</si>
  <si>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</si>
  <si>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</si>
  <si>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</si>
  <si>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</si>
  <si>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</si>
  <si>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</si>
  <si>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</si>
  <si>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</si>
  <si>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</si>
  <si>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</si>
  <si>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</si>
  <si>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</si>
  <si>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</si>
  <si>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</si>
  <si>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</si>
  <si>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</si>
  <si>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</si>
  <si>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</si>
  <si>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</si>
  <si>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</si>
  <si>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</si>
  <si>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</si>
  <si>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</si>
  <si>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</si>
  <si>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</si>
  <si>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</si>
  <si>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</si>
  <si>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</si>
  <si>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</si>
  <si>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</si>
  <si>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</si>
  <si>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</si>
  <si>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</si>
  <si>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</si>
  <si>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</si>
  <si>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</si>
  <si>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</si>
  <si>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</si>
  <si>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</si>
  <si>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</si>
  <si>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</si>
  <si>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</si>
  <si>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</si>
  <si>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</si>
  <si>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</si>
  <si>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</si>
  <si>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</si>
  <si>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</si>
  <si>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</si>
  <si>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</si>
  <si>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</si>
  <si>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</si>
  <si>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</si>
  <si>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</si>
  <si>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</si>
  <si>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</si>
  <si>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</si>
  <si>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</si>
  <si>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</si>
  <si>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</si>
  <si>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</si>
  <si>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</si>
  <si>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</si>
  <si>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</si>
  <si>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</si>
  <si>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</si>
  <si>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</si>
  <si>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</si>
  <si>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</si>
  <si>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</si>
  <si>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</si>
  <si>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</si>
  <si>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</si>
  <si>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</si>
  <si>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</si>
  <si>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</si>
  <si>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</si>
  <si>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</si>
  <si>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</si>
  <si>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</si>
  <si>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</si>
  <si>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</si>
  <si>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</si>
  <si>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</si>
  <si>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</si>
  <si>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</si>
  <si>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</si>
  <si>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</si>
  <si>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</si>
  <si>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</si>
  <si>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</si>
  <si>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</si>
  <si>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</si>
  <si>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</si>
  <si>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</si>
  <si>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</si>
  <si>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</si>
  <si>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</si>
  <si>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</si>
  <si>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</si>
  <si>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</si>
  <si>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</si>
  <si>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</si>
  <si>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</si>
  <si>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</si>
  <si>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</si>
  <si>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</si>
  <si>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</si>
  <si>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</si>
  <si>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</si>
  <si>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</si>
  <si>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</si>
  <si>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</si>
  <si>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</si>
  <si>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</si>
  <si>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</si>
  <si>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</si>
  <si>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</si>
  <si>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</si>
  <si>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</si>
  <si>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</si>
  <si>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</si>
  <si>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</si>
  <si>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</si>
  <si>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</si>
  <si>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</si>
  <si>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</si>
  <si>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</si>
  <si>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</si>
  <si>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</si>
  <si>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</si>
  <si>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</si>
  <si>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</si>
  <si>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</si>
  <si>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</si>
  <si>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</si>
  <si>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</si>
  <si>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</si>
  <si>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</si>
  <si>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</si>
  <si>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</si>
  <si>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</si>
  <si>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</si>
  <si>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</si>
  <si>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</si>
  <si>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</si>
  <si>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</si>
  <si>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</si>
  <si>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</si>
  <si>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</si>
  <si>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</si>
  <si>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</si>
  <si>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</si>
  <si>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</si>
  <si>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</si>
  <si>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</si>
  <si>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</si>
  <si>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</si>
  <si>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</si>
  <si>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</si>
  <si>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</si>
  <si>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</si>
  <si>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</si>
  <si>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</si>
  <si>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</si>
  <si>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</si>
  <si>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</si>
  <si>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</si>
  <si>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</si>
  <si>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</si>
  <si>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</si>
  <si>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</si>
  <si>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</si>
  <si>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</si>
  <si>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</si>
  <si>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</si>
  <si>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</si>
  <si>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</si>
  <si>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</si>
  <si>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</si>
  <si>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</si>
  <si>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</si>
  <si>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</si>
  <si>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</si>
  <si>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</si>
  <si>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</si>
  <si>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</si>
  <si>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</si>
  <si>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</si>
  <si>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</si>
  <si>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</si>
  <si>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</si>
  <si>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</si>
  <si>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</si>
  <si>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</si>
  <si>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</si>
  <si>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</si>
  <si>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</si>
  <si>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</si>
  <si>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</si>
  <si>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</si>
  <si>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</si>
  <si>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</si>
  <si>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</si>
  <si>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</si>
  <si>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</si>
  <si>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</si>
  <si>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</si>
  <si>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</si>
  <si>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</si>
  <si>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</si>
  <si>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</si>
  <si>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</si>
  <si>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</si>
  <si>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</si>
  <si>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</si>
  <si>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</si>
  <si>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</si>
  <si>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</si>
  <si>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</si>
  <si>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</si>
  <si>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</si>
  <si>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</si>
  <si>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</si>
  <si>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</si>
  <si>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</si>
  <si>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</si>
  <si>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</si>
  <si>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</si>
  <si>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</si>
  <si>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</si>
  <si>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</si>
  <si>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</si>
  <si>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</si>
  <si>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</si>
  <si>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</si>
  <si>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</si>
  <si>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</si>
  <si>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</si>
  <si>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</si>
  <si>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</si>
  <si>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</si>
  <si>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</si>
  <si>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</si>
  <si>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</si>
  <si>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</si>
  <si>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</si>
  <si>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</si>
  <si>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</si>
  <si>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</si>
  <si>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</si>
  <si>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</si>
  <si>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</si>
  <si>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</si>
  <si>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</si>
  <si>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</si>
  <si>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</si>
  <si>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</si>
  <si>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</si>
  <si>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</si>
  <si>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</si>
  <si>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</si>
  <si>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</si>
  <si>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</si>
  <si>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</si>
  <si>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</si>
  <si>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</si>
  <si>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</si>
  <si>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</si>
  <si>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</si>
  <si>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</si>
  <si>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</si>
  <si>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</si>
  <si>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</si>
  <si>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</si>
  <si>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</si>
  <si>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</si>
  <si>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</si>
  <si>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</si>
  <si>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</si>
  <si>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</si>
  <si>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</si>
  <si>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</si>
  <si>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</si>
  <si>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</si>
  <si>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</si>
  <si>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</si>
  <si>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</si>
  <si>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</si>
  <si>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</si>
  <si>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</si>
  <si>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</si>
  <si>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</si>
  <si>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</si>
  <si>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</si>
  <si>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</si>
  <si>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</si>
  <si>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</si>
  <si>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</si>
  <si>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</si>
  <si>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</si>
  <si>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</si>
  <si>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</si>
  <si>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</si>
  <si>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</si>
  <si>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</si>
  <si>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</si>
  <si>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</si>
  <si>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</si>
  <si>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</si>
  <si>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</si>
  <si>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</si>
  <si>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</si>
  <si>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</si>
  <si>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</si>
  <si>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</si>
  <si>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</si>
  <si>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</si>
  <si>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</si>
  <si>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</si>
  <si>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</si>
  <si>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</si>
  <si>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</si>
  <si>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</si>
  <si>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</si>
  <si>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</si>
  <si>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</si>
  <si>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</si>
  <si>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</si>
  <si>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</si>
  <si>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</si>
  <si>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</si>
  <si>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</si>
  <si>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</si>
  <si>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</si>
  <si>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</si>
  <si>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</si>
  <si>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</si>
  <si>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</si>
  <si>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</si>
  <si>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</si>
  <si>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</si>
  <si>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</si>
  <si>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</si>
  <si>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</si>
  <si>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</si>
  <si>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</si>
  <si>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</si>
  <si>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</si>
  <si>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</si>
  <si>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</si>
  <si>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</si>
  <si>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</si>
  <si>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</si>
  <si>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</si>
  <si>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</si>
  <si>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</si>
  <si>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</si>
  <si>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</si>
  <si>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</si>
  <si>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</si>
  <si>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</si>
  <si>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</si>
  <si>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</si>
  <si>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</si>
  <si>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</si>
  <si>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</si>
  <si>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</si>
  <si>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</si>
  <si>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</si>
  <si>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</si>
  <si>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</si>
  <si>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</si>
  <si>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</si>
  <si>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</si>
  <si>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</si>
  <si>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</si>
  <si>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</si>
  <si>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</si>
  <si>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</si>
  <si>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</si>
  <si>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</si>
  <si>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</si>
  <si>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</si>
  <si>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</si>
  <si>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</si>
  <si>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</si>
  <si>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</si>
  <si>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</si>
  <si>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</si>
  <si>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</si>
  <si>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</si>
  <si>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</si>
  <si>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</si>
  <si>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</si>
  <si>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</si>
  <si>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</si>
  <si>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</si>
  <si>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</si>
  <si>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</si>
  <si>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</si>
  <si>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</si>
  <si>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</si>
  <si>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</si>
  <si>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</si>
  <si>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</si>
  <si>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</si>
  <si>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</si>
  <si>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</si>
  <si>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</si>
  <si>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</si>
  <si>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</si>
  <si>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</si>
  <si>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</si>
  <si>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</si>
  <si>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</si>
  <si>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</si>
  <si>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</si>
  <si>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</si>
  <si>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</si>
  <si>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</si>
  <si>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</si>
  <si>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</si>
  <si>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</si>
  <si>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</si>
  <si>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</si>
  <si>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</si>
  <si>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</si>
  <si>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</si>
  <si>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</si>
  <si>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</si>
  <si>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</si>
  <si>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</si>
  <si>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</si>
  <si>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</si>
  <si>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</si>
  <si>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</si>
  <si>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</si>
  <si>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</si>
  <si>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</si>
  <si>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</si>
  <si>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</si>
  <si>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</si>
  <si>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</si>
  <si>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</si>
  <si>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</si>
  <si>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</si>
  <si>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</si>
  <si>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</si>
  <si>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</si>
  <si>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</si>
  <si>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</si>
  <si>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</si>
  <si>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</si>
  <si>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</si>
  <si>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</si>
  <si>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</si>
  <si>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</si>
  <si>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</si>
  <si>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</si>
  <si>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</si>
  <si>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</si>
  <si>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</si>
  <si>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</si>
  <si>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</si>
  <si>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</si>
  <si>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</si>
  <si>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</si>
  <si>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</si>
  <si>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</si>
  <si>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</si>
  <si>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</si>
  <si>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</si>
  <si>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</si>
  <si>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</si>
  <si>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</si>
  <si>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</si>
  <si>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</si>
  <si>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</si>
  <si>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</si>
  <si>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</si>
  <si>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</si>
  <si>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</si>
  <si>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</si>
  <si>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</si>
  <si>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</si>
  <si>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</si>
  <si>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</si>
  <si>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</si>
  <si>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</si>
  <si>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</si>
  <si>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</si>
  <si>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</si>
  <si>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</si>
  <si>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</si>
  <si>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</si>
  <si>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</si>
  <si>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</si>
  <si>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</si>
  <si>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</si>
  <si>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</si>
  <si>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</si>
  <si>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</si>
  <si>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</si>
  <si>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</si>
  <si>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</si>
  <si>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</si>
  <si>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</si>
  <si>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</si>
  <si>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</si>
  <si>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</si>
  <si>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</si>
  <si>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</si>
  <si>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</si>
  <si>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</si>
  <si>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</si>
  <si>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</si>
  <si>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</si>
  <si>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</si>
  <si>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</si>
  <si>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</si>
  <si>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</si>
  <si>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</si>
  <si>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</si>
  <si>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</si>
  <si>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</si>
  <si>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</si>
  <si>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</si>
  <si>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</si>
  <si>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</si>
  <si>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</si>
  <si>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</si>
  <si>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</si>
  <si>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</si>
  <si>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</si>
  <si>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</si>
  <si>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</si>
  <si>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</si>
  <si>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</si>
  <si>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</si>
  <si>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</si>
  <si>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</si>
  <si>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</si>
  <si>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</si>
  <si>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</si>
  <si>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</si>
  <si>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</si>
  <si>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</si>
  <si>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</si>
  <si>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</si>
  <si>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</si>
  <si>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</si>
  <si>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</si>
  <si>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</si>
  <si>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</si>
  <si>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</si>
  <si>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</si>
  <si>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</si>
  <si>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</si>
  <si>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</si>
  <si>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</si>
  <si>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</si>
  <si>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</si>
  <si>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</si>
  <si>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</si>
  <si>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</si>
  <si>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</si>
  <si>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</si>
  <si>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</si>
  <si>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</si>
  <si>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</si>
  <si>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</si>
  <si>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</si>
  <si>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</si>
  <si>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</si>
  <si>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</si>
  <si>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</si>
  <si>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</si>
  <si>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</si>
  <si>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</si>
  <si>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</si>
  <si>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</si>
  <si>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</si>
  <si>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</si>
  <si>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</si>
  <si>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</si>
  <si>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</si>
  <si>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</si>
  <si>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</si>
  <si>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</si>
  <si>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</si>
  <si>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</si>
  <si>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</si>
  <si>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</si>
  <si>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</si>
  <si>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</si>
  <si>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</si>
  <si>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</si>
  <si>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</si>
  <si>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</si>
  <si>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</si>
  <si>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</si>
  <si>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</si>
  <si>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</si>
  <si>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</si>
  <si>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</si>
  <si>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</si>
  <si>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</si>
  <si>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</si>
  <si>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</si>
  <si>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</si>
  <si>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</si>
  <si>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</si>
  <si>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</si>
  <si>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</si>
  <si>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</si>
  <si>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</si>
  <si>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</si>
  <si>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</si>
  <si>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</si>
  <si>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</si>
  <si>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</si>
  <si>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</si>
  <si>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</si>
  <si>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</si>
  <si>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</si>
  <si>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</si>
  <si>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</si>
  <si>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</si>
  <si>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</si>
  <si>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</si>
  <si>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</si>
  <si>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</si>
  <si>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</si>
  <si>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</si>
  <si>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</si>
  <si>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</si>
  <si>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</si>
  <si>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</si>
  <si>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</si>
  <si>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</si>
  <si>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</si>
  <si>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</si>
  <si>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</si>
  <si>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</si>
  <si>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</si>
  <si>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</si>
  <si>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</si>
  <si>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</si>
  <si>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</si>
  <si>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</si>
  <si>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</si>
  <si>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</si>
  <si>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</si>
  <si>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</si>
  <si>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</si>
  <si>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</si>
  <si>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</si>
  <si>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</si>
  <si>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</si>
  <si>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</si>
  <si>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</si>
  <si>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</si>
  <si>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</si>
  <si>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</si>
  <si>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</si>
  <si>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</si>
  <si>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</si>
  <si>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</si>
  <si>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</si>
  <si>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</si>
  <si>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</si>
  <si>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</si>
  <si>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</si>
  <si>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</si>
  <si>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</si>
  <si>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</si>
  <si>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</si>
  <si>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</si>
  <si>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</si>
  <si>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</si>
  <si>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</si>
  <si>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</si>
  <si>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</si>
  <si>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</si>
  <si>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</si>
  <si>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</si>
  <si>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</si>
  <si>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</si>
  <si>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</si>
  <si>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</si>
  <si>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</si>
  <si>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</si>
  <si>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</si>
  <si>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</si>
  <si>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</si>
  <si>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</si>
  <si>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</si>
  <si>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</si>
  <si>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</si>
  <si>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</si>
  <si>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</si>
  <si>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</si>
  <si>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</si>
  <si>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</si>
  <si>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</si>
  <si>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</si>
  <si>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</si>
  <si>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</si>
  <si>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</si>
  <si>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</si>
  <si>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</si>
  <si>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</si>
  <si>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</si>
  <si>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</si>
  <si>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</si>
  <si>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</si>
  <si>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</si>
  <si>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</si>
  <si>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</si>
  <si>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</si>
  <si>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</si>
  <si>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</si>
  <si>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</si>
  <si>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</si>
  <si>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</si>
  <si>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</si>
  <si>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</si>
  <si>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</si>
  <si>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</si>
  <si>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</si>
  <si>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</si>
  <si>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</si>
  <si>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</si>
  <si>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</si>
  <si>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</si>
  <si>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</si>
  <si>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</si>
  <si>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</si>
  <si>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</si>
  <si>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</si>
  <si>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</si>
  <si>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</si>
  <si>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</si>
  <si>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</si>
  <si>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</si>
  <si>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</si>
  <si>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</si>
  <si>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</si>
  <si>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</si>
  <si>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</si>
  <si>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</si>
  <si>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</si>
  <si>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</si>
  <si>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</si>
  <si>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</si>
  <si>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</si>
  <si>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</si>
  <si>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</si>
  <si>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</si>
  <si>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</si>
  <si>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</si>
  <si>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</si>
  <si>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</si>
  <si>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</si>
  <si>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</si>
  <si>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</si>
  <si>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</si>
  <si>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</si>
  <si>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</si>
  <si>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</si>
  <si>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</si>
  <si>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</si>
  <si>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</si>
  <si>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</si>
  <si>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</si>
  <si>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</si>
  <si>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</si>
  <si>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</si>
  <si>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</si>
  <si>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</si>
  <si>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</si>
  <si>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</si>
  <si>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</si>
  <si>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</si>
  <si>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</si>
  <si>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</si>
  <si>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</si>
  <si>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</si>
  <si>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</si>
  <si>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</si>
  <si>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</si>
  <si>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</si>
  <si>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</si>
  <si>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</si>
  <si>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</si>
  <si>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</si>
  <si>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</si>
  <si>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</si>
  <si>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</si>
  <si>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</si>
  <si>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</si>
  <si>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</si>
  <si>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</si>
  <si>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</si>
  <si>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</si>
  <si>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</si>
  <si>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</si>
  <si>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</si>
  <si>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</si>
  <si>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</si>
  <si>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</si>
  <si>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</si>
  <si>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</si>
  <si>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</si>
  <si>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</si>
  <si>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</si>
  <si>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</si>
  <si>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</si>
  <si>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</si>
  <si>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</si>
  <si>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</si>
  <si>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</si>
  <si>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</si>
  <si>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</si>
  <si>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</si>
  <si>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</si>
  <si>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</si>
  <si>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</si>
  <si>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</si>
  <si>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</si>
  <si>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</si>
  <si>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</si>
  <si>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</si>
  <si>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</si>
  <si>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</si>
  <si>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</si>
  <si>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</si>
  <si>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</si>
  <si>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</si>
  <si>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</si>
  <si>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</si>
  <si>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</si>
  <si>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</si>
  <si>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</si>
  <si>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</si>
  <si>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</si>
  <si>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</si>
  <si>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</si>
  <si>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</si>
  <si>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</si>
  <si>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</si>
  <si>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</si>
  <si>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</si>
  <si>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</si>
  <si>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</si>
  <si>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</si>
  <si>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</si>
  <si>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</si>
  <si>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</si>
  <si>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</si>
  <si>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</si>
  <si>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</si>
  <si>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</si>
  <si>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</si>
  <si>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</si>
  <si>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</si>
  <si>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</si>
  <si>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</si>
  <si>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</si>
  <si>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</si>
  <si>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</si>
  <si>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</si>
  <si>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</si>
  <si>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</si>
  <si>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</si>
  <si>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</si>
  <si>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</si>
  <si>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</si>
  <si>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</si>
  <si>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</si>
  <si>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</si>
  <si>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</si>
  <si>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</si>
  <si>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</si>
  <si>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</si>
  <si>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</si>
  <si>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</si>
  <si>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</si>
  <si>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</si>
  <si>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</si>
  <si>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</si>
  <si>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</si>
  <si>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</si>
  <si>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</si>
  <si>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</si>
  <si>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</si>
  <si>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</si>
  <si>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</si>
  <si>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</si>
  <si>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</si>
  <si>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</si>
  <si>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</si>
  <si>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</si>
  <si>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</si>
  <si>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</si>
  <si>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</si>
  <si>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</si>
  <si>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</si>
  <si>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</si>
  <si>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</si>
  <si>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</si>
  <si>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</si>
  <si>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</si>
  <si>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</si>
  <si>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</si>
  <si>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</si>
  <si>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</si>
  <si>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</si>
  <si>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</si>
  <si>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</si>
  <si>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</si>
  <si>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</si>
  <si>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</si>
  <si>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</si>
  <si>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</si>
  <si>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</si>
  <si>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</si>
  <si>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</si>
  <si>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</si>
  <si>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</si>
  <si>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</si>
  <si>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</si>
  <si>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</si>
  <si>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</si>
  <si>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</si>
  <si>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</si>
  <si>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</si>
  <si>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</si>
  <si>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</si>
  <si>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</si>
  <si>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</si>
  <si>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</si>
  <si>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</si>
  <si>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</si>
  <si>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</si>
  <si>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</si>
  <si>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</si>
  <si>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</si>
  <si>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</si>
  <si>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</si>
  <si>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</si>
  <si>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</si>
  <si>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</si>
  <si>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</si>
  <si>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</si>
  <si>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</si>
  <si>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</si>
  <si>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</si>
  <si>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</si>
  <si>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</si>
  <si>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</si>
  <si>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</si>
  <si>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</si>
  <si>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</si>
  <si>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</si>
  <si>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</si>
  <si>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</si>
  <si>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</si>
  <si>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</si>
  <si>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</si>
  <si>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</si>
  <si>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</si>
  <si>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</si>
  <si>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</si>
  <si>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</si>
  <si>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</si>
  <si>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</si>
  <si>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</si>
  <si>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</si>
  <si>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</si>
  <si>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</si>
  <si>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</si>
  <si>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</si>
  <si>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</si>
  <si>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</si>
  <si>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</si>
  <si>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</si>
  <si>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</si>
  <si>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</si>
  <si>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</si>
  <si>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</si>
  <si>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</si>
  <si>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</si>
  <si>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</si>
  <si>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</si>
  <si>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</si>
  <si>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</si>
  <si>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</si>
  <si>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</si>
  <si>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</si>
  <si>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</si>
  <si>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</si>
  <si>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</si>
  <si>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</si>
  <si>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</si>
  <si>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</si>
  <si>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</si>
  <si>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</si>
  <si>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</si>
  <si>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</si>
  <si>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</si>
  <si>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</si>
  <si>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</si>
  <si>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</si>
  <si>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</si>
  <si>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</si>
  <si>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</si>
  <si>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</si>
  <si>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</si>
  <si>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</si>
  <si>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</si>
  <si>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</si>
  <si>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</si>
  <si>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</si>
  <si>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</si>
  <si>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</si>
  <si>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</si>
  <si>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</si>
  <si>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</si>
  <si>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</si>
  <si>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</si>
  <si>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</si>
  <si>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</si>
  <si>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</si>
  <si>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</si>
  <si>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</si>
  <si>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</si>
  <si>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</si>
  <si>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</si>
  <si>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</si>
  <si>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</si>
  <si>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</si>
  <si>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</si>
  <si>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</si>
  <si>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</si>
  <si>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</si>
  <si>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</si>
  <si>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</si>
  <si>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</si>
  <si>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</si>
  <si>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</si>
  <si>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</si>
  <si>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</si>
  <si>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</si>
  <si>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</si>
  <si>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</si>
  <si>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</si>
  <si>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</si>
  <si>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</si>
  <si>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</si>
  <si>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</si>
  <si>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</si>
  <si>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</si>
  <si>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</si>
  <si>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</si>
  <si>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</si>
  <si>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</si>
  <si>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</si>
  <si>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</si>
  <si>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</si>
  <si>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</si>
  <si>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</si>
  <si>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</si>
  <si>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</si>
  <si>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</si>
  <si>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</si>
  <si>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</si>
  <si>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</si>
  <si>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</si>
  <si>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</si>
  <si>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</si>
  <si>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</si>
  <si>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</si>
  <si>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</si>
  <si>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</si>
  <si>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</si>
  <si>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</si>
  <si>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</si>
  <si>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</si>
  <si>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</si>
  <si>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</si>
  <si>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</si>
  <si>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</si>
  <si>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</si>
  <si>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</si>
  <si>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</si>
  <si>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</si>
  <si>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</si>
  <si>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</si>
  <si>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</si>
  <si>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</si>
  <si>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</si>
  <si>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</si>
  <si>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</si>
  <si>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</si>
  <si>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</si>
  <si>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</si>
  <si>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</si>
  <si>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</si>
  <si>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</si>
  <si>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</si>
  <si>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</si>
  <si>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</si>
  <si>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</si>
  <si>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</si>
  <si>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</si>
  <si>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</si>
  <si>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</si>
  <si>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</si>
  <si>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</si>
  <si>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</si>
  <si>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</si>
  <si>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</si>
  <si>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</si>
  <si>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</si>
  <si>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</si>
  <si>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</si>
  <si>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</si>
  <si>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</si>
  <si>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</si>
  <si>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</si>
  <si>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</si>
  <si>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</si>
  <si>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</si>
  <si>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</si>
  <si>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</si>
  <si>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</si>
  <si>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</si>
  <si>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</si>
  <si>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</si>
  <si>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</si>
  <si>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</si>
  <si>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</si>
  <si>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</si>
  <si>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</si>
  <si>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</si>
  <si>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</si>
  <si>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</si>
  <si>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</si>
  <si>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</si>
  <si>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</si>
  <si>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</si>
  <si>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</si>
  <si>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</si>
  <si>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</si>
  <si>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</si>
  <si>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</si>
  <si>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</si>
  <si>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</si>
  <si>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</si>
  <si>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</si>
  <si>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</si>
  <si>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</si>
  <si>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</si>
  <si>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</si>
  <si>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</si>
  <si>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</si>
  <si>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</si>
  <si>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</si>
  <si>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</si>
  <si>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</si>
  <si>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</si>
  <si>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</si>
  <si>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</si>
  <si>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</si>
  <si>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</si>
  <si>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</si>
  <si>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</si>
  <si>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</si>
  <si>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</si>
  <si>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</si>
  <si>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</si>
  <si>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</si>
  <si>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</si>
  <si>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</si>
  <si>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</si>
  <si>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</si>
  <si>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</si>
  <si>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</si>
  <si>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</si>
  <si>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</si>
  <si>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</si>
  <si>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</si>
  <si>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</si>
  <si>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</si>
  <si>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</si>
  <si>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</si>
  <si>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</si>
  <si>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</si>
  <si>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</si>
  <si>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</si>
  <si>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</si>
  <si>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</si>
  <si>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</si>
  <si>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</si>
  <si>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</si>
  <si>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</si>
  <si>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</si>
  <si>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</si>
  <si>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</si>
  <si>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</si>
  <si>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</si>
  <si>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</si>
  <si>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</si>
  <si>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</si>
  <si>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</si>
  <si>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</si>
  <si>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</si>
  <si>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</si>
  <si>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</si>
  <si>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</si>
  <si>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</si>
  <si>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</si>
  <si>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</si>
  <si>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</si>
  <si>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</si>
  <si>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</si>
  <si>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</si>
  <si>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</si>
  <si>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</si>
  <si>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</si>
  <si>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</si>
  <si>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</si>
  <si>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</si>
  <si>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</si>
  <si>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</si>
  <si>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</si>
  <si>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</si>
  <si>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</si>
  <si>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</si>
  <si>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</si>
  <si>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</si>
  <si>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</si>
  <si>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</si>
  <si>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</si>
  <si>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</si>
  <si>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</si>
  <si>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</si>
  <si>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</si>
  <si>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</si>
  <si>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</si>
  <si>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</si>
  <si>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</si>
  <si>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</si>
  <si>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</si>
  <si>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</si>
  <si>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</si>
  <si>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</si>
  <si>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</si>
  <si>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</si>
  <si>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</si>
  <si>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</si>
  <si>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</si>
  <si>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</si>
  <si>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</si>
  <si>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</si>
  <si>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</si>
  <si>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</si>
  <si>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</si>
  <si>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</si>
  <si>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</si>
  <si>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</si>
  <si>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</si>
  <si>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</si>
  <si>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</si>
  <si>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</si>
  <si>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</si>
  <si>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</si>
  <si>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</si>
  <si>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</si>
  <si>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</si>
  <si>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</si>
  <si>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</si>
  <si>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</si>
  <si>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</si>
  <si>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</si>
  <si>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</si>
  <si>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</si>
  <si>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</si>
  <si>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</si>
  <si>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</si>
  <si>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</si>
  <si>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</si>
  <si>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</si>
  <si>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</si>
  <si>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</si>
  <si>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</si>
  <si>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</si>
  <si>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</si>
  <si>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</si>
  <si>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</si>
  <si>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</si>
  <si>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</si>
  <si>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</si>
  <si>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</si>
  <si>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</si>
  <si>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</si>
  <si>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</si>
  <si>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</si>
  <si>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</si>
  <si>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</si>
  <si>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</si>
  <si>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</si>
  <si>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</si>
  <si>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</si>
  <si>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</si>
  <si>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</si>
  <si>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</si>
  <si>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</si>
  <si>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</si>
  <si>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</si>
  <si>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</si>
  <si>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</si>
  <si>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</si>
  <si>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</si>
  <si>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</si>
  <si>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</si>
  <si>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</si>
  <si>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</si>
  <si>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</si>
  <si>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</si>
  <si>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</si>
  <si>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</si>
  <si>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</si>
  <si>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</si>
  <si>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</si>
  <si>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</si>
  <si>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</si>
  <si>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</si>
  <si>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</si>
  <si>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</si>
  <si>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</si>
  <si>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</si>
  <si>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</si>
  <si>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</si>
  <si>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</si>
  <si>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</si>
  <si>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</si>
  <si>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</si>
  <si>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</si>
  <si>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</si>
  <si>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</si>
  <si>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</si>
  <si>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</si>
  <si>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</si>
  <si>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</si>
  <si>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</si>
  <si>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</si>
  <si>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</si>
  <si>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</si>
  <si>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</si>
  <si>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</si>
  <si>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</si>
  <si>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</si>
  <si>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</si>
  <si>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</si>
  <si>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</si>
  <si>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</si>
  <si>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</si>
  <si>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</si>
  <si>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</si>
  <si>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</si>
  <si>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</si>
  <si>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</si>
  <si>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</si>
  <si>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</si>
  <si>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</si>
  <si>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</si>
  <si>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</si>
  <si>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</si>
  <si>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</si>
  <si>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</si>
  <si>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</si>
  <si>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</si>
  <si>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</si>
  <si>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</si>
  <si>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</si>
  <si>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</si>
  <si>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</si>
  <si>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</si>
  <si>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</si>
  <si>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</si>
  <si>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</si>
  <si>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</si>
  <si>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</si>
  <si>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</si>
  <si>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</si>
  <si>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</si>
  <si>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</si>
  <si>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</si>
  <si>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</si>
  <si>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</si>
  <si>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</si>
  <si>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</si>
  <si>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</si>
  <si>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</si>
  <si>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</si>
  <si>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</si>
  <si>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</si>
  <si>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</si>
  <si>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</si>
  <si>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</si>
  <si>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</si>
  <si>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</si>
  <si>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</si>
  <si>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</si>
  <si>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</si>
  <si>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</si>
  <si>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</si>
  <si>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</si>
  <si>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</si>
  <si>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</si>
  <si>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</si>
  <si>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</si>
  <si>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</si>
  <si>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</si>
  <si>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</si>
  <si>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</si>
  <si>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</si>
  <si>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</si>
  <si>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</si>
  <si>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</si>
  <si>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</si>
  <si>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</si>
  <si>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</si>
  <si>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</si>
  <si>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</si>
  <si>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</si>
  <si>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</si>
  <si>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</si>
  <si>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</si>
  <si>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</si>
  <si>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</si>
  <si>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</si>
  <si>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</si>
  <si>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</si>
  <si>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</si>
  <si>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</si>
  <si>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</si>
  <si>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</si>
  <si>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</si>
  <si>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</si>
  <si>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</si>
  <si>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</si>
  <si>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</si>
  <si>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</si>
  <si>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</si>
  <si>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</si>
  <si>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</si>
  <si>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</si>
  <si>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</si>
  <si>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</si>
  <si>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</si>
  <si>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</si>
  <si>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</si>
  <si>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</si>
  <si>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</si>
  <si>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</si>
  <si>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</si>
  <si>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</si>
  <si>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</si>
  <si>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</si>
  <si>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</si>
  <si>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</si>
  <si>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</si>
  <si>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</si>
  <si>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</si>
  <si>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</si>
  <si>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</si>
  <si>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</si>
  <si>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</si>
  <si>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</si>
  <si>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</si>
  <si>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</si>
  <si>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</si>
  <si>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</si>
  <si>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</si>
  <si>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</si>
  <si>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</si>
  <si>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</si>
  <si>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</si>
  <si>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</si>
  <si>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</si>
  <si>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</si>
  <si>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</si>
  <si>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</si>
  <si>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</si>
  <si>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</si>
  <si>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</si>
  <si>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</si>
  <si>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</si>
  <si>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</si>
  <si>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</si>
  <si>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</si>
  <si>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</si>
  <si>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</si>
  <si>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</si>
  <si>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</si>
  <si>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</si>
  <si>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</si>
  <si>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</si>
  <si>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</si>
  <si>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</si>
  <si>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</si>
  <si>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</si>
  <si>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</si>
  <si>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</si>
  <si>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</si>
  <si>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</si>
  <si>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</si>
  <si>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</si>
  <si>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</si>
  <si>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</si>
  <si>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</si>
  <si>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</si>
  <si>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</si>
  <si>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</si>
  <si>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</si>
  <si>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</si>
  <si>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</si>
  <si>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</si>
  <si>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</si>
  <si>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</si>
  <si>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</si>
  <si>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</si>
  <si>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</si>
  <si>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</si>
  <si>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</si>
  <si>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</si>
  <si>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</si>
  <si>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</si>
  <si>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</si>
  <si>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</si>
  <si>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</si>
  <si>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</si>
  <si>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</si>
  <si>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</si>
  <si>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</si>
  <si>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</si>
  <si>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</si>
  <si>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</si>
  <si>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</si>
  <si>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</si>
  <si>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</si>
  <si>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</si>
  <si>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</si>
  <si>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</si>
  <si>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</si>
  <si>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</si>
  <si>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</si>
  <si>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</si>
  <si>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</si>
  <si>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</si>
  <si>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</si>
  <si>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</si>
  <si>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</si>
  <si>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</si>
  <si>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</si>
  <si>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</si>
  <si>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</si>
  <si>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</si>
  <si>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</si>
  <si>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</si>
  <si>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</si>
  <si>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</si>
  <si>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</si>
  <si>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</si>
  <si>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</si>
  <si>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</si>
  <si>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</si>
  <si>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</si>
  <si>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</si>
  <si>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</si>
  <si>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</si>
  <si>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</si>
  <si>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</si>
  <si>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</si>
  <si>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</si>
  <si>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</si>
  <si>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</si>
  <si>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</si>
  <si>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</si>
  <si>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</si>
  <si>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</si>
  <si>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</si>
  <si>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</si>
  <si>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</si>
  <si>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</si>
  <si>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</si>
  <si>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</si>
  <si>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</si>
  <si>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</si>
  <si>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</si>
  <si>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</si>
  <si>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</si>
  <si>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</si>
  <si>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</si>
  <si>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</si>
  <si>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</si>
  <si>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</si>
  <si>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</si>
  <si>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</si>
  <si>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</si>
  <si>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</si>
  <si>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</si>
  <si>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</si>
  <si>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</si>
  <si>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</si>
  <si>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</si>
  <si>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</si>
  <si>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</si>
  <si>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</si>
  <si>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</si>
  <si>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</si>
  <si>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</si>
  <si>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</si>
  <si>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</si>
  <si>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</si>
  <si>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</si>
  <si>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</si>
  <si>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</si>
  <si>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</si>
  <si>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</si>
  <si>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</si>
  <si>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</si>
  <si>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</si>
  <si>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</si>
  <si>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</si>
  <si>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</si>
  <si>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</si>
  <si>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</si>
  <si>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</si>
  <si>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</si>
  <si>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</si>
  <si>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</si>
  <si>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</si>
  <si>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</si>
  <si>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</si>
  <si>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</si>
  <si>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</si>
  <si>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</si>
  <si>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</si>
  <si>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</si>
  <si>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</si>
  <si>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</si>
  <si>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</si>
  <si>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</si>
  <si>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</si>
  <si>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</si>
  <si>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</si>
  <si>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</si>
  <si>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</si>
  <si>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</si>
  <si>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</si>
  <si>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</si>
  <si>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</si>
  <si>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</si>
  <si>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</si>
  <si>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</si>
  <si>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</si>
  <si>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</si>
  <si>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</si>
  <si>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</si>
  <si>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</si>
  <si>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</si>
  <si>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</si>
  <si>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</si>
  <si>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</si>
  <si>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</si>
  <si>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</si>
  <si>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</si>
  <si>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</si>
  <si>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</si>
  <si>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</si>
  <si>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</si>
  <si>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</si>
  <si>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</si>
  <si>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</si>
  <si>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</si>
  <si>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</si>
  <si>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</si>
  <si>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</si>
  <si>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</si>
  <si>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</si>
  <si>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</si>
  <si>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</si>
  <si>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</si>
  <si>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</si>
  <si>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</si>
  <si>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</si>
  <si>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</si>
  <si>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</si>
  <si>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</si>
  <si>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</si>
  <si>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</si>
  <si>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</si>
  <si>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</si>
  <si>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</si>
  <si>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</si>
  <si>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</si>
  <si>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</si>
  <si>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</si>
  <si>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</si>
  <si>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</si>
  <si>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</si>
  <si>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</si>
  <si>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</si>
  <si>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</si>
  <si>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</si>
  <si>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</si>
  <si>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</si>
  <si>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</si>
  <si>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</si>
  <si>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</si>
  <si>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</si>
  <si>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</si>
  <si>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</si>
  <si>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</si>
  <si>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</si>
  <si>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</si>
  <si>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</si>
  <si>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</si>
  <si>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</si>
  <si>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</si>
  <si>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</si>
  <si>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</si>
  <si>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</si>
  <si>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</si>
  <si>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</si>
  <si>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</si>
  <si>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</si>
  <si>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</si>
  <si>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</si>
  <si>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</si>
  <si>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</si>
  <si>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</si>
  <si>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</si>
  <si>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</si>
  <si>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</si>
  <si>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</si>
  <si>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</si>
  <si>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</si>
  <si>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</si>
  <si>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</si>
  <si>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</si>
  <si>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</si>
  <si>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</si>
  <si>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</si>
  <si>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</si>
  <si>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</si>
  <si>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</si>
  <si>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</si>
  <si>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</si>
  <si>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</si>
  <si>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</si>
  <si>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</si>
  <si>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</si>
  <si>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</si>
  <si>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</si>
  <si>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</si>
  <si>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</si>
  <si>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</si>
  <si>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</si>
  <si>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</si>
  <si>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</si>
  <si>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</si>
  <si>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</si>
  <si>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</si>
  <si>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</si>
  <si>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</si>
  <si>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</si>
  <si>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</si>
  <si>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</si>
  <si>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</si>
  <si>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</si>
  <si>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</si>
  <si>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</si>
  <si>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</si>
  <si>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</si>
  <si>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</si>
  <si>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</si>
  <si>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</si>
  <si>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</si>
  <si>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</si>
  <si>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</si>
  <si>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</si>
  <si>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</si>
  <si>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</si>
  <si>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</si>
  <si>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</si>
  <si>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</si>
  <si>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</si>
  <si>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</si>
  <si>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</si>
  <si>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</si>
  <si>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</si>
  <si>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</si>
  <si>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</si>
  <si>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</si>
  <si>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</si>
  <si>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</si>
  <si>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</si>
  <si>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</si>
  <si>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</si>
  <si>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</si>
  <si>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</si>
  <si>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</si>
  <si>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</si>
  <si>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</si>
  <si>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</si>
  <si>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</si>
  <si>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</si>
  <si>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</si>
  <si>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</si>
  <si>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</si>
  <si>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</si>
  <si>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</si>
  <si>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</si>
  <si>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</si>
  <si>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</si>
  <si>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</si>
  <si>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</si>
  <si>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</si>
  <si>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</si>
  <si>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</si>
  <si>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</si>
  <si>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</si>
  <si>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</si>
  <si>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</si>
  <si>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</si>
  <si>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</si>
  <si>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</si>
  <si>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</si>
  <si>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</si>
  <si>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</si>
  <si>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</si>
  <si>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</si>
  <si>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</si>
  <si>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</si>
  <si>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</si>
  <si>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</si>
  <si>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</si>
  <si>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</si>
  <si>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</si>
  <si>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</si>
  <si>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</si>
  <si>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</si>
  <si>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</si>
  <si>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</si>
  <si>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</si>
  <si>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</si>
  <si>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</si>
  <si>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</si>
  <si>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</si>
  <si>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</si>
  <si>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</si>
  <si>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</si>
  <si>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</si>
  <si>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</si>
  <si>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</si>
  <si>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</si>
  <si>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</si>
  <si>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</si>
  <si>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</si>
  <si>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</si>
  <si>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</si>
  <si>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</si>
  <si>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</si>
  <si>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</si>
  <si>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</si>
  <si>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</si>
  <si>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</si>
  <si>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</si>
  <si>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</si>
  <si>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</si>
  <si>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</si>
  <si>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</si>
  <si>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</si>
  <si>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</si>
  <si>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</si>
  <si>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</si>
  <si>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</si>
  <si>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</si>
  <si>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</si>
  <si>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</si>
  <si>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</si>
  <si>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</si>
  <si>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</si>
  <si>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</si>
  <si>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</si>
  <si>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</si>
  <si>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</si>
  <si>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</si>
  <si>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</si>
  <si>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</si>
  <si>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</si>
  <si>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</si>
  <si>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</si>
  <si>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</si>
  <si>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</si>
  <si>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</si>
  <si>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</si>
  <si>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</si>
  <si>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</si>
  <si>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</si>
  <si>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</si>
  <si>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</si>
  <si>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</si>
  <si>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</si>
  <si>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</si>
  <si>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</si>
  <si>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</si>
  <si>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</si>
  <si>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</si>
  <si>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</si>
  <si>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</si>
  <si>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</si>
  <si>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</si>
  <si>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</si>
  <si>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</si>
  <si>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</si>
  <si>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</si>
  <si>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</si>
  <si>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</si>
  <si>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</si>
  <si>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</si>
  <si>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</si>
  <si>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</si>
  <si>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</si>
  <si>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</si>
  <si>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</si>
  <si>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</si>
  <si>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</si>
  <si>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</si>
  <si>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</si>
  <si>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</si>
  <si>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</si>
  <si>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</si>
  <si>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</si>
  <si>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</si>
  <si>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</si>
  <si>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</si>
  <si>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</si>
  <si>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</si>
  <si>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</si>
  <si>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</si>
  <si>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</si>
  <si>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</si>
  <si>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</si>
  <si>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</si>
  <si>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</si>
  <si>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</si>
  <si>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</si>
  <si>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</si>
  <si>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</si>
  <si>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</si>
  <si>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</si>
  <si>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</si>
  <si>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</si>
  <si>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</si>
  <si>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</si>
  <si>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</si>
  <si>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</si>
  <si>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</si>
  <si>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</si>
  <si>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</si>
  <si>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</si>
  <si>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</si>
  <si>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</si>
  <si>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</si>
  <si>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</si>
  <si>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</si>
  <si>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</si>
  <si>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</si>
  <si>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</si>
  <si>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</si>
  <si>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</si>
  <si>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</si>
  <si>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</si>
  <si>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</si>
  <si>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</si>
  <si>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</si>
  <si>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</si>
  <si>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</si>
  <si>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</si>
  <si>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</si>
  <si>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</si>
  <si>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</si>
  <si>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</si>
  <si>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</si>
  <si>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</si>
  <si>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</si>
  <si>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</si>
  <si>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</si>
  <si>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</si>
  <si>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</si>
  <si>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</si>
  <si>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</si>
  <si>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</si>
  <si>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</si>
  <si>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</si>
  <si>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</si>
  <si>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</si>
  <si>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</si>
  <si>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</si>
  <si>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</si>
  <si>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</si>
  <si>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</si>
  <si>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</si>
  <si>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</si>
  <si>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</si>
  <si>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</si>
  <si>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</si>
  <si>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</si>
  <si>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</si>
  <si>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</si>
  <si>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</si>
  <si>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</si>
  <si>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</si>
  <si>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</si>
  <si>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</si>
  <si>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</si>
  <si>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</si>
  <si>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</si>
  <si>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</si>
  <si>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</si>
  <si>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</si>
  <si>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</si>
  <si>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</si>
  <si>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</si>
  <si>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</si>
  <si>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</si>
  <si>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</si>
  <si>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</si>
  <si>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</si>
  <si>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</si>
  <si>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</si>
  <si>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</si>
  <si>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</si>
  <si>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</si>
  <si>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</si>
  <si>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</si>
  <si>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</si>
  <si>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</si>
  <si>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</si>
  <si>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</si>
  <si>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</si>
  <si>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</si>
  <si>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</si>
  <si>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</si>
  <si>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</si>
  <si>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</si>
  <si>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</si>
  <si>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</si>
  <si>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</si>
  <si>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</si>
  <si>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</si>
  <si>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</si>
  <si>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</si>
  <si>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</si>
  <si>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</si>
  <si>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</si>
  <si>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</si>
  <si>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</si>
  <si>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</si>
  <si>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</si>
  <si>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</si>
  <si>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</si>
  <si>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</si>
  <si>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</si>
  <si>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</si>
  <si>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</si>
  <si>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</si>
  <si>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</si>
  <si>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</si>
  <si>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</si>
  <si>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</si>
  <si>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</si>
  <si>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</si>
  <si>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</si>
  <si>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</si>
  <si>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</si>
  <si>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</si>
  <si>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</si>
  <si>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</si>
  <si>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</si>
  <si>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</si>
  <si>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</si>
  <si>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</si>
  <si>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</si>
  <si>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</si>
  <si>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</si>
  <si>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</si>
  <si>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</si>
  <si>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</si>
  <si>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</si>
  <si>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</si>
  <si>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</si>
  <si>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</si>
  <si>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</si>
  <si>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</si>
  <si>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</si>
  <si>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</si>
  <si>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</si>
  <si>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</si>
  <si>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</si>
  <si>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</si>
  <si>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</si>
  <si>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</si>
  <si>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</si>
  <si>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</si>
  <si>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</si>
  <si>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</si>
  <si>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</si>
  <si>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</si>
  <si>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</si>
  <si>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</si>
  <si>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</si>
  <si>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</si>
  <si>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</si>
  <si>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</si>
  <si>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</si>
  <si>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</si>
  <si>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</si>
  <si>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</si>
  <si>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</si>
  <si>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</si>
  <si>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</si>
  <si>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</si>
  <si>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</si>
  <si>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</si>
  <si>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</si>
  <si>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</si>
  <si>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</si>
  <si>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</si>
  <si>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</si>
  <si>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</si>
  <si>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</si>
  <si>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</si>
  <si>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</si>
  <si>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</si>
  <si>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</si>
  <si>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</si>
  <si>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</si>
  <si>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</si>
  <si>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</si>
  <si>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</si>
  <si>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</si>
  <si>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</si>
  <si>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</si>
  <si>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</si>
  <si>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</si>
  <si>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</si>
  <si>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</si>
  <si>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</si>
  <si>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</si>
  <si>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</si>
  <si>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</si>
  <si>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</si>
  <si>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</si>
  <si>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</si>
  <si>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</si>
  <si>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</si>
  <si>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</si>
  <si>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</si>
  <si>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</si>
  <si>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</si>
  <si>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</si>
  <si>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</si>
  <si>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</si>
  <si>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</si>
  <si>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</si>
  <si>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</si>
  <si>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</si>
  <si>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</si>
  <si>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</si>
  <si>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</si>
  <si>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</si>
  <si>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</si>
  <si>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</si>
  <si>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</si>
  <si>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</si>
  <si>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</si>
  <si>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</si>
  <si>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</si>
  <si>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</si>
  <si>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</si>
  <si>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</si>
  <si>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</si>
  <si>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</si>
  <si>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</si>
  <si>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</si>
  <si>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</si>
  <si>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</si>
  <si>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</si>
  <si>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</si>
  <si>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</si>
  <si>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</si>
  <si>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</si>
  <si>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</si>
  <si>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</si>
  <si>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</si>
  <si>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</si>
  <si>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</si>
  <si>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</si>
  <si>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</si>
  <si>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</si>
  <si>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</si>
  <si>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</si>
  <si>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</si>
  <si>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</si>
  <si>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</si>
  <si>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</si>
  <si>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</si>
  <si>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</si>
  <si>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</si>
  <si>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</si>
  <si>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</si>
  <si>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</si>
  <si>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</si>
  <si>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</si>
  <si>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</si>
  <si>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</si>
  <si>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</si>
  <si>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</si>
  <si>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</si>
  <si>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</si>
  <si>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</si>
  <si>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</si>
  <si>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</si>
  <si>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</si>
  <si>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</si>
  <si>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</si>
  <si>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</si>
  <si>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</si>
  <si>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</si>
  <si>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</si>
  <si>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</si>
  <si>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</si>
  <si>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</si>
  <si>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</si>
  <si>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</si>
  <si>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</si>
  <si>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</si>
  <si>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</si>
  <si>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</si>
  <si>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</si>
  <si>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</si>
  <si>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</si>
  <si>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</si>
  <si>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</si>
  <si>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</si>
  <si>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</si>
  <si>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</si>
  <si>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</si>
  <si>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</si>
  <si>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</si>
  <si>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</si>
  <si>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</si>
  <si>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</si>
  <si>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</si>
  <si>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</si>
  <si>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</si>
  <si>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</si>
  <si>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</si>
  <si>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</si>
  <si>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</si>
  <si>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</si>
  <si>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</si>
  <si>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</si>
  <si>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</si>
  <si>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</si>
  <si>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</si>
  <si>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</si>
  <si>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</si>
  <si>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</si>
  <si>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</si>
  <si>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</si>
  <si>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</si>
  <si>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</si>
  <si>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</si>
  <si>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</si>
  <si>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</si>
  <si>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</si>
  <si>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</si>
  <si>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</si>
  <si>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</si>
  <si>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</si>
  <si>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</si>
  <si>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</si>
  <si>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</si>
  <si>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</si>
  <si>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</si>
  <si>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</si>
  <si>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</si>
  <si>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</si>
  <si>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</si>
  <si>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</si>
  <si>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</si>
  <si>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</si>
  <si>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</si>
  <si>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</si>
  <si>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</si>
  <si>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</si>
  <si>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</si>
  <si>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</si>
  <si>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</si>
  <si>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</si>
  <si>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</si>
  <si>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</si>
  <si>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</si>
  <si>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</si>
  <si>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</si>
  <si>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</si>
  <si>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</si>
  <si>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</si>
  <si>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</si>
  <si>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</si>
  <si>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</si>
  <si>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</si>
  <si>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</si>
  <si>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</si>
  <si>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</si>
  <si>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</si>
  <si>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</si>
  <si>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</si>
  <si>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</si>
  <si>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</si>
  <si>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</si>
  <si>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</si>
  <si>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</si>
  <si>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</si>
  <si>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</si>
  <si>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</si>
  <si>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</si>
  <si>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</si>
  <si>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</si>
  <si>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</si>
  <si>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</si>
  <si>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</si>
  <si>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</si>
  <si>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</si>
  <si>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</si>
  <si>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</si>
  <si>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</si>
  <si>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</si>
  <si>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</si>
  <si>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</si>
  <si>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</si>
  <si>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</si>
  <si>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</si>
  <si>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</si>
  <si>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</si>
  <si>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</si>
  <si>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</si>
  <si>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</si>
  <si>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</si>
  <si>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</si>
  <si>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</si>
  <si>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</si>
  <si>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</si>
  <si>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</si>
  <si>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</si>
  <si>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</si>
  <si>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</si>
  <si>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</si>
  <si>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</si>
  <si>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</si>
  <si>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</si>
  <si>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</si>
  <si>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</si>
  <si>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</si>
  <si>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</si>
  <si>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</si>
  <si>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</si>
  <si>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</si>
  <si>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</si>
  <si>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</si>
  <si>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</si>
  <si>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</si>
  <si>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</si>
  <si>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</si>
  <si>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</si>
  <si>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</si>
  <si>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</si>
  <si>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</si>
  <si>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</si>
  <si>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</si>
  <si>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</si>
  <si>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</si>
  <si>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</si>
  <si>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</si>
  <si>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</si>
  <si>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</si>
  <si>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</si>
  <si>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</si>
  <si>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</si>
  <si>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</si>
  <si>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</si>
  <si>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</si>
  <si>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</si>
  <si>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</si>
  <si>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</si>
  <si>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</si>
  <si>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</si>
  <si>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</si>
  <si>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</si>
  <si>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</si>
  <si>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</si>
  <si>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</si>
  <si>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</si>
  <si>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</si>
  <si>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</si>
  <si>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</si>
  <si>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</si>
  <si>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</si>
  <si>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</si>
  <si>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</si>
  <si>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</si>
  <si>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</si>
  <si>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</si>
  <si>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</si>
  <si>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</si>
  <si>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</si>
  <si>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</si>
  <si>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</si>
  <si>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</si>
  <si>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</si>
  <si>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</si>
  <si>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</si>
  <si>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</si>
  <si>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</si>
  <si>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</si>
  <si>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</si>
  <si>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</si>
  <si>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</si>
  <si>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</si>
  <si>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</si>
  <si>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</si>
  <si>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</si>
  <si>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</si>
  <si>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</si>
  <si>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</si>
  <si>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</si>
  <si>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</si>
  <si>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</si>
  <si>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</si>
  <si>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</si>
  <si>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</si>
  <si>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</si>
  <si>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</si>
  <si>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</si>
  <si>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</si>
  <si>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</si>
  <si>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</si>
  <si>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</si>
  <si>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</si>
  <si>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</si>
  <si>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</si>
  <si>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</si>
  <si>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</si>
  <si>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</si>
  <si>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</si>
  <si>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</si>
  <si>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</si>
  <si>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</si>
  <si>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</si>
  <si>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</si>
  <si>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</si>
  <si>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</si>
  <si>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</si>
  <si>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</si>
  <si>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</si>
  <si>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</si>
  <si>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</si>
  <si>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</si>
  <si>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</si>
  <si>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</si>
  <si>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</si>
  <si>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</si>
  <si>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</si>
  <si>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</si>
  <si>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</si>
  <si>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</si>
  <si>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</si>
  <si>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</si>
  <si>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</si>
  <si>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</si>
  <si>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</si>
  <si>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</si>
  <si>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</si>
  <si>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</si>
  <si>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</si>
  <si>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</si>
  <si>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</si>
  <si>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</si>
  <si>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</si>
  <si>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</si>
  <si>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</si>
  <si>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</si>
  <si>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</si>
  <si>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</si>
  <si>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</si>
  <si>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</si>
  <si>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</si>
  <si>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</si>
  <si>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</si>
  <si>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</si>
  <si>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</si>
  <si>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</si>
  <si>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</si>
  <si>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</si>
  <si>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</si>
  <si>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</si>
  <si>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</si>
  <si>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</si>
  <si>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</si>
  <si>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</si>
  <si>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</si>
  <si>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</si>
  <si>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</si>
  <si>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</si>
  <si>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</si>
  <si>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</si>
  <si>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</si>
  <si>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</si>
  <si>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</si>
  <si>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</si>
  <si>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</si>
  <si>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</si>
  <si>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</si>
  <si>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</si>
  <si>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</si>
  <si>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</si>
  <si>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</si>
  <si>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</si>
  <si>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</si>
  <si>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</si>
  <si>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</si>
  <si>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</si>
  <si>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</si>
  <si>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</si>
  <si>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</si>
  <si>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</si>
  <si>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</si>
  <si>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</si>
  <si>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</si>
  <si>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</si>
  <si>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</si>
  <si>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</si>
  <si>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</si>
  <si>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</si>
  <si>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</si>
  <si>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</si>
  <si>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</si>
  <si>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</si>
  <si>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</si>
  <si>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</si>
  <si>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</si>
  <si>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</si>
  <si>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</si>
  <si>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</si>
  <si>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</si>
  <si>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</si>
  <si>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</si>
  <si>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</si>
  <si>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</si>
  <si>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</si>
  <si>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</si>
  <si>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</si>
  <si>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</si>
  <si>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</si>
  <si>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</si>
  <si>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</si>
  <si>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</si>
  <si>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</si>
  <si>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</si>
  <si>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</si>
  <si>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</si>
  <si>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</si>
  <si>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</si>
  <si>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</si>
  <si>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</si>
  <si>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</si>
  <si>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</si>
  <si>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</si>
  <si>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</si>
  <si>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</si>
  <si>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</si>
  <si>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</si>
  <si>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</si>
  <si>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</si>
  <si>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</si>
  <si>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</si>
  <si>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</si>
  <si>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</si>
  <si>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</si>
  <si>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</si>
  <si>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</si>
  <si>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</si>
  <si>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</si>
  <si>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</si>
  <si>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</si>
  <si>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</si>
  <si>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</si>
  <si>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</si>
  <si>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</si>
  <si>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</si>
  <si>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</si>
  <si>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</si>
  <si>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</si>
  <si>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</si>
  <si>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</si>
  <si>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</si>
  <si>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</si>
  <si>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</si>
  <si>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</si>
  <si>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</si>
  <si>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</si>
  <si>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</si>
  <si>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</si>
  <si>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</si>
  <si>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</si>
  <si>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</si>
  <si>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</si>
  <si>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</si>
  <si>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</si>
  <si>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</si>
  <si>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</si>
  <si>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</si>
  <si>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</si>
  <si>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</si>
  <si>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</si>
  <si>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</si>
  <si>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</si>
  <si>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</si>
  <si>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</si>
  <si>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</si>
  <si>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</si>
  <si>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</si>
  <si>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</si>
  <si>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</si>
  <si>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</si>
  <si>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</si>
  <si>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</si>
  <si>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</si>
  <si>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</si>
  <si>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</si>
  <si>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</si>
  <si>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</si>
  <si>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</si>
  <si>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</si>
  <si>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</si>
  <si>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</si>
  <si>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</si>
  <si>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</si>
  <si>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</si>
  <si>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</si>
  <si>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</si>
  <si>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</si>
  <si>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</si>
  <si>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</si>
  <si>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</si>
  <si>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</si>
  <si>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</si>
  <si>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</si>
  <si>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</si>
  <si>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</si>
  <si>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</si>
  <si>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</si>
  <si>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</si>
  <si>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</si>
  <si>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</si>
  <si>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</si>
  <si>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</si>
  <si>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</si>
  <si>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</si>
  <si>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</si>
  <si>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</si>
  <si>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</si>
  <si>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</si>
  <si>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</si>
  <si>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</si>
  <si>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</si>
  <si>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</si>
  <si>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</si>
  <si>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</si>
  <si>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</si>
  <si>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</si>
  <si>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</si>
  <si>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</si>
  <si>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</si>
  <si>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</si>
  <si>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</si>
  <si>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</si>
  <si>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</si>
  <si>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</si>
  <si>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</si>
  <si>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</si>
  <si>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</si>
  <si>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</si>
  <si>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</si>
  <si>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</si>
  <si>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</si>
  <si>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</si>
  <si>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</si>
  <si>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</si>
  <si>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</si>
  <si>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</si>
  <si>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</si>
  <si>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</si>
  <si>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</si>
  <si>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</si>
  <si>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</si>
  <si>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</si>
  <si>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</si>
  <si>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</si>
  <si>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</si>
  <si>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</si>
  <si>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</si>
  <si>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</si>
  <si>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</si>
  <si>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</si>
  <si>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</si>
  <si>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</si>
  <si>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</si>
  <si>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</si>
  <si>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</si>
  <si>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</si>
  <si>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</si>
  <si>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</si>
  <si>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</si>
  <si>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</si>
  <si>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</si>
  <si>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</si>
  <si>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</si>
  <si>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</si>
  <si>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</si>
  <si>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</si>
  <si>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</si>
  <si>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</si>
  <si>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</si>
  <si>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</si>
  <si>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</si>
  <si>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</si>
  <si>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</si>
  <si>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</si>
  <si>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</si>
  <si>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</si>
  <si>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</si>
  <si>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</si>
  <si>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</si>
  <si>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</si>
  <si>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</si>
  <si>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</si>
  <si>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</si>
  <si>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</si>
  <si>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</si>
  <si>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</si>
  <si>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</si>
  <si>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</si>
  <si>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</si>
  <si>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</si>
  <si>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</si>
  <si>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</si>
  <si>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</si>
  <si>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</si>
  <si>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</si>
  <si>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</si>
  <si>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</si>
  <si>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</si>
  <si>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</si>
  <si>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</si>
  <si>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</si>
  <si>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</si>
  <si>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</si>
  <si>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</si>
  <si>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</si>
  <si>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</si>
  <si>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</si>
  <si>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</si>
  <si>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</si>
  <si>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</si>
  <si>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</si>
  <si>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</si>
  <si>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</si>
  <si>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</si>
  <si>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</si>
  <si>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</si>
  <si>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</si>
  <si>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</si>
  <si>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</si>
  <si>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</si>
  <si>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</si>
  <si>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</si>
  <si>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</si>
  <si>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</si>
  <si>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</si>
  <si>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</si>
  <si>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</si>
  <si>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</si>
  <si>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</si>
  <si>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</si>
  <si>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</si>
  <si>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</si>
  <si>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</si>
  <si>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</si>
  <si>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</si>
  <si>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</si>
  <si>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</si>
  <si>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</si>
  <si>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</si>
  <si>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</si>
  <si>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</si>
  <si>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</si>
  <si>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</si>
  <si>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</si>
  <si>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</si>
  <si>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</si>
  <si>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</si>
  <si>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</si>
  <si>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</si>
  <si>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</si>
  <si>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</si>
  <si>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</si>
  <si>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</si>
  <si>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</si>
  <si>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</si>
  <si>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</si>
  <si>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</si>
  <si>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</si>
  <si>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</si>
  <si>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</si>
  <si>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</si>
  <si>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</si>
  <si>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</si>
  <si>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</si>
  <si>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</si>
  <si>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</si>
  <si>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</si>
  <si>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</si>
  <si>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</si>
  <si>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</si>
  <si>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</si>
  <si>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</si>
  <si>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</si>
  <si>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</si>
  <si>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</si>
  <si>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</si>
  <si>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</si>
  <si>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</si>
  <si>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</si>
  <si>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</si>
  <si>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</si>
  <si>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</si>
  <si>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</si>
  <si>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</si>
  <si>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</si>
  <si>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</si>
  <si>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</si>
  <si>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</si>
  <si>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</si>
  <si>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</si>
  <si>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</si>
  <si>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</si>
  <si>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</si>
  <si>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</si>
  <si>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</si>
  <si>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</si>
  <si>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</si>
  <si>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</si>
  <si>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</si>
  <si>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</si>
  <si>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</si>
  <si>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</si>
  <si>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</si>
  <si>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</si>
  <si>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</si>
  <si>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</si>
  <si>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</si>
  <si>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</si>
  <si>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</si>
  <si>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</si>
  <si>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</si>
  <si>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</si>
  <si>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</si>
  <si>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</si>
  <si>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</si>
  <si>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</si>
  <si>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</si>
  <si>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</si>
  <si>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</si>
  <si>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</si>
  <si>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</si>
  <si>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</si>
  <si>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</si>
  <si>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</si>
  <si>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</si>
  <si>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</si>
  <si>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</si>
  <si>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</si>
  <si>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</si>
  <si>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</si>
  <si>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</si>
  <si>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</si>
  <si>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</si>
  <si>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</si>
  <si>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</si>
  <si>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</si>
  <si>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</si>
  <si>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</si>
  <si>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</si>
  <si>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</si>
  <si>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</si>
  <si>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</si>
  <si>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</si>
  <si>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</si>
  <si>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</si>
  <si>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</si>
  <si>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</si>
  <si>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</si>
  <si>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</si>
  <si>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</si>
  <si>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</si>
  <si>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</si>
  <si>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</si>
  <si>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</si>
  <si>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</si>
  <si>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</si>
  <si>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</si>
  <si>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</si>
  <si>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</si>
  <si>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</si>
  <si>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</si>
  <si>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</si>
  <si>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</si>
  <si>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</si>
  <si>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</si>
  <si>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</si>
  <si>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</si>
  <si>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</si>
  <si>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</si>
  <si>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</si>
  <si>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</si>
  <si>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</si>
  <si>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</si>
  <si>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</si>
  <si>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</si>
  <si>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</si>
  <si>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</si>
  <si>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</si>
  <si>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</si>
  <si>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</si>
  <si>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</si>
  <si>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</si>
  <si>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</si>
  <si>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</si>
  <si>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</si>
  <si>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</si>
  <si>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</si>
  <si>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</si>
  <si>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</si>
  <si>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</si>
  <si>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</si>
  <si>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</si>
  <si>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</si>
  <si>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</si>
  <si>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</si>
  <si>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</si>
  <si>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</si>
  <si>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</si>
  <si>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</si>
  <si>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</si>
  <si>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</si>
  <si>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</si>
  <si>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</si>
  <si>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</si>
  <si>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</si>
  <si>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</si>
  <si>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</si>
  <si>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</si>
  <si>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</si>
  <si>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</si>
  <si>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</si>
  <si>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</si>
  <si>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</si>
  <si>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</si>
  <si>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</si>
  <si>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</si>
  <si>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</si>
  <si>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</si>
  <si>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</si>
  <si>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</si>
  <si>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</si>
  <si>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</si>
  <si>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</si>
  <si>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</si>
  <si>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</si>
  <si>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</si>
  <si>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</si>
  <si>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</si>
  <si>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</si>
  <si>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</si>
  <si>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</si>
  <si>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</si>
  <si>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</si>
  <si>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</si>
  <si>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</si>
  <si>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</si>
  <si>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</si>
  <si>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</si>
  <si>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</si>
  <si>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</si>
  <si>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</si>
  <si>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</si>
  <si>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</si>
  <si>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</si>
  <si>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</si>
  <si>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</si>
  <si>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</si>
  <si>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</si>
  <si>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</si>
  <si>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</si>
  <si>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</si>
  <si>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</si>
  <si>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</si>
  <si>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</si>
  <si>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</si>
  <si>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</si>
  <si>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</si>
  <si>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</si>
  <si>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</si>
  <si>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</si>
  <si>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</si>
  <si>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</si>
  <si>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</si>
  <si>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</si>
  <si>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</si>
  <si>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</si>
  <si>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</si>
  <si>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</si>
  <si>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</si>
  <si>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</si>
  <si>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</si>
  <si>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</si>
  <si>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</si>
  <si>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</si>
  <si>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</si>
  <si>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</si>
  <si>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</si>
  <si>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</si>
  <si>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</si>
  <si>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</si>
  <si>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</si>
  <si>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</si>
  <si>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</si>
  <si>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</si>
  <si>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</si>
  <si>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</si>
  <si>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</si>
  <si>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</si>
  <si>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</si>
  <si>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</si>
  <si>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</si>
  <si>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</si>
  <si>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</si>
  <si>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</si>
  <si>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</si>
  <si>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</si>
  <si>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</si>
  <si>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</si>
  <si>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</si>
  <si>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</si>
  <si>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</si>
  <si>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</si>
  <si>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</si>
  <si>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</si>
  <si>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</si>
  <si>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</si>
  <si>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</si>
  <si>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</si>
  <si>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</si>
  <si>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</si>
  <si>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</si>
  <si>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</si>
  <si>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</si>
  <si>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</si>
  <si>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</si>
  <si>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</si>
  <si>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</si>
  <si>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</si>
  <si>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</si>
  <si>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</si>
  <si>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</si>
  <si>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</si>
  <si>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</si>
  <si>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</si>
  <si>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</si>
  <si>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</si>
  <si>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</si>
  <si>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</si>
  <si>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</si>
  <si>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</si>
  <si>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</si>
  <si>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</si>
  <si>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</si>
  <si>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</si>
  <si>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</si>
  <si>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</si>
  <si>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</si>
  <si>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</si>
  <si>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</si>
  <si>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</si>
  <si>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</si>
  <si>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</si>
  <si>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</si>
  <si>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</si>
  <si>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</si>
  <si>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</si>
  <si>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</si>
  <si>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</si>
  <si>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</si>
  <si>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</si>
  <si>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</si>
  <si>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</si>
  <si>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</si>
  <si>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</si>
  <si>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</si>
  <si>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</si>
  <si>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</si>
  <si>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</si>
  <si>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</si>
  <si>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</si>
  <si>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</si>
  <si>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</si>
  <si>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</si>
  <si>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</si>
  <si>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</si>
  <si>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</si>
  <si>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</si>
  <si>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</si>
  <si>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</si>
  <si>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</si>
  <si>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</si>
  <si>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</si>
  <si>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</si>
  <si>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</si>
  <si>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</si>
  <si>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</si>
  <si>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</si>
  <si>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</si>
  <si>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</si>
  <si>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</si>
  <si>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</si>
  <si>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</si>
  <si>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</si>
  <si>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</si>
  <si>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</si>
  <si>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</si>
  <si>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</si>
  <si>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</si>
  <si>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</si>
  <si>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</si>
  <si>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</si>
  <si>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</si>
  <si>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</si>
  <si>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</si>
  <si>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</si>
  <si>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</si>
  <si>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</si>
  <si>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</si>
  <si>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</si>
  <si>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</si>
  <si>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</si>
  <si>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</si>
  <si>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</si>
  <si>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</si>
  <si>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</si>
  <si>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</si>
  <si>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</si>
  <si>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</si>
  <si>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</si>
  <si>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</si>
  <si>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</si>
  <si>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</si>
  <si>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</si>
  <si>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</si>
  <si>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</si>
  <si>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</si>
  <si>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</si>
  <si>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</si>
  <si>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</si>
  <si>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</si>
  <si>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</si>
  <si>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</si>
  <si>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</si>
  <si>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</si>
  <si>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</si>
  <si>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</si>
  <si>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</si>
  <si>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</si>
  <si>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</si>
  <si>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</si>
  <si>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</si>
  <si>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</si>
  <si>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</si>
  <si>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</si>
  <si>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</si>
  <si>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</si>
  <si>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</si>
  <si>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</si>
  <si>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</si>
  <si>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</si>
  <si>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</si>
  <si>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</si>
  <si>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</si>
  <si>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</si>
  <si>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</si>
  <si>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</si>
  <si>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</si>
  <si>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</si>
  <si>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</si>
  <si>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</si>
  <si>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</si>
  <si>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</si>
  <si>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</si>
  <si>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</si>
  <si>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</si>
  <si>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</si>
  <si>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</si>
  <si>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</si>
  <si>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</si>
  <si>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</si>
  <si>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</si>
  <si>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</si>
  <si>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</si>
  <si>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</si>
  <si>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</si>
  <si>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</si>
  <si>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</si>
  <si>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</si>
  <si>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</si>
  <si>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</si>
  <si>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</si>
  <si>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</si>
  <si>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</si>
  <si>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</si>
  <si>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</si>
  <si>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</si>
  <si>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</si>
  <si>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</si>
  <si>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</si>
  <si>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</si>
  <si>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</si>
  <si>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</si>
  <si>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</si>
  <si>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</si>
  <si>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</si>
  <si>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</si>
  <si>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</si>
  <si>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</si>
  <si>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</si>
  <si>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</si>
  <si>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</si>
  <si>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</si>
  <si>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</si>
  <si>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</si>
  <si>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</si>
  <si>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</si>
  <si>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</si>
  <si>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</si>
  <si>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</si>
  <si>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</si>
  <si>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</si>
  <si>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</si>
  <si>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</si>
  <si>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</si>
  <si>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</si>
  <si>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</si>
  <si>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</si>
  <si>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</si>
  <si>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</si>
  <si>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</si>
  <si>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</si>
  <si>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</si>
  <si>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</si>
  <si>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</si>
  <si>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</si>
  <si>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</si>
  <si>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</si>
  <si>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</si>
  <si>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</si>
  <si>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</si>
  <si>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</si>
  <si>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</si>
  <si>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</si>
  <si>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</si>
  <si>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</si>
  <si>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</si>
  <si>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</si>
  <si>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</si>
  <si>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</si>
  <si>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</si>
  <si>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</si>
  <si>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</si>
  <si>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</si>
  <si>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</si>
  <si>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</si>
  <si>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</si>
  <si>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</si>
  <si>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</si>
  <si>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</si>
  <si>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</si>
  <si>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</si>
  <si>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</si>
  <si>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</si>
  <si>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</si>
  <si>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</si>
  <si>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</si>
  <si>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</si>
  <si>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</si>
  <si>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</si>
  <si>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</si>
  <si>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</si>
  <si>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</si>
  <si>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</si>
  <si>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</si>
  <si>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</si>
  <si>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</si>
  <si>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</si>
  <si>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</si>
  <si>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</si>
  <si>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</si>
  <si>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</si>
  <si>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</si>
  <si>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</si>
  <si>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</si>
  <si>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</si>
  <si>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</si>
  <si>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</si>
  <si>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</si>
  <si>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</si>
  <si>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</si>
  <si>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</si>
  <si>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</si>
  <si>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</si>
  <si>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</si>
  <si>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</si>
  <si>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</si>
  <si>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</si>
  <si>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</si>
  <si>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</si>
  <si>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</si>
  <si>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</si>
  <si>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</si>
  <si>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</si>
  <si>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</si>
  <si>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</si>
  <si>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</si>
  <si>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</si>
  <si>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</si>
  <si>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</si>
  <si>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</si>
  <si>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</si>
  <si>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</si>
  <si>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</si>
  <si>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</si>
  <si>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</si>
  <si>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</si>
  <si>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</si>
  <si>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</si>
  <si>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</si>
  <si>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</si>
  <si>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</si>
  <si>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</si>
  <si>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</si>
  <si>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</si>
  <si>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</si>
  <si>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</si>
  <si>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</si>
  <si>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</si>
  <si>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</si>
  <si>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</si>
  <si>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</si>
  <si>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</si>
  <si>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</si>
  <si>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</si>
  <si>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</si>
  <si>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</si>
  <si>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</si>
  <si>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</si>
  <si>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</si>
  <si>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</si>
  <si>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</si>
  <si>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</si>
  <si>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</si>
  <si>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</si>
  <si>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</si>
  <si>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</si>
  <si>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</si>
  <si>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</si>
  <si>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</si>
  <si>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</si>
  <si>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</si>
  <si>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</si>
  <si>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</si>
  <si>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</si>
  <si>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</si>
  <si>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</si>
  <si>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</si>
  <si>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</si>
  <si>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</si>
  <si>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</si>
  <si>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</si>
  <si>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</si>
  <si>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</si>
  <si>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</si>
  <si>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</si>
  <si>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</si>
  <si>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</si>
  <si>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</si>
  <si>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</si>
  <si>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</si>
  <si>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</si>
  <si>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</si>
  <si>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</si>
  <si>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</si>
  <si>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</si>
  <si>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</si>
  <si>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</si>
  <si>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</si>
  <si>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</si>
  <si>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</si>
  <si>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</si>
  <si>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</si>
  <si>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</si>
  <si>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</si>
  <si>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</si>
  <si>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</si>
  <si>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</si>
  <si>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</si>
  <si>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</si>
  <si>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</si>
  <si>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</si>
  <si>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</si>
  <si>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</si>
  <si>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</si>
  <si>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</si>
  <si>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</si>
  <si>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</si>
  <si>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</si>
  <si>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</si>
  <si>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</si>
  <si>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</si>
  <si>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</si>
  <si>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</si>
  <si>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</si>
  <si>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</si>
  <si>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</si>
  <si>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</si>
  <si>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</si>
  <si>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</si>
  <si>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</si>
  <si>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</si>
  <si>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</si>
  <si>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</si>
  <si>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</si>
  <si>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</si>
  <si>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</si>
  <si>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</si>
  <si>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</si>
  <si>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</si>
  <si>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</si>
  <si>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</si>
  <si>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</si>
  <si>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</si>
  <si>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</si>
  <si>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</si>
  <si>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</si>
  <si>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</si>
  <si>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</si>
  <si>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</si>
  <si>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</si>
  <si>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</si>
  <si>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</si>
  <si>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</si>
  <si>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</si>
  <si>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</si>
  <si>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</si>
  <si>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</si>
  <si>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</si>
  <si>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</si>
  <si>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</si>
  <si>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</si>
  <si>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</si>
  <si>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</si>
  <si>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</si>
  <si>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</si>
  <si>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</si>
  <si>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</si>
  <si>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</si>
  <si>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</si>
  <si>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</si>
  <si>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</si>
  <si>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</si>
  <si>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</si>
  <si>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</si>
  <si>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</si>
  <si>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</si>
  <si>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</si>
  <si>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</si>
  <si>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</si>
  <si>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</si>
  <si>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</si>
  <si>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</si>
  <si>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</si>
  <si>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</si>
  <si>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</si>
  <si>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</si>
  <si>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</si>
  <si>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</si>
  <si>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</si>
  <si>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</si>
  <si>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</si>
  <si>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</si>
  <si>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</si>
  <si>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</si>
  <si>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</si>
  <si>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</si>
  <si>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</si>
  <si>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</si>
  <si>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</si>
  <si>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</si>
  <si>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</si>
  <si>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</si>
  <si>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</si>
  <si>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</si>
  <si>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</si>
  <si>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</si>
  <si>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</si>
  <si>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</si>
  <si>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</si>
  <si>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</si>
  <si>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</si>
  <si>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</si>
  <si>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</si>
  <si>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</si>
  <si>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</si>
  <si>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</si>
  <si>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</si>
  <si>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</si>
  <si>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</si>
  <si>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</si>
  <si>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</si>
  <si>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</si>
  <si>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</si>
  <si>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</si>
  <si>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</si>
  <si>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</si>
  <si>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</si>
  <si>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</si>
  <si>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</si>
  <si>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</si>
  <si>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</si>
  <si>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</si>
  <si>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</si>
  <si>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</si>
  <si>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</si>
  <si>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</si>
  <si>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</si>
  <si>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</si>
  <si>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</si>
  <si>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</si>
  <si>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</si>
  <si>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</si>
  <si>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</si>
  <si>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</si>
  <si>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</si>
  <si>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</si>
  <si>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</si>
  <si>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</si>
  <si>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</si>
  <si>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</si>
  <si>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</si>
  <si>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</si>
  <si>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</si>
  <si>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</si>
  <si>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</si>
  <si>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</si>
  <si>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</si>
  <si>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</si>
  <si>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</si>
  <si>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</si>
  <si>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</si>
  <si>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</si>
  <si>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</si>
  <si>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</si>
  <si>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</si>
  <si>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</si>
  <si>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</si>
  <si>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</si>
  <si>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</si>
  <si>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</si>
  <si>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</si>
  <si>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</si>
  <si>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</si>
  <si>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</si>
  <si>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</si>
  <si>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</si>
  <si>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</si>
  <si>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</si>
  <si>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</si>
  <si>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</si>
  <si>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</si>
  <si>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</si>
  <si>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</si>
  <si>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</si>
  <si>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</si>
  <si>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</si>
  <si>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</si>
  <si>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</si>
  <si>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</si>
  <si>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</si>
  <si>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</si>
  <si>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</si>
  <si>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</si>
  <si>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</si>
  <si>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</si>
  <si>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</si>
  <si>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</si>
  <si>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</si>
  <si>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</si>
  <si>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</si>
  <si>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</si>
  <si>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</si>
  <si>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</si>
  <si>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</si>
  <si>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</si>
  <si>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</si>
  <si>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</si>
  <si>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</si>
  <si>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</si>
  <si>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</si>
  <si>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</si>
  <si>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</si>
  <si>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</si>
  <si>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</si>
  <si>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</si>
  <si>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</si>
  <si>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</si>
  <si>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</si>
  <si>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</si>
  <si>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</si>
  <si>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</si>
  <si>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</si>
  <si>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</si>
  <si>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</si>
  <si>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</si>
  <si>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</si>
  <si>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</si>
  <si>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</si>
  <si>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</si>
  <si>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</si>
  <si>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</si>
  <si>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</si>
  <si>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</si>
  <si>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</si>
  <si>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</si>
  <si>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</si>
  <si>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</si>
  <si>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</si>
  <si>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</si>
  <si>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</si>
  <si>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</si>
  <si>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</si>
  <si>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</si>
  <si>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</si>
  <si>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</si>
  <si>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</si>
  <si>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</si>
  <si>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</si>
  <si>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</si>
  <si>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</si>
  <si>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</si>
  <si>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</si>
  <si>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</si>
  <si>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</si>
  <si>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</si>
  <si>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</si>
  <si>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</si>
  <si>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</si>
  <si>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</si>
  <si>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</si>
  <si>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</si>
  <si>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</si>
  <si>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</si>
  <si>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</si>
  <si>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</si>
  <si>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</si>
  <si>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</si>
  <si>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</si>
  <si>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</si>
  <si>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</si>
  <si>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</si>
  <si>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</si>
  <si>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</si>
  <si>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</si>
  <si>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</si>
  <si>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</si>
  <si>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</si>
  <si>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</si>
  <si>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</si>
  <si>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</si>
  <si>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</si>
  <si>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</si>
  <si>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</si>
  <si>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</si>
  <si>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</si>
  <si>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</si>
  <si>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</si>
  <si>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</si>
  <si>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</si>
  <si>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</si>
  <si>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</si>
  <si>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</si>
  <si>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</si>
  <si>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</si>
  <si>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</si>
  <si>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</si>
  <si>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</si>
  <si>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</si>
  <si>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</si>
  <si>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</si>
  <si>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</si>
  <si>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</si>
  <si>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</si>
  <si>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</si>
  <si>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</si>
  <si>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</si>
  <si>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</si>
  <si>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</si>
  <si>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</si>
  <si>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</si>
  <si>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</si>
  <si>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</si>
  <si>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</si>
  <si>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</si>
  <si>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</si>
  <si>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</si>
  <si>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</si>
  <si>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</si>
  <si>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</si>
  <si>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</si>
  <si>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</si>
  <si>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</si>
  <si>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</si>
  <si>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</si>
  <si>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</si>
  <si>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</si>
  <si>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</si>
  <si>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</si>
  <si>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</si>
  <si>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</si>
  <si>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</si>
  <si>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</si>
  <si>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</si>
  <si>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</si>
  <si>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</si>
  <si>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</si>
  <si>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</si>
  <si>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</si>
  <si>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</si>
  <si>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</si>
  <si>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</si>
  <si>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</si>
  <si>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</si>
  <si>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</si>
  <si>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</si>
  <si>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</si>
  <si>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</si>
  <si>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</si>
  <si>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</si>
  <si>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</si>
  <si>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</si>
  <si>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</si>
  <si>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</si>
  <si>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</si>
  <si>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</si>
  <si>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</si>
  <si>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</si>
  <si>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</si>
  <si>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</si>
  <si>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</si>
  <si>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</si>
  <si>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</si>
  <si>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</si>
  <si>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</si>
  <si>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</si>
  <si>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</si>
  <si>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</si>
  <si>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</si>
  <si>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</si>
  <si>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</si>
  <si>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</si>
  <si>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</si>
  <si>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</si>
  <si>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</si>
  <si>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</si>
  <si>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</si>
  <si>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</si>
  <si>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</si>
  <si>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</si>
  <si>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</si>
  <si>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</si>
  <si>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</si>
  <si>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</si>
  <si>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</si>
  <si>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</si>
  <si>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</si>
  <si>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</si>
  <si>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</si>
  <si>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</si>
  <si>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</si>
  <si>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</si>
  <si>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</si>
  <si>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</si>
  <si>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</si>
  <si>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</si>
  <si>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</si>
  <si>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</si>
  <si>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</si>
  <si>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</si>
  <si>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</si>
  <si>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</si>
  <si>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</si>
  <si>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</si>
  <si>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</si>
  <si>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</si>
  <si>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</si>
  <si>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</si>
  <si>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</si>
  <si>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</si>
  <si>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</si>
  <si>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</si>
  <si>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</si>
  <si>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</si>
  <si>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</si>
  <si>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</si>
  <si>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</si>
  <si>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</si>
  <si>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</si>
  <si>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</si>
  <si>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</si>
  <si>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</si>
  <si>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</si>
  <si>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</si>
  <si>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</si>
  <si>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</si>
  <si>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</si>
  <si>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</si>
  <si>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</si>
  <si>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</si>
  <si>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</si>
  <si>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</si>
  <si>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</si>
  <si>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</si>
  <si>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</si>
  <si>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</si>
  <si>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</si>
  <si>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</si>
  <si>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</si>
  <si>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</si>
  <si>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</si>
  <si>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</si>
  <si>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</si>
  <si>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</si>
  <si>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</si>
  <si>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</si>
  <si>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</si>
  <si>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</si>
  <si>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</si>
  <si>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</si>
  <si>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</si>
  <si>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</si>
  <si>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</si>
  <si>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</si>
  <si>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</si>
  <si>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</si>
  <si>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</si>
  <si>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</si>
  <si>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</si>
  <si>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</si>
  <si>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</si>
  <si>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</si>
  <si>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</si>
  <si>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</si>
  <si>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</si>
  <si>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</si>
  <si>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</si>
  <si>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</si>
  <si>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</si>
  <si>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</si>
  <si>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</si>
  <si>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</si>
  <si>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</si>
  <si>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</si>
  <si>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</si>
  <si>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</si>
  <si>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</si>
  <si>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</si>
  <si>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</si>
  <si>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</si>
  <si>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</si>
  <si>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</si>
  <si>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</si>
  <si>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</si>
  <si>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</si>
  <si>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</si>
  <si>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</si>
  <si>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</si>
  <si>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</si>
  <si>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</si>
  <si>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</si>
  <si>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</si>
  <si>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</si>
  <si>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</si>
  <si>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</si>
  <si>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</si>
  <si>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</si>
  <si>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</si>
  <si>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</si>
  <si>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</si>
  <si>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</si>
  <si>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</si>
  <si>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</si>
  <si>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</si>
  <si>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</si>
  <si>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</si>
  <si>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</si>
  <si>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</si>
  <si>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</si>
  <si>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</si>
  <si>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</si>
  <si>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</si>
  <si>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</si>
  <si>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</si>
  <si>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</si>
  <si>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</si>
  <si>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</si>
  <si>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</si>
  <si>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</si>
  <si>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</si>
  <si>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</si>
  <si>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</si>
  <si>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</si>
  <si>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</si>
  <si>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</si>
  <si>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</si>
  <si>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</si>
  <si>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</si>
  <si>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</si>
  <si>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</si>
  <si>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</si>
  <si>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</si>
  <si>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</si>
  <si>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</si>
  <si>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</si>
  <si>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</si>
  <si>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</si>
  <si>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</si>
  <si>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</si>
  <si>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</si>
  <si>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</si>
  <si>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</si>
  <si>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</si>
  <si>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</si>
  <si>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</si>
  <si>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</si>
  <si>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</si>
  <si>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</si>
  <si>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</si>
  <si>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</si>
  <si>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</si>
  <si>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</si>
  <si>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</si>
  <si>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</si>
  <si>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</si>
  <si>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</si>
  <si>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</si>
  <si>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</si>
  <si>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</si>
  <si>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</si>
  <si>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</si>
  <si>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</si>
  <si>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</si>
  <si>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</si>
  <si>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</si>
  <si>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</si>
  <si>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</si>
  <si>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</si>
  <si>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</si>
  <si>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</si>
  <si>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</si>
  <si>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</si>
  <si>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</si>
  <si>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</si>
  <si>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</si>
  <si>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</si>
  <si>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</si>
  <si>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</si>
  <si>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</si>
  <si>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</si>
  <si>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</si>
  <si>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</si>
  <si>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</si>
  <si>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</si>
  <si>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</si>
  <si>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</si>
  <si>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</si>
  <si>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</si>
  <si>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</si>
  <si>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</si>
  <si>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</si>
  <si>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</si>
  <si>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</si>
  <si>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</si>
  <si>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</si>
  <si>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</si>
  <si>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</si>
  <si>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</si>
  <si>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</si>
  <si>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</si>
  <si>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</si>
  <si>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</si>
  <si>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</si>
  <si>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</si>
  <si>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</si>
  <si>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</si>
  <si>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</si>
  <si>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</si>
  <si>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</si>
  <si>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</si>
  <si>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</si>
  <si>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</si>
  <si>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</si>
  <si>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</si>
  <si>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</si>
  <si>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</si>
  <si>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</si>
  <si>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</si>
  <si>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</si>
  <si>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</si>
  <si>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</si>
  <si>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</si>
  <si>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</si>
  <si>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</si>
  <si>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</si>
  <si>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</si>
  <si>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</si>
  <si>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</si>
  <si>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</si>
  <si>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</si>
  <si>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</si>
  <si>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</si>
  <si>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</si>
  <si>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</si>
  <si>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</si>
  <si>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</si>
  <si>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</si>
  <si>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</si>
  <si>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</si>
  <si>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</si>
  <si>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</si>
  <si>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</si>
  <si>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</si>
  <si>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</si>
  <si>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</si>
  <si>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</si>
  <si>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</si>
  <si>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</si>
  <si>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</si>
  <si>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</si>
  <si>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</si>
  <si>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</si>
  <si>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</si>
  <si>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</si>
  <si>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</si>
  <si>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</si>
  <si>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</si>
  <si>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</si>
  <si>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</si>
  <si>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</si>
  <si>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</si>
  <si>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</si>
  <si>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</si>
  <si>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</si>
  <si>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</si>
  <si>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</si>
  <si>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</si>
  <si>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</si>
  <si>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</si>
  <si>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</si>
  <si>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</si>
  <si>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</si>
  <si>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</si>
  <si>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</si>
  <si>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</si>
  <si>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</si>
  <si>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</si>
  <si>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</si>
  <si>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</si>
  <si>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</si>
  <si>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</si>
  <si>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</si>
  <si>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</si>
  <si>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</si>
  <si>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</si>
  <si>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</si>
  <si>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</si>
  <si>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</si>
  <si>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</si>
  <si>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</si>
  <si>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</si>
  <si>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</si>
  <si>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</si>
  <si>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</si>
  <si>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</si>
  <si>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</si>
  <si>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</si>
  <si>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</si>
  <si>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</si>
  <si>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</si>
  <si>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</si>
  <si>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</si>
  <si>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</si>
  <si>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</si>
  <si>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</si>
  <si>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</si>
  <si>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</si>
  <si>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</si>
  <si>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</si>
  <si>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</si>
  <si>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</si>
  <si>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</si>
  <si>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</si>
  <si>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</si>
  <si>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</si>
  <si>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</si>
  <si>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</si>
  <si>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</si>
  <si>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</si>
  <si>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</si>
  <si>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</si>
  <si>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</si>
  <si>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</si>
  <si>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</si>
  <si>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</si>
  <si>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</si>
  <si>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</si>
  <si>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</si>
  <si>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</si>
  <si>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</si>
  <si>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</si>
  <si>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</si>
  <si>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</si>
  <si>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</si>
  <si>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</si>
  <si>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</si>
  <si>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</si>
  <si>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</si>
  <si>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</si>
  <si>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</si>
  <si>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</si>
  <si>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</si>
  <si>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</si>
  <si>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</si>
  <si>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</si>
  <si>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</si>
  <si>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</si>
  <si>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</si>
  <si>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</si>
  <si>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</si>
  <si>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</si>
  <si>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</si>
  <si>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</si>
  <si>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</si>
  <si>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</si>
  <si>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</si>
  <si>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</si>
  <si>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</si>
  <si>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</si>
  <si>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</si>
  <si>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</si>
  <si>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</si>
  <si>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</si>
  <si>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</si>
  <si>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</si>
  <si>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</si>
  <si>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</si>
  <si>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</si>
  <si>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</si>
  <si>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</si>
  <si>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</si>
  <si>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</si>
  <si>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</si>
  <si>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</si>
  <si>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</si>
  <si>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</si>
  <si>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</si>
  <si>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</si>
  <si>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</si>
  <si>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</si>
  <si>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</si>
  <si>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</si>
  <si>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</si>
  <si>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</si>
  <si>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</si>
  <si>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</si>
  <si>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</si>
  <si>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</si>
  <si>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</si>
  <si>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</si>
  <si>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</si>
  <si>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</si>
  <si>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</si>
  <si>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</si>
  <si>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</si>
  <si>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</si>
  <si>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</si>
  <si>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</si>
  <si>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</si>
  <si>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</si>
  <si>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</si>
  <si>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</si>
  <si>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</si>
  <si>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</si>
  <si>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</si>
  <si>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</si>
  <si>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</si>
  <si>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</si>
  <si>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</si>
  <si>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</si>
  <si>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</si>
  <si>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</si>
  <si>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</si>
  <si>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</si>
  <si>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</si>
  <si>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</si>
  <si>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</si>
  <si>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</si>
  <si>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</si>
  <si>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</si>
  <si>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</si>
  <si>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</si>
  <si>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</si>
  <si>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</si>
  <si>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</si>
  <si>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</si>
  <si>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</si>
  <si>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</si>
  <si>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</si>
  <si>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</si>
  <si>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</si>
  <si>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</si>
  <si>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</si>
  <si>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</si>
  <si>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</si>
  <si>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</si>
  <si>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</si>
  <si>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</si>
  <si>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</si>
  <si>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</si>
  <si>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</si>
  <si>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</si>
  <si>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</si>
  <si>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</si>
  <si>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</si>
  <si>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</si>
  <si>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</si>
  <si>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</si>
  <si>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</si>
  <si>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</si>
  <si>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</si>
  <si>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</si>
  <si>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</si>
  <si>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</si>
  <si>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</si>
  <si>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</si>
  <si>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</si>
  <si>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</si>
  <si>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</si>
  <si>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</si>
  <si>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</si>
  <si>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</si>
  <si>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</si>
  <si>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</si>
  <si>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</si>
  <si>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</si>
  <si>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</si>
  <si>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</si>
  <si>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</si>
  <si>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</si>
  <si>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</si>
  <si>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</si>
  <si>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</si>
  <si>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</si>
  <si>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</si>
  <si>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</si>
  <si>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</si>
  <si>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</si>
  <si>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</si>
  <si>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</si>
  <si>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</si>
  <si>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</si>
  <si>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</si>
  <si>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</si>
  <si>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</si>
  <si>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</si>
  <si>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</si>
  <si>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</si>
  <si>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</si>
  <si>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</si>
  <si>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</si>
  <si>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</si>
  <si>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</si>
  <si>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</si>
  <si>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</si>
  <si>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</si>
  <si>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</si>
  <si>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</si>
  <si>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</si>
  <si>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</si>
  <si>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</si>
  <si>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</si>
  <si>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</si>
  <si>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</si>
  <si>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</si>
  <si>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</si>
  <si>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</si>
  <si>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</si>
  <si>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</si>
  <si>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</si>
  <si>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</si>
  <si>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</si>
  <si>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</si>
  <si>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</si>
  <si>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</si>
  <si>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</si>
  <si>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</si>
  <si>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</si>
  <si>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</si>
  <si>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</si>
  <si>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</si>
  <si>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</si>
  <si>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</si>
  <si>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</si>
  <si>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</si>
  <si>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</si>
  <si>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</si>
  <si>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</si>
  <si>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</si>
  <si>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</si>
  <si>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</si>
  <si>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</si>
  <si>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</si>
  <si>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</si>
  <si>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</si>
  <si>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</si>
  <si>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</si>
  <si>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</si>
  <si>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</si>
  <si>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</si>
  <si>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</si>
  <si>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</si>
  <si>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</si>
  <si>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</si>
  <si>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</si>
  <si>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</si>
  <si>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</si>
  <si>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</si>
  <si>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</si>
  <si>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</si>
  <si>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</si>
  <si>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</si>
  <si>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</si>
  <si>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</si>
  <si>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</si>
  <si>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</si>
  <si>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</si>
  <si>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</si>
  <si>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</si>
  <si>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</si>
  <si>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</si>
  <si>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</si>
  <si>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</si>
  <si>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</si>
  <si>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</si>
  <si>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</si>
  <si>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</si>
  <si>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</si>
  <si>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</si>
  <si>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</si>
  <si>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</si>
  <si>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</si>
  <si>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</si>
  <si>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</si>
  <si>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</si>
  <si>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</si>
  <si>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</si>
  <si>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</si>
  <si>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</si>
  <si>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</si>
  <si>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</si>
  <si>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</si>
  <si>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</si>
  <si>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</si>
  <si>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</si>
  <si>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</si>
  <si>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</si>
  <si>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</si>
  <si>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</si>
  <si>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</si>
  <si>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</si>
  <si>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</si>
  <si>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</si>
  <si>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</si>
  <si>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</si>
  <si>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</si>
  <si>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</si>
  <si>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</si>
  <si>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</si>
  <si>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</si>
  <si>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</si>
  <si>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</si>
  <si>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</si>
  <si>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</si>
  <si>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</si>
  <si>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</si>
  <si>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</si>
  <si>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</si>
  <si>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</si>
  <si>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</si>
  <si>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</si>
  <si>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</si>
  <si>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</si>
  <si>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</si>
  <si>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</si>
  <si>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</si>
  <si>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</si>
  <si>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</si>
  <si>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</si>
  <si>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</si>
  <si>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</si>
  <si>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</si>
  <si>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</si>
  <si>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</si>
  <si>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</si>
  <si>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</si>
  <si>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</si>
  <si>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</si>
  <si>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</si>
  <si>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</si>
  <si>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</si>
  <si>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</si>
  <si>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</si>
  <si>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</si>
  <si>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</si>
  <si>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</si>
  <si>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</si>
  <si>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</si>
  <si>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</si>
  <si>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</si>
  <si>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</si>
  <si>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</si>
  <si>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</si>
  <si>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</si>
  <si>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</si>
  <si>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</si>
  <si>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</si>
  <si>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</si>
  <si>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</si>
  <si>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</si>
  <si>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</si>
  <si>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</si>
  <si>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</si>
  <si>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</si>
  <si>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</si>
  <si>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</si>
  <si>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</si>
  <si>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</si>
  <si>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</si>
  <si>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</si>
  <si>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</si>
  <si>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</si>
  <si>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</si>
  <si>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</si>
  <si>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</si>
  <si>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</si>
  <si>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</si>
  <si>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</si>
  <si>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</si>
  <si>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</si>
  <si>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</si>
  <si>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</si>
  <si>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</si>
  <si>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</si>
  <si>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</si>
  <si>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</si>
  <si>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</si>
  <si>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</si>
  <si>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</si>
  <si>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</si>
  <si>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</si>
  <si>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</si>
  <si>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</si>
  <si>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</si>
  <si>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</si>
  <si>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</si>
  <si>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</si>
  <si>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</si>
  <si>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</si>
  <si>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</si>
  <si>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</si>
  <si>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</si>
  <si>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</si>
  <si>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</si>
  <si>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</si>
  <si>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</si>
  <si>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</si>
  <si>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</si>
  <si>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</si>
  <si>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</si>
  <si>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</si>
  <si>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</si>
  <si>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</si>
  <si>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</si>
  <si>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</si>
  <si>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</si>
  <si>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</si>
  <si>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</si>
  <si>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</si>
  <si>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</si>
  <si>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</si>
  <si>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</si>
  <si>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</si>
  <si>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</si>
  <si>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</si>
  <si>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</si>
  <si>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</si>
  <si>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</si>
  <si>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</si>
  <si>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</si>
  <si>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</si>
  <si>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</si>
  <si>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</si>
  <si>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</si>
  <si>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</si>
  <si>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</si>
  <si>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</si>
  <si>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</si>
  <si>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</si>
  <si>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</si>
  <si>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</si>
  <si>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</si>
  <si>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</si>
  <si>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</si>
  <si>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</si>
  <si>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</si>
  <si>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</si>
  <si>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</si>
  <si>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</si>
  <si>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</si>
  <si>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</si>
  <si>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</si>
  <si>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</si>
  <si>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</si>
  <si>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</si>
  <si>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</si>
  <si>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</si>
  <si>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</si>
  <si>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</si>
  <si>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</si>
  <si>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</si>
  <si>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</si>
  <si>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</si>
  <si>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</si>
  <si>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</si>
  <si>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</si>
  <si>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</si>
  <si>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</si>
  <si>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</si>
  <si>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</si>
  <si>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</si>
  <si>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</si>
  <si>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</si>
  <si>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</si>
  <si>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</si>
  <si>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</si>
  <si>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</si>
  <si>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</si>
  <si>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</si>
  <si>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</si>
  <si>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</si>
  <si>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</si>
  <si>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</si>
  <si>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</si>
  <si>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</si>
  <si>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</si>
  <si>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</si>
  <si>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</si>
  <si>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</si>
  <si>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</si>
  <si>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</si>
  <si>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</si>
  <si>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</si>
  <si>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</si>
  <si>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</si>
  <si>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</si>
  <si>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</si>
  <si>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</si>
  <si>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</si>
  <si>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</si>
  <si>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</si>
  <si>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</si>
  <si>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</si>
  <si>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</si>
  <si>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</si>
  <si>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</si>
  <si>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</si>
  <si>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</si>
  <si>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</si>
  <si>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</si>
  <si>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</si>
  <si>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</si>
  <si>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</si>
  <si>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</si>
  <si>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</si>
  <si>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</si>
  <si>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</si>
  <si>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</si>
  <si>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</si>
  <si>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</si>
  <si>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</si>
  <si>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</si>
  <si>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</si>
  <si>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</si>
  <si>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</si>
  <si>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</si>
  <si>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</si>
  <si>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</si>
  <si>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</si>
  <si>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</si>
  <si>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</si>
  <si>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</si>
  <si>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</si>
  <si>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</si>
  <si>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</si>
  <si>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</si>
  <si>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</si>
  <si>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</si>
  <si>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</si>
  <si>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</si>
  <si>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</si>
  <si>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</si>
  <si>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</si>
  <si>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</si>
  <si>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</si>
  <si>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</si>
  <si>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</si>
  <si>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</si>
  <si>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</si>
  <si>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</si>
  <si>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</si>
  <si>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</si>
  <si>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</si>
  <si>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</si>
  <si>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</si>
  <si>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</si>
  <si>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</si>
  <si>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</si>
  <si>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</si>
  <si>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</si>
  <si>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</si>
  <si>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</si>
  <si>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</si>
  <si>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</si>
  <si>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</si>
  <si>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</si>
  <si>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</si>
  <si>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</si>
  <si>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</si>
  <si>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</si>
  <si>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</si>
  <si>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</si>
  <si>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</si>
  <si>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</si>
  <si>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</si>
  <si>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</si>
  <si>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</si>
  <si>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</si>
  <si>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</si>
  <si>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</si>
  <si>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</si>
  <si>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</si>
  <si>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</si>
  <si>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</si>
  <si>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</si>
  <si>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</si>
  <si>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</si>
  <si>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</si>
  <si>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</si>
  <si>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</si>
  <si>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</si>
  <si>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</si>
  <si>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</si>
  <si>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</si>
  <si>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</si>
  <si>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</si>
  <si>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</si>
  <si>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</si>
  <si>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</si>
  <si>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</si>
  <si>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</si>
  <si>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</si>
  <si>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</si>
  <si>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</si>
  <si>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</si>
  <si>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</si>
  <si>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</si>
  <si>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</si>
  <si>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</si>
  <si>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</si>
  <si>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</si>
  <si>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</si>
  <si>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</si>
  <si>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</si>
  <si>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</si>
  <si>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</si>
  <si>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</si>
  <si>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</si>
  <si>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</si>
  <si>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</si>
  <si>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</si>
  <si>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</si>
  <si>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</si>
  <si>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</si>
  <si>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</si>
  <si>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</si>
  <si>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</si>
  <si>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</si>
  <si>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</si>
  <si>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</si>
  <si>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</si>
  <si>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</si>
  <si>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</si>
  <si>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</si>
  <si>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</si>
  <si>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</si>
  <si>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</si>
  <si>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</si>
  <si>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</si>
  <si>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</si>
  <si>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</si>
  <si>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</si>
  <si>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</si>
  <si>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</si>
  <si>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</si>
  <si>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</si>
  <si>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</si>
  <si>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</si>
  <si>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</si>
  <si>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</si>
  <si>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</si>
  <si>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</si>
  <si>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</si>
  <si>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</si>
  <si>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</si>
  <si>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</si>
  <si>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</si>
  <si>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</si>
  <si>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</si>
  <si>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</si>
  <si>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</si>
  <si>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</si>
  <si>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</si>
  <si>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</si>
  <si>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</si>
  <si>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</si>
  <si>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</si>
  <si>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</si>
  <si>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</si>
  <si>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</si>
  <si>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</si>
  <si>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</si>
  <si>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</si>
  <si>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</si>
  <si>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</si>
  <si>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</si>
  <si>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</si>
  <si>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</si>
  <si>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</si>
  <si>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</si>
  <si>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</si>
  <si>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</si>
  <si>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</si>
  <si>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</si>
  <si>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</si>
  <si>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</si>
  <si>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</si>
  <si>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</si>
  <si>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</si>
  <si>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</si>
  <si>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</si>
  <si>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</si>
  <si>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</si>
  <si>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</si>
  <si>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</si>
  <si>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</si>
  <si>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</si>
  <si>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</si>
  <si>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</si>
  <si>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</si>
  <si>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</si>
  <si>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</si>
  <si>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</si>
  <si>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</si>
  <si>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</si>
  <si>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</si>
  <si>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</si>
  <si>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</si>
  <si>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</si>
  <si>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</si>
  <si>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</si>
  <si>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</si>
  <si>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</si>
  <si>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</si>
  <si>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</si>
  <si>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</si>
  <si>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</si>
  <si>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</si>
  <si>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</si>
  <si>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</si>
  <si>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</si>
  <si>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</si>
  <si>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</si>
  <si>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</si>
  <si>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</si>
  <si>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</si>
  <si>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</si>
  <si>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</si>
  <si>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</si>
  <si>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</si>
  <si>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</si>
  <si>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</si>
  <si>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</si>
  <si>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</si>
  <si>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</si>
  <si>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</si>
  <si>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</si>
  <si>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</si>
  <si>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</si>
  <si>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</si>
  <si>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</si>
  <si>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</si>
  <si>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</si>
  <si>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</si>
  <si>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</si>
  <si>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</si>
  <si>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</si>
  <si>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</si>
  <si>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</si>
  <si>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</si>
  <si>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</si>
  <si>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</si>
  <si>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</si>
  <si>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</si>
  <si>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</si>
  <si>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</si>
  <si>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</si>
  <si>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</si>
  <si>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</si>
  <si>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</si>
  <si>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</si>
  <si>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</si>
  <si>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</si>
  <si>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</si>
  <si>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</si>
  <si>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</si>
  <si>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</si>
  <si>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</si>
  <si>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</si>
  <si>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</si>
  <si>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</si>
  <si>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</si>
  <si>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</si>
  <si>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</si>
  <si>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</si>
  <si>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</si>
  <si>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</si>
  <si>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</si>
  <si>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</si>
  <si>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</si>
  <si>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</si>
  <si>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</si>
  <si>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</si>
  <si>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</si>
  <si>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</si>
  <si>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</si>
  <si>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</si>
  <si>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</si>
  <si>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</si>
  <si>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</si>
  <si>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</si>
  <si>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</si>
  <si>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</si>
  <si>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</si>
  <si>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</si>
  <si>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</si>
  <si>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</si>
  <si>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</si>
  <si>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</si>
  <si>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</si>
  <si>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</si>
  <si>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</si>
  <si>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</si>
  <si>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</si>
  <si>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</si>
  <si>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</si>
  <si>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</si>
  <si>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</si>
  <si>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</si>
  <si>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</si>
  <si>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</si>
  <si>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</si>
  <si>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</si>
  <si>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</si>
  <si>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</si>
  <si>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</si>
  <si>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</si>
  <si>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</si>
  <si>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</si>
  <si>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</si>
  <si>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</si>
  <si>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</si>
  <si>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</si>
  <si>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</si>
  <si>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</si>
  <si>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</si>
  <si>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</si>
  <si>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</si>
  <si>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</si>
  <si>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</si>
  <si>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</si>
  <si>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</si>
  <si>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</si>
  <si>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</si>
  <si>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</si>
  <si>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</si>
  <si>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</si>
  <si>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</si>
  <si>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</si>
  <si>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</si>
  <si>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</si>
  <si>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</si>
  <si>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</si>
  <si>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</si>
  <si>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</si>
  <si>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</si>
  <si>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</si>
  <si>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</si>
  <si>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</si>
  <si>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</si>
  <si>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</si>
  <si>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</si>
  <si>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</si>
  <si>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</si>
  <si>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</si>
  <si>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</si>
  <si>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</si>
  <si>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</si>
  <si>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</si>
  <si>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</si>
  <si>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</si>
  <si>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</si>
  <si>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</si>
  <si>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</si>
  <si>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</si>
  <si>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</si>
  <si>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</si>
  <si>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</si>
  <si>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</si>
  <si>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</si>
  <si>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</si>
  <si>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</si>
  <si>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</si>
  <si>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</si>
  <si>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</si>
  <si>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</si>
  <si>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</si>
  <si>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</si>
  <si>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</si>
  <si>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</si>
  <si>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</si>
  <si>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</si>
  <si>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</si>
  <si>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</si>
  <si>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</si>
  <si>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</si>
  <si>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</si>
  <si>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</si>
  <si>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</si>
  <si>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</si>
  <si>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</si>
  <si>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</si>
  <si>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</si>
  <si>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</si>
  <si>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</si>
  <si>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</si>
  <si>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</si>
  <si>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</si>
  <si>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</si>
  <si>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</si>
  <si>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</si>
  <si>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</si>
  <si>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</si>
  <si>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</si>
  <si>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</si>
  <si>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</si>
  <si>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</si>
  <si>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</si>
  <si>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</si>
  <si>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</si>
  <si>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</si>
  <si>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</si>
  <si>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</si>
  <si>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</si>
  <si>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</si>
  <si>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</si>
  <si>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</si>
  <si>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</si>
  <si>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</si>
  <si>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</si>
  <si>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</si>
  <si>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</si>
  <si>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</si>
  <si>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</si>
  <si>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</si>
  <si>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</si>
  <si>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</si>
  <si>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</si>
  <si>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</si>
  <si>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</si>
  <si>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</si>
  <si>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</si>
  <si>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</si>
  <si>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</si>
  <si>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</si>
  <si>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</si>
  <si>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</si>
  <si>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</si>
  <si>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</si>
  <si>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</si>
  <si>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</si>
  <si>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</si>
  <si>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</si>
  <si>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</si>
  <si>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</si>
  <si>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</si>
  <si>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</si>
  <si>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</si>
  <si>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</si>
  <si>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</si>
  <si>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</si>
  <si>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</si>
  <si>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</si>
  <si>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</si>
  <si>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</si>
  <si>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</si>
  <si>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</si>
  <si>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</si>
  <si>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</si>
  <si>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</si>
  <si>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</si>
  <si>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</si>
  <si>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</si>
  <si>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</si>
  <si>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</si>
  <si>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</si>
  <si>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</si>
  <si>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</si>
  <si>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</si>
  <si>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</si>
  <si>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</si>
  <si>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</si>
  <si>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</si>
  <si>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</si>
  <si>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</si>
  <si>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</si>
  <si>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</si>
  <si>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</si>
  <si>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</si>
  <si>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</si>
  <si>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</si>
  <si>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</si>
  <si>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</si>
  <si>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</si>
  <si>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</si>
  <si>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</si>
  <si>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</si>
  <si>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</si>
  <si>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</si>
  <si>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</si>
  <si>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</si>
  <si>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</si>
  <si>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</si>
  <si>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</si>
  <si>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</si>
  <si>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</si>
  <si>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</si>
  <si>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</si>
  <si>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</si>
  <si>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</si>
  <si>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</si>
  <si>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</si>
  <si>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</si>
  <si>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</si>
  <si>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</si>
  <si>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</si>
  <si>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</si>
  <si>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</si>
  <si>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</si>
  <si>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</si>
  <si>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</si>
  <si>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</si>
  <si>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</si>
  <si>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</si>
  <si>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</si>
  <si>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</si>
  <si>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</si>
  <si>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</si>
  <si>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</si>
  <si>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</si>
  <si>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</si>
  <si>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</si>
  <si>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</si>
  <si>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</si>
  <si>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</si>
  <si>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</si>
  <si>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</si>
  <si>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</si>
  <si>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</si>
  <si>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</si>
  <si>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</si>
  <si>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</si>
  <si>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</si>
  <si>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</si>
  <si>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</si>
  <si>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</si>
  <si>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</si>
  <si>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</si>
  <si>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</si>
  <si>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</si>
  <si>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</si>
  <si>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</si>
  <si>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</si>
  <si>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</si>
  <si>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</si>
  <si>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</si>
  <si>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</si>
  <si>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</si>
  <si>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</si>
  <si>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</si>
  <si>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</si>
  <si>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</si>
  <si>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</si>
  <si>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</si>
  <si>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</si>
  <si>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</si>
  <si>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</si>
  <si>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</si>
  <si>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</si>
  <si>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</si>
  <si>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</si>
  <si>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</si>
  <si>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</si>
  <si>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</si>
  <si>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</si>
  <si>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</si>
  <si>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</si>
  <si>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</si>
  <si>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</si>
  <si>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</si>
  <si>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</si>
  <si>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</si>
  <si>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</si>
  <si>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</si>
  <si>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</si>
  <si>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</si>
  <si>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</si>
  <si>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</si>
  <si>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</si>
  <si>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</si>
  <si>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</si>
  <si>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</si>
  <si>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</si>
  <si>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</si>
  <si>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</si>
  <si>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</si>
  <si>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</si>
  <si>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</si>
  <si>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</si>
  <si>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</si>
  <si>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</si>
  <si>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</si>
  <si>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</si>
  <si>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</si>
  <si>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</si>
  <si>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</si>
  <si>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</si>
  <si>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</si>
  <si>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</si>
  <si>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</si>
  <si>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</si>
  <si>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</si>
  <si>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</si>
  <si>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</si>
  <si>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</si>
  <si>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</si>
  <si>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</si>
  <si>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</si>
  <si>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</si>
  <si>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</si>
  <si>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</si>
  <si>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</si>
  <si>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</si>
  <si>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</si>
  <si>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</si>
  <si>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</si>
  <si>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</si>
  <si>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</si>
  <si>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</si>
  <si>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</si>
  <si>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</si>
  <si>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</si>
  <si>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</si>
  <si>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</si>
  <si>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</si>
  <si>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</si>
  <si>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</si>
  <si>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</si>
  <si>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</si>
  <si>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</si>
  <si>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</si>
  <si>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</si>
  <si>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</si>
  <si>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</si>
  <si>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</si>
  <si>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</si>
  <si>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</si>
  <si>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</si>
  <si>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</si>
  <si>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</si>
  <si>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</si>
  <si>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</si>
  <si>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</si>
  <si>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</si>
  <si>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</si>
  <si>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</si>
  <si>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</si>
  <si>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</si>
  <si>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</si>
  <si>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</si>
  <si>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</si>
  <si>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</si>
  <si>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</si>
  <si>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</si>
  <si>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</si>
  <si>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</si>
  <si>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</si>
  <si>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</si>
  <si>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</si>
  <si>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</si>
  <si>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</si>
  <si>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</si>
  <si>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</si>
  <si>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</si>
  <si>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</si>
  <si>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</si>
  <si>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</si>
  <si>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</si>
  <si>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</si>
  <si>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</si>
  <si>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</si>
  <si>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</si>
  <si>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</si>
  <si>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</si>
  <si>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</si>
  <si>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</si>
  <si>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</si>
  <si>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</si>
  <si>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</si>
  <si>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</si>
  <si>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</si>
  <si>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</si>
  <si>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</si>
  <si>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</si>
  <si>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</si>
  <si>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</si>
  <si>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</si>
  <si>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</si>
  <si>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</si>
  <si>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</si>
  <si>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</si>
  <si>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</si>
  <si>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</si>
  <si>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</si>
  <si>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</si>
  <si>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</si>
  <si>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</si>
  <si>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</si>
  <si>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</si>
  <si>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</si>
  <si>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</si>
  <si>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</si>
  <si>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</si>
  <si>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</si>
  <si>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</si>
  <si>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</si>
  <si>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</si>
  <si>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</si>
  <si>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</si>
  <si>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</si>
  <si>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</si>
  <si>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</si>
  <si>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</si>
  <si>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</si>
  <si>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</si>
  <si>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</si>
  <si>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</si>
  <si>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</si>
  <si>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</si>
  <si>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</si>
  <si>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</si>
  <si>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</si>
  <si>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</si>
  <si>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</si>
  <si>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</si>
  <si>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</si>
  <si>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</si>
  <si>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</si>
  <si>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</si>
  <si>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</si>
  <si>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</si>
  <si>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</si>
  <si>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</si>
  <si>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</si>
  <si>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</si>
  <si>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</si>
  <si>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</si>
  <si>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</si>
  <si>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</si>
  <si>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</si>
  <si>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</si>
  <si>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</si>
  <si>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</si>
  <si>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</si>
  <si>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</si>
  <si>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</si>
  <si>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</si>
  <si>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</si>
  <si>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</si>
  <si>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</si>
  <si>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</si>
  <si>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</si>
  <si>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</si>
  <si>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</si>
  <si>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</si>
  <si>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</si>
  <si>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</si>
  <si>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</si>
  <si>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</si>
  <si>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</si>
  <si>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</si>
  <si>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</si>
  <si>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</si>
  <si>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</si>
  <si>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</si>
  <si>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</si>
  <si>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</si>
  <si>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</si>
  <si>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</si>
  <si>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</si>
  <si>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</si>
  <si>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</si>
  <si>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</si>
  <si>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</si>
  <si>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</si>
  <si>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</si>
  <si>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</si>
  <si>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</si>
  <si>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</si>
  <si>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</si>
  <si>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</si>
  <si>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</si>
  <si>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</si>
  <si>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</si>
  <si>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</si>
  <si>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</si>
  <si>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</si>
  <si>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</si>
  <si>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</si>
  <si>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</si>
  <si>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</si>
  <si>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</si>
  <si>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</si>
  <si>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</si>
  <si>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</si>
  <si>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</si>
  <si>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</si>
  <si>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</si>
  <si>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</si>
  <si>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</si>
  <si>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</si>
  <si>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</si>
  <si>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</si>
  <si>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</si>
  <si>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</si>
  <si>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</si>
  <si>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</si>
  <si>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</si>
  <si>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</si>
  <si>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</si>
  <si>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</si>
  <si>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</si>
  <si>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</si>
  <si>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</si>
  <si>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</si>
  <si>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</si>
  <si>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</si>
  <si>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</si>
  <si>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</si>
  <si>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</si>
  <si>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</si>
  <si>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</si>
  <si>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</si>
  <si>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</si>
  <si>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</si>
  <si>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</si>
  <si>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</si>
  <si>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</si>
  <si>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</si>
  <si>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</si>
  <si>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</si>
  <si>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</si>
  <si>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</si>
  <si>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</si>
  <si>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</si>
  <si>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</si>
  <si>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</si>
  <si>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</si>
  <si>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</si>
  <si>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</si>
  <si>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</si>
  <si>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</si>
  <si>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</si>
  <si>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</si>
  <si>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</si>
  <si>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</si>
  <si>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</si>
  <si>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</si>
  <si>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</si>
  <si>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</si>
  <si>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</si>
  <si>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</si>
  <si>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</si>
  <si>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</si>
  <si>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</si>
  <si>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</si>
  <si>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</si>
  <si>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</si>
  <si>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</si>
  <si>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</si>
  <si>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</si>
  <si>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</si>
  <si>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</si>
  <si>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</si>
  <si>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</si>
  <si>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</si>
  <si>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</si>
  <si>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</si>
  <si>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</si>
  <si>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</si>
  <si>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</si>
  <si>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</si>
  <si>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</si>
  <si>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</si>
  <si>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</si>
  <si>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</si>
  <si>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</si>
  <si>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</si>
  <si>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</si>
  <si>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</si>
  <si>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</si>
  <si>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</si>
  <si>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</si>
  <si>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</si>
  <si>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</si>
  <si>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</si>
  <si>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</si>
  <si>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</si>
  <si>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</si>
  <si>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</si>
  <si>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</si>
  <si>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</si>
  <si>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</si>
  <si>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</si>
  <si>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</si>
  <si>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</si>
  <si>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</si>
  <si>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</si>
  <si>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</si>
  <si>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</si>
  <si>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</si>
  <si>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</si>
  <si>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</si>
  <si>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</si>
  <si>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</si>
  <si>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</si>
  <si>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</si>
  <si>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</si>
  <si>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</si>
  <si>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</si>
  <si>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</si>
  <si>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</si>
  <si>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</si>
  <si>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</si>
  <si>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</si>
  <si>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</si>
  <si>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</si>
  <si>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</si>
  <si>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</si>
  <si>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</si>
  <si>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</si>
  <si>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</si>
  <si>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</si>
  <si>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</si>
  <si>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</si>
  <si>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</si>
  <si>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</si>
  <si>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</si>
  <si>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</si>
  <si>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</si>
  <si>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</si>
  <si>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</si>
  <si>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</si>
  <si>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</si>
  <si>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</si>
  <si>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</si>
  <si>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</si>
  <si>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</si>
  <si>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</si>
  <si>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</si>
  <si>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</si>
  <si>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</si>
  <si>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</si>
  <si>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</si>
  <si>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</si>
  <si>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</si>
  <si>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</si>
  <si>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</si>
  <si>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</si>
  <si>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</si>
  <si>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</si>
  <si>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</si>
  <si>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</si>
  <si>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</si>
  <si>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</si>
  <si>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</si>
  <si>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</si>
  <si>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</si>
  <si>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</si>
  <si>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</si>
  <si>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</si>
  <si>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</si>
  <si>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</si>
  <si>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</si>
  <si>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</si>
  <si>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</si>
  <si>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</si>
  <si>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</si>
  <si>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</si>
  <si>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</si>
  <si>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</si>
  <si>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</si>
  <si>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</si>
  <si>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</si>
  <si>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</si>
  <si>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</si>
  <si>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</si>
  <si>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</si>
  <si>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</si>
  <si>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</si>
  <si>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</si>
  <si>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</si>
  <si>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</si>
  <si>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</si>
  <si>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</si>
  <si>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</si>
  <si>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</si>
  <si>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</si>
  <si>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</si>
  <si>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</si>
  <si>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</si>
  <si>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</si>
  <si>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</si>
  <si>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</si>
  <si>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</si>
  <si>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</si>
  <si>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</si>
  <si>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</si>
  <si>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</si>
  <si>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</si>
  <si>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</si>
  <si>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</si>
  <si>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</si>
  <si>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</si>
  <si>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</si>
  <si>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</si>
  <si>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</si>
  <si>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</si>
  <si>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</si>
  <si>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</si>
  <si>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</si>
  <si>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</si>
  <si>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</si>
  <si>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</si>
  <si>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</si>
  <si>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</si>
  <si>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</si>
  <si>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</si>
  <si>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</si>
  <si>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</si>
  <si>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</si>
  <si>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</si>
  <si>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</si>
  <si>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</si>
  <si>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</si>
  <si>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</si>
  <si>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</si>
  <si>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</si>
  <si>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</si>
  <si>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</si>
  <si>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</si>
  <si>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</si>
  <si>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</si>
  <si>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</si>
  <si>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</si>
  <si>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</si>
  <si>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</si>
  <si>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</si>
  <si>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</si>
  <si>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</si>
  <si>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</si>
  <si>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</si>
  <si>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</si>
  <si>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</si>
  <si>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</si>
  <si>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</si>
  <si>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</si>
  <si>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</si>
  <si>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</si>
  <si>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</si>
  <si>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</si>
  <si>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</si>
  <si>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</si>
  <si>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</si>
  <si>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</si>
  <si>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</si>
  <si>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</si>
  <si>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</si>
  <si>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</si>
  <si>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</si>
  <si>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</si>
  <si>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</si>
  <si>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</si>
  <si>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</si>
  <si>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</si>
  <si>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</si>
  <si>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</si>
  <si>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</si>
  <si>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</si>
  <si>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</si>
  <si>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</si>
  <si>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</si>
  <si>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</si>
  <si>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</si>
  <si>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</si>
  <si>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</si>
  <si>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</si>
  <si>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</si>
  <si>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</si>
  <si>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</si>
  <si>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</si>
  <si>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</si>
  <si>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</si>
  <si>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</si>
  <si>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</si>
  <si>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</si>
  <si>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</si>
  <si>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</si>
  <si>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</si>
  <si>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</si>
  <si>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</si>
  <si>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</si>
  <si>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</si>
  <si>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</si>
  <si>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</si>
  <si>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</si>
  <si>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</si>
  <si>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</si>
  <si>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</si>
  <si>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</si>
  <si>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</si>
  <si>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</si>
  <si>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</si>
  <si>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</si>
  <si>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</si>
  <si>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</si>
  <si>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</si>
  <si>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</si>
  <si>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</si>
  <si>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</si>
  <si>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</si>
  <si>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</si>
  <si>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</si>
  <si>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</si>
  <si>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</si>
  <si>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</si>
  <si>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</si>
  <si>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</si>
  <si>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</si>
  <si>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</si>
  <si>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</si>
  <si>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</si>
  <si>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</si>
  <si>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</si>
  <si>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</si>
  <si>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</si>
  <si>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</si>
  <si>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</si>
  <si>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</si>
  <si>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</si>
  <si>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</si>
  <si>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</si>
  <si>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</si>
  <si>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</si>
  <si>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</si>
  <si>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</si>
  <si>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</si>
  <si>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</si>
  <si>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</si>
  <si>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</si>
  <si>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</si>
  <si>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</si>
  <si>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</si>
  <si>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</si>
  <si>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</si>
  <si>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</si>
  <si>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</si>
  <si>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</si>
  <si>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</si>
  <si>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</si>
  <si>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</si>
  <si>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</si>
  <si>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</si>
  <si>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</si>
  <si>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</si>
  <si>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</si>
  <si>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</si>
  <si>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</si>
  <si>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</si>
  <si>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</si>
  <si>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</si>
  <si>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</si>
  <si>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</si>
  <si>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</si>
  <si>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</si>
  <si>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</si>
  <si>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</si>
  <si>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</si>
  <si>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</si>
  <si>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</si>
  <si>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</si>
  <si>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</si>
  <si>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</si>
  <si>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</si>
  <si>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</si>
  <si>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</si>
  <si>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</si>
  <si>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</si>
  <si>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</si>
  <si>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</si>
  <si>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</si>
  <si>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</si>
  <si>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</si>
  <si>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</si>
  <si>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</si>
  <si>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</si>
  <si>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</si>
  <si>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</si>
  <si>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</si>
  <si>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</si>
  <si>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</si>
  <si>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</si>
  <si>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</si>
  <si>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</si>
  <si>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</si>
  <si>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</si>
  <si>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</si>
  <si>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</si>
  <si>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</si>
  <si>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</si>
  <si>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</si>
  <si>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</si>
  <si>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</si>
  <si>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</si>
  <si>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</si>
  <si>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</si>
  <si>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</si>
  <si>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</si>
  <si>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</si>
  <si>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</si>
  <si>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</si>
  <si>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</si>
  <si>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</si>
  <si>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</si>
  <si>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</si>
  <si>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</si>
  <si>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</si>
  <si>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</si>
  <si>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</si>
  <si>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</si>
  <si>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</si>
  <si>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</si>
  <si>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</si>
  <si>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</si>
  <si>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</si>
  <si>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</si>
  <si>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</si>
  <si>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</si>
  <si>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</si>
  <si>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</si>
  <si>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</si>
  <si>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</si>
  <si>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</si>
  <si>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</si>
  <si>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</si>
  <si>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</si>
  <si>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</si>
  <si>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</si>
  <si>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</si>
  <si>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</si>
  <si>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</si>
  <si>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</si>
  <si>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</si>
  <si>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</si>
  <si>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</si>
  <si>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</si>
  <si>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</si>
  <si>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</si>
  <si>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</si>
  <si>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</si>
  <si>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</si>
  <si>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</si>
  <si>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</si>
  <si>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</si>
  <si>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</si>
  <si>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</si>
  <si>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</si>
  <si>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</si>
  <si>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</si>
  <si>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</si>
  <si>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</si>
  <si>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</si>
  <si>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</si>
  <si>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</si>
  <si>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</si>
  <si>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</si>
  <si>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</si>
  <si>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</si>
  <si>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</si>
  <si>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</si>
  <si>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</si>
  <si>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</si>
  <si>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</si>
  <si>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</si>
  <si>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</si>
  <si>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</si>
  <si>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</si>
  <si>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</si>
  <si>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</si>
  <si>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</si>
  <si>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</si>
  <si>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</si>
  <si>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</si>
  <si>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</si>
  <si>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</si>
  <si>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</si>
  <si>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</si>
  <si>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</si>
  <si>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</si>
  <si>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</si>
  <si>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</si>
  <si>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</si>
  <si>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</si>
  <si>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</si>
  <si>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</si>
  <si>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</si>
  <si>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</si>
  <si>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</si>
  <si>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</si>
  <si>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</si>
  <si>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</si>
  <si>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</si>
  <si>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</si>
  <si>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</si>
  <si>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</si>
  <si>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</si>
  <si>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</si>
  <si>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</si>
  <si>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</si>
  <si>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</si>
  <si>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</si>
  <si>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</si>
  <si>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</si>
  <si>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</si>
  <si>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</si>
  <si>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</si>
  <si>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</si>
  <si>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</si>
  <si>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</si>
  <si>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</si>
  <si>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</si>
  <si>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</si>
  <si>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</si>
  <si>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</si>
  <si>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</si>
  <si>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</si>
  <si>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</si>
  <si>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</si>
  <si>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</si>
  <si>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</si>
  <si>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</si>
  <si>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</si>
  <si>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</si>
  <si>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</si>
  <si>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</si>
  <si>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</si>
  <si>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</si>
  <si>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</si>
  <si>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</si>
  <si>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</si>
  <si>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</si>
  <si>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</si>
  <si>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</si>
  <si>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</si>
  <si>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</si>
  <si>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</si>
  <si>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</si>
  <si>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</si>
  <si>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</si>
  <si>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</si>
  <si>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</si>
  <si>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</si>
  <si>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</si>
  <si>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</si>
  <si>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</si>
  <si>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</si>
  <si>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</si>
  <si>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</si>
  <si>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</si>
  <si>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</si>
  <si>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</si>
  <si>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</si>
  <si>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</si>
  <si>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</si>
  <si>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</si>
  <si>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</si>
  <si>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</si>
  <si>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</si>
  <si>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</si>
  <si>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</si>
  <si>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</si>
  <si>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</si>
  <si>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</si>
  <si>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</si>
  <si>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</si>
  <si>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</si>
  <si>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</si>
  <si>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</si>
  <si>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</si>
  <si>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</si>
  <si>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</si>
  <si>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</si>
  <si>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</si>
  <si>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</si>
  <si>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</si>
  <si>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</si>
  <si>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</si>
  <si>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</si>
  <si>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</si>
  <si>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</si>
  <si>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</si>
  <si>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</si>
  <si>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</si>
  <si>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</si>
  <si>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</si>
  <si>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</si>
  <si>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</si>
  <si>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</si>
  <si>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</si>
  <si>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</si>
  <si>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</si>
  <si>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</si>
  <si>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</si>
  <si>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</si>
  <si>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</si>
  <si>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</si>
  <si>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</si>
  <si>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</si>
  <si>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</si>
  <si>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</si>
  <si>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</si>
  <si>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</si>
  <si>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</si>
  <si>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</si>
  <si>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</si>
  <si>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</si>
  <si>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</si>
  <si>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</si>
  <si>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</si>
  <si>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</si>
  <si>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</si>
  <si>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</si>
  <si>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</si>
  <si>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</si>
  <si>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</si>
  <si>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</si>
  <si>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</si>
  <si>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</si>
  <si>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</si>
  <si>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</si>
  <si>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</si>
  <si>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</si>
  <si>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</si>
  <si>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</si>
  <si>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</si>
  <si>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</si>
  <si>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</si>
  <si>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</si>
  <si>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</si>
  <si>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</si>
  <si>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</si>
  <si>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</si>
  <si>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</si>
  <si>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</si>
  <si>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</si>
  <si>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</si>
  <si>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</si>
  <si>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</si>
  <si>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</si>
  <si>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</si>
  <si>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</si>
  <si>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</si>
  <si>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</si>
  <si>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</si>
  <si>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</si>
  <si>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</si>
  <si>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</si>
  <si>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</si>
  <si>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</si>
  <si>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</si>
  <si>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</si>
  <si>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</si>
  <si>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</si>
  <si>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</si>
  <si>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</si>
  <si>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</si>
  <si>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</si>
  <si>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</si>
  <si>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</si>
  <si>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</si>
  <si>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</si>
  <si>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</si>
  <si>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</si>
  <si>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</si>
  <si>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</si>
  <si>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</si>
  <si>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</si>
  <si>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</si>
  <si>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</si>
  <si>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</si>
  <si>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</si>
  <si>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</si>
  <si>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</si>
  <si>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</si>
  <si>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</si>
  <si>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</si>
  <si>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</si>
  <si>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</si>
  <si>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</si>
  <si>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</si>
  <si>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</si>
  <si>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</si>
  <si>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</si>
  <si>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</si>
  <si>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</si>
  <si>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</si>
  <si>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</si>
  <si>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</si>
  <si>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</si>
  <si>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</si>
  <si>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</si>
  <si>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</si>
  <si>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</si>
  <si>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</si>
  <si>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</si>
  <si>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</si>
  <si>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</si>
  <si>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</si>
  <si>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</si>
  <si>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</si>
  <si>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</si>
  <si>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</si>
  <si>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</si>
  <si>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</si>
  <si>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</si>
  <si>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</si>
  <si>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</si>
  <si>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</si>
  <si>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</si>
  <si>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</si>
  <si>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</si>
  <si>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</si>
  <si>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</si>
  <si>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</si>
  <si>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</si>
  <si>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</si>
  <si>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</si>
  <si>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</si>
  <si>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</si>
  <si>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</si>
  <si>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</si>
  <si>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</si>
  <si>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</si>
  <si>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</si>
  <si>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</si>
  <si>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</si>
  <si>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</si>
  <si>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</si>
  <si>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</si>
  <si>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</si>
  <si>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</si>
  <si>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</si>
  <si>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</si>
  <si>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</si>
  <si>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</si>
  <si>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</si>
  <si>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</si>
  <si>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</si>
  <si>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</si>
  <si>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</si>
  <si>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</si>
  <si>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</si>
  <si>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</si>
  <si>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</si>
  <si>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</si>
  <si>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</si>
  <si>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</si>
  <si>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</si>
  <si>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</si>
  <si>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</si>
  <si>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</si>
  <si>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</si>
  <si>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</si>
  <si>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</si>
  <si>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</si>
  <si>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</si>
  <si>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</si>
  <si>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</si>
  <si>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</si>
  <si>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</si>
  <si>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</si>
  <si>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</si>
  <si>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</si>
  <si>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</si>
  <si>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</si>
  <si>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</si>
  <si>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</si>
  <si>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</si>
  <si>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</si>
  <si>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</si>
  <si>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</si>
  <si>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</si>
  <si>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</si>
  <si>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</si>
  <si>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</si>
  <si>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</si>
  <si>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</si>
  <si>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</si>
  <si>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</si>
  <si>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</si>
  <si>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</si>
  <si>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</si>
  <si>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</si>
  <si>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</si>
  <si>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</si>
  <si>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</si>
  <si>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</si>
  <si>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</si>
  <si>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</si>
  <si>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</si>
  <si>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</si>
  <si>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</si>
  <si>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</si>
  <si>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</si>
  <si>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</si>
  <si>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</si>
  <si>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</si>
  <si>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</si>
  <si>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</si>
  <si>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</si>
  <si>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</si>
  <si>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</si>
  <si>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</si>
  <si>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</si>
  <si>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</si>
  <si>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</si>
  <si>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</si>
  <si>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</si>
  <si>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</si>
  <si>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</si>
  <si>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</si>
  <si>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</si>
  <si>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</si>
  <si>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</si>
  <si>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</si>
  <si>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</si>
  <si>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</si>
  <si>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</si>
  <si>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</si>
  <si>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</si>
  <si>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</si>
  <si>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</si>
  <si>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</si>
  <si>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</si>
  <si>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</si>
  <si>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</si>
  <si>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</si>
  <si>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</si>
  <si>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</si>
  <si>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</si>
  <si>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</si>
  <si>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</si>
  <si>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</si>
  <si>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</si>
  <si>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</si>
  <si>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</si>
  <si>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</si>
  <si>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</si>
  <si>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</si>
  <si>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</si>
  <si>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</si>
  <si>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</si>
  <si>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</si>
  <si>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</si>
  <si>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</si>
  <si>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</si>
  <si>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</si>
  <si>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</si>
  <si>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</si>
  <si>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</si>
  <si>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</si>
  <si>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</si>
  <si>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</si>
  <si>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</si>
  <si>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</si>
  <si>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</si>
  <si>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</si>
  <si>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</si>
  <si>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</si>
  <si>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</si>
  <si>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</si>
  <si>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</si>
  <si>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</si>
  <si>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</si>
  <si>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</si>
  <si>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</si>
  <si>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</si>
  <si>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</si>
  <si>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</si>
  <si>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</si>
  <si>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</si>
  <si>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</si>
  <si>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</si>
  <si>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</si>
  <si>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</si>
  <si>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</si>
  <si>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</si>
  <si>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</si>
  <si>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</si>
  <si>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</si>
  <si>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</si>
  <si>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</si>
  <si>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</si>
  <si>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</si>
  <si>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</si>
  <si>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</si>
  <si>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</si>
  <si>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</si>
  <si>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</si>
  <si>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</si>
  <si>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</si>
  <si>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</si>
  <si>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</si>
  <si>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</si>
  <si>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</si>
  <si>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</si>
  <si>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</si>
  <si>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</si>
  <si>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</si>
  <si>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</si>
  <si>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</si>
  <si>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</si>
  <si>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</si>
  <si>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</si>
  <si>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</si>
  <si>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</si>
  <si>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</si>
  <si>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</si>
  <si>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</si>
  <si>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</si>
  <si>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</si>
  <si>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</si>
  <si>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</si>
  <si>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</si>
  <si>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</si>
  <si>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</si>
  <si>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</si>
  <si>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</si>
  <si>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</si>
  <si>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</si>
  <si>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</si>
  <si>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</si>
  <si>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</si>
  <si>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</si>
  <si>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</si>
  <si>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</si>
  <si>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</si>
  <si>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</si>
  <si>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</si>
  <si>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</si>
  <si>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</si>
  <si>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</si>
  <si>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</si>
  <si>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</si>
  <si>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</si>
  <si>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</si>
  <si>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</si>
  <si>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</si>
  <si>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</si>
  <si>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</si>
  <si>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</si>
  <si>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</si>
  <si>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</si>
  <si>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</si>
  <si>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</si>
  <si>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</si>
  <si>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</si>
  <si>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</si>
  <si>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</si>
  <si>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</si>
  <si>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</si>
  <si>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</si>
  <si>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</si>
  <si>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</si>
  <si>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</si>
  <si>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</si>
  <si>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</si>
  <si>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</si>
  <si>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</si>
  <si>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</si>
  <si>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</si>
  <si>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</si>
  <si>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</si>
  <si>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</si>
  <si>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</si>
  <si>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</si>
  <si>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</si>
  <si>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</si>
  <si>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</si>
  <si>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</si>
  <si>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</si>
  <si>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</si>
  <si>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</si>
  <si>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</si>
  <si>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</si>
  <si>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</si>
  <si>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</si>
  <si>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</si>
  <si>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</si>
  <si>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</si>
  <si>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</si>
  <si>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</si>
  <si>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</si>
  <si>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</si>
  <si>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</si>
  <si>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</si>
  <si>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</si>
  <si>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</si>
  <si>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</si>
  <si>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</si>
  <si>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</si>
  <si>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</si>
  <si>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</si>
  <si>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</si>
  <si>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</si>
  <si>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</si>
  <si>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</si>
  <si>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</si>
  <si>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</si>
  <si>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</si>
  <si>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</si>
  <si>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</si>
  <si>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</si>
  <si>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</si>
  <si>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</si>
  <si>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</si>
  <si>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</si>
  <si>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</si>
  <si>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</si>
  <si>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</si>
  <si>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</si>
  <si>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</si>
  <si>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</si>
  <si>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</si>
  <si>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</si>
  <si>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</si>
  <si>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</si>
  <si>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</si>
  <si>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</si>
  <si>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</si>
  <si>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</si>
  <si>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</si>
  <si>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</si>
  <si>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</si>
  <si>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</si>
  <si>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</si>
  <si>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</si>
  <si>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</si>
  <si>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</si>
  <si>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</si>
  <si>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</si>
  <si>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</si>
  <si>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</si>
  <si>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</si>
  <si>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</si>
  <si>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</si>
  <si>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</si>
  <si>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</si>
  <si>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</si>
  <si>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</si>
  <si>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</si>
  <si>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</si>
  <si>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</si>
  <si>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</si>
  <si>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</si>
  <si>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</si>
  <si>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</si>
  <si>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</si>
  <si>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</si>
  <si>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</si>
  <si>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</si>
  <si>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</si>
  <si>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</si>
  <si>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</si>
  <si>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</si>
  <si>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</si>
  <si>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</si>
  <si>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</si>
  <si>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</si>
  <si>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</si>
  <si>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</si>
  <si>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</si>
  <si>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</si>
  <si>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</si>
  <si>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</si>
  <si>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</si>
  <si>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</si>
  <si>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</si>
  <si>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</si>
  <si>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</si>
  <si>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</si>
  <si>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</si>
  <si>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</si>
  <si>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</si>
  <si>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</si>
  <si>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</si>
  <si>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</si>
  <si>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</si>
  <si>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</si>
  <si>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</si>
  <si>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</si>
  <si>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</si>
  <si>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</si>
  <si>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</si>
  <si>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</si>
  <si>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</si>
  <si>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</si>
  <si>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</si>
  <si>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</si>
  <si>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</si>
  <si>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</si>
  <si>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</si>
  <si>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</si>
  <si>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</si>
  <si>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</si>
  <si>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</si>
  <si>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</si>
  <si>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</si>
  <si>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</si>
  <si>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</si>
  <si>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</si>
  <si>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</si>
  <si>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</si>
  <si>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</si>
  <si>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</si>
  <si>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</si>
  <si>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</si>
  <si>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</si>
  <si>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</si>
  <si>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</si>
  <si>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</si>
  <si>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</si>
  <si>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</si>
  <si>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</si>
  <si>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</si>
  <si>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</si>
  <si>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</si>
  <si>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</si>
  <si>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</si>
  <si>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</si>
  <si>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</si>
  <si>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</si>
  <si>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</si>
  <si>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</si>
  <si>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</si>
  <si>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</si>
  <si>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</si>
  <si>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</si>
  <si>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</si>
  <si>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</si>
  <si>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</si>
  <si>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</si>
  <si>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</si>
  <si>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</si>
  <si>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</si>
  <si>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</si>
  <si>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</si>
  <si>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</si>
  <si>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</si>
  <si>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</si>
  <si>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</si>
  <si>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</si>
  <si>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</si>
  <si>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</si>
  <si>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</si>
  <si>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</si>
  <si>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</si>
  <si>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</si>
  <si>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</si>
  <si>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</si>
  <si>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</si>
  <si>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</si>
  <si>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</si>
  <si>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</si>
  <si>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</si>
  <si>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</si>
  <si>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</si>
  <si>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</si>
  <si>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</si>
  <si>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</si>
  <si>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</si>
  <si>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</si>
  <si>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</si>
  <si>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</si>
  <si>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</si>
  <si>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</si>
  <si>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</si>
  <si>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</si>
  <si>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</si>
  <si>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</si>
  <si>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</si>
  <si>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</si>
  <si>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</si>
  <si>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</si>
  <si>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</si>
  <si>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</si>
  <si>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</si>
  <si>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</si>
  <si>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</si>
  <si>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</si>
  <si>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</si>
  <si>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</si>
  <si>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</si>
  <si>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</si>
  <si>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</si>
  <si>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</si>
  <si>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</si>
  <si>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</si>
  <si>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</si>
  <si>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</si>
  <si>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</si>
  <si>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</si>
  <si>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</si>
  <si>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</si>
  <si>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</si>
  <si>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</si>
  <si>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</si>
  <si>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</si>
  <si>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</si>
  <si>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</si>
  <si>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</si>
  <si>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</si>
  <si>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</si>
  <si>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</si>
  <si>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</si>
  <si>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</si>
  <si>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</si>
  <si>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</si>
  <si>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</si>
  <si>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</si>
  <si>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</si>
  <si>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</si>
  <si>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</si>
  <si>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</si>
  <si>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</si>
  <si>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</si>
  <si>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</si>
  <si>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</si>
  <si>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</si>
  <si>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</si>
  <si>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</si>
  <si>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</si>
  <si>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</si>
  <si>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</si>
  <si>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</si>
  <si>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</si>
  <si>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</si>
  <si>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</si>
  <si>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</si>
  <si>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</si>
  <si>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</si>
  <si>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</si>
  <si>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</si>
  <si>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</si>
  <si>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</si>
  <si>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</si>
  <si>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</si>
  <si>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</si>
  <si>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</si>
  <si>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</si>
  <si>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</si>
  <si>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</si>
  <si>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</si>
  <si>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</si>
  <si>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</si>
  <si>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</si>
  <si>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</si>
  <si>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</si>
  <si>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</si>
  <si>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</si>
  <si>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</si>
  <si>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</si>
  <si>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</si>
  <si>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</si>
  <si>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</si>
  <si>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</si>
  <si>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</si>
  <si>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</si>
  <si>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</si>
  <si>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</si>
  <si>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</si>
  <si>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</si>
  <si>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</si>
  <si>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</si>
  <si>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</si>
  <si>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</si>
  <si>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</si>
  <si>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</si>
  <si>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</si>
  <si>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</si>
  <si>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</si>
  <si>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</si>
  <si>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</si>
  <si>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</si>
  <si>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</si>
  <si>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</si>
  <si>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</si>
  <si>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</si>
  <si>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</si>
  <si>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</si>
  <si>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</si>
  <si>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</si>
  <si>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</si>
  <si>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</si>
  <si>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</si>
  <si>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</si>
  <si>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</si>
  <si>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</si>
  <si>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</si>
  <si>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</si>
  <si>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</si>
  <si>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</si>
  <si>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</si>
  <si>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</si>
  <si>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</si>
  <si>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</si>
  <si>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</si>
  <si>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</si>
  <si>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</si>
  <si>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</si>
  <si>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</si>
  <si>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</si>
  <si>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</si>
  <si>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</si>
  <si>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</si>
  <si>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</si>
  <si>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</si>
  <si>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</si>
  <si>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</si>
  <si>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</si>
  <si>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</si>
  <si>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</si>
  <si>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</si>
  <si>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</si>
  <si>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</si>
  <si>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</si>
  <si>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</si>
  <si>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</si>
  <si>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</si>
  <si>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</si>
  <si>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</si>
  <si>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</si>
  <si>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</si>
  <si>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</si>
  <si>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</si>
  <si>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</si>
  <si>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</si>
  <si>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</si>
  <si>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</si>
  <si>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</si>
  <si>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</si>
  <si>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</si>
  <si>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</si>
  <si>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</si>
  <si>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</si>
  <si>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</si>
  <si>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</si>
  <si>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</si>
  <si>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</si>
  <si>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</si>
  <si>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</si>
  <si>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</si>
  <si>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</si>
  <si>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</si>
  <si>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</si>
  <si>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</si>
  <si>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</si>
  <si>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</si>
  <si>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</si>
  <si>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</si>
  <si>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</si>
  <si>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</si>
  <si>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</si>
  <si>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</si>
  <si>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</si>
  <si>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</si>
  <si>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</si>
  <si>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</si>
  <si>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</si>
  <si>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</si>
  <si>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</si>
  <si>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</si>
  <si>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</si>
  <si>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</si>
  <si>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</si>
  <si>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</si>
  <si>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</si>
  <si>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</si>
  <si>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</si>
  <si>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</si>
  <si>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</si>
  <si>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</si>
  <si>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</si>
  <si>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</si>
  <si>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</si>
  <si>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</si>
  <si>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</si>
  <si>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</si>
  <si>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</si>
  <si>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</si>
  <si>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</si>
  <si>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</si>
  <si>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</si>
  <si>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</si>
  <si>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</si>
  <si>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</si>
  <si>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</si>
  <si>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</si>
  <si>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</si>
  <si>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</si>
  <si>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</si>
  <si>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</si>
  <si>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</si>
  <si>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</si>
  <si>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</si>
  <si>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</si>
  <si>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</si>
  <si>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</si>
  <si>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</si>
  <si>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</si>
  <si>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</si>
  <si>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</si>
  <si>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</si>
  <si>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</si>
  <si>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</si>
  <si>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</si>
  <si>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</si>
  <si>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</si>
  <si>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</si>
  <si>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</si>
  <si>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</si>
  <si>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</si>
  <si>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</si>
  <si>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</si>
  <si>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</si>
  <si>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</si>
  <si>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</si>
  <si>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</si>
  <si>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</si>
  <si>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</si>
  <si>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</si>
  <si>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</si>
  <si>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</si>
  <si>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</si>
  <si>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</si>
  <si>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</si>
  <si>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</si>
  <si>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</si>
  <si>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</si>
  <si>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</si>
  <si>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</si>
  <si>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</si>
  <si>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</si>
  <si>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</si>
  <si>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</si>
  <si>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</si>
  <si>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</si>
  <si>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</si>
  <si>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</si>
  <si>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</si>
  <si>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</si>
  <si>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</si>
  <si>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</si>
  <si>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</si>
  <si>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</si>
  <si>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</si>
  <si>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</si>
  <si>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</si>
  <si>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</si>
  <si>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</si>
  <si>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</si>
  <si>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</si>
  <si>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</si>
  <si>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</si>
  <si>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</si>
  <si>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</si>
  <si>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</si>
  <si>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</si>
  <si>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</si>
  <si>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</si>
  <si>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</si>
  <si>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</si>
  <si>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</si>
  <si>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</si>
  <si>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</si>
  <si>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</si>
  <si>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</si>
  <si>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</si>
  <si>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</si>
  <si>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</si>
  <si>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</si>
  <si>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</si>
  <si>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</si>
  <si>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</si>
  <si>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</si>
  <si>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</si>
  <si>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</si>
  <si>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</si>
  <si>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</si>
  <si>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</si>
  <si>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</si>
  <si>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</si>
  <si>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</si>
  <si>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</si>
  <si>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</si>
  <si>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</si>
  <si>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</si>
  <si>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</si>
  <si>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</si>
  <si>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</si>
  <si>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</si>
  <si>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</si>
  <si>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</si>
  <si>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</si>
  <si>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</si>
  <si>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</si>
  <si>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</si>
  <si>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</si>
  <si>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</si>
  <si>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</si>
  <si>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</si>
  <si>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</si>
  <si>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</si>
  <si>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</si>
  <si>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</si>
  <si>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</si>
  <si>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</si>
  <si>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</si>
  <si>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</si>
  <si>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</si>
  <si>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</si>
  <si>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</si>
  <si>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</si>
  <si>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</si>
  <si>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</si>
  <si>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</si>
  <si>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</si>
  <si>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</si>
  <si>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</si>
  <si>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</si>
  <si>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</si>
  <si>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</si>
  <si>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</si>
  <si>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</si>
  <si>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</si>
  <si>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</si>
  <si>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</si>
  <si>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</si>
  <si>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</si>
  <si>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</si>
  <si>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</si>
  <si>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</si>
  <si>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</si>
  <si>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</si>
  <si>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</si>
  <si>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</si>
  <si>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</si>
  <si>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</si>
  <si>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</si>
  <si>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</si>
  <si>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</si>
  <si>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</si>
  <si>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</si>
  <si>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</si>
  <si>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</si>
  <si>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</si>
  <si>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</si>
  <si>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</si>
  <si>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</si>
  <si>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</si>
  <si>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</si>
  <si>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</si>
  <si>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</si>
  <si>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</si>
  <si>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</si>
  <si>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</si>
  <si>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</si>
  <si>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</si>
  <si>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</si>
  <si>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</si>
  <si>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</si>
  <si>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</si>
  <si>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</si>
  <si>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</si>
  <si>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</si>
  <si>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</si>
  <si>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</si>
  <si>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</si>
  <si>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</si>
  <si>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</si>
  <si>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</si>
  <si>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</si>
  <si>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</si>
  <si>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</si>
  <si>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</si>
  <si>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</si>
  <si>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</si>
  <si>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</si>
  <si>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</si>
  <si>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</si>
  <si>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</si>
  <si>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</si>
  <si>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</si>
  <si>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</si>
  <si>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</si>
  <si>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</si>
  <si>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</si>
  <si>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</si>
  <si>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</si>
  <si>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</si>
  <si>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</si>
  <si>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</si>
  <si>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</si>
  <si>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</si>
  <si>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</si>
  <si>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</si>
  <si>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</si>
  <si>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</si>
  <si>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</si>
  <si>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</si>
  <si>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</si>
  <si>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</si>
  <si>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</si>
  <si>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</si>
  <si>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</si>
  <si>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</si>
  <si>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</si>
  <si>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</si>
  <si>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</si>
  <si>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</si>
  <si>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</si>
  <si>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</si>
  <si>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</si>
  <si>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</si>
  <si>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</si>
  <si>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</si>
  <si>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</si>
  <si>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</si>
  <si>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</si>
  <si>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</si>
  <si>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</si>
  <si>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</si>
  <si>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</si>
  <si>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</si>
  <si>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</si>
  <si>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</si>
  <si>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</si>
  <si>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</si>
  <si>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</si>
  <si>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</si>
  <si>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</si>
  <si>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</si>
  <si>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</si>
  <si>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</si>
  <si>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</si>
  <si>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</si>
  <si>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</si>
  <si>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</si>
  <si>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</si>
  <si>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</si>
  <si>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</si>
  <si>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</si>
  <si>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</si>
  <si>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</si>
  <si>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</si>
  <si>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</si>
  <si>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</si>
  <si>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</si>
  <si>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</si>
  <si>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</si>
  <si>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</si>
  <si>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</si>
  <si>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</si>
  <si>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</si>
  <si>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</si>
  <si>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</si>
  <si>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</si>
  <si>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</si>
  <si>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</si>
  <si>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</si>
  <si>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</si>
  <si>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</si>
  <si>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</si>
  <si>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</si>
  <si>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</si>
  <si>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</si>
  <si>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</si>
  <si>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</si>
  <si>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</si>
  <si>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</si>
  <si>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</si>
  <si>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</si>
  <si>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</si>
  <si>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</si>
  <si>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</si>
  <si>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</si>
  <si>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</si>
  <si>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</si>
  <si>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</si>
  <si>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</si>
  <si>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</si>
  <si>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</si>
  <si>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</si>
  <si>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</si>
  <si>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</si>
  <si>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</si>
  <si>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</si>
  <si>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</si>
  <si>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</si>
  <si>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</si>
  <si>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</si>
  <si>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</si>
  <si>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</si>
  <si>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</si>
  <si>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</si>
  <si>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</si>
  <si>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</si>
  <si>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</si>
  <si>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</si>
  <si>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</si>
  <si>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</si>
  <si>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</si>
  <si>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</si>
  <si>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</si>
  <si>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</si>
  <si>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</si>
  <si>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</si>
  <si>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</si>
  <si>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</si>
  <si>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</si>
  <si>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</si>
  <si>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</si>
  <si>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</si>
  <si>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</si>
  <si>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</si>
  <si>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</si>
  <si>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</si>
  <si>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</si>
  <si>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</si>
  <si>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</si>
  <si>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</si>
  <si>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</si>
  <si>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</si>
  <si>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</si>
  <si>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</si>
  <si>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</si>
  <si>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</si>
  <si>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</si>
  <si>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</si>
  <si>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</si>
  <si>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</si>
  <si>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</si>
  <si>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</si>
  <si>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</si>
  <si>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</si>
  <si>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</si>
  <si>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</si>
  <si>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</si>
  <si>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</si>
  <si>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</si>
  <si>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</si>
  <si>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</si>
  <si>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</si>
  <si>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</si>
  <si>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</si>
  <si>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</si>
  <si>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</si>
  <si>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</si>
  <si>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</si>
  <si>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</si>
  <si>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</si>
  <si>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</si>
  <si>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</si>
  <si>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</si>
  <si>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</si>
  <si>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</si>
  <si>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</si>
  <si>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</si>
  <si>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</si>
  <si>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</si>
  <si>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</si>
  <si>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</si>
  <si>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</si>
  <si>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</si>
  <si>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</si>
  <si>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</si>
  <si>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</si>
  <si>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</si>
  <si>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</si>
  <si>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</si>
  <si>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</si>
  <si>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</si>
  <si>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</si>
  <si>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</si>
  <si>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</si>
  <si>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</si>
  <si>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</si>
  <si>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</si>
  <si>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</si>
  <si>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</si>
  <si>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</si>
  <si>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</si>
  <si>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</si>
  <si>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</si>
  <si>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</si>
  <si>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</si>
  <si>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</si>
  <si>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</si>
  <si>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</si>
  <si>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</si>
  <si>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</si>
  <si>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</si>
  <si>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</si>
  <si>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</si>
  <si>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</si>
  <si>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</si>
  <si>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</si>
  <si>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</si>
  <si>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</si>
  <si>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</si>
  <si>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</si>
  <si>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</si>
  <si>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</si>
  <si>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</si>
  <si>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</si>
  <si>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</si>
  <si>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</si>
  <si>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</si>
  <si>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</si>
  <si>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</si>
  <si>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</si>
  <si>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</si>
  <si>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</si>
  <si>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</si>
  <si>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</si>
  <si>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</si>
  <si>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</si>
  <si>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</si>
  <si>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</si>
  <si>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</si>
  <si>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</si>
  <si>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</si>
  <si>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</si>
  <si>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</si>
  <si>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</si>
  <si>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</si>
  <si>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</si>
  <si>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</si>
  <si>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</si>
  <si>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</si>
  <si>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</si>
  <si>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</si>
  <si>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</si>
  <si>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</si>
  <si>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</si>
  <si>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</si>
  <si>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</si>
  <si>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</si>
  <si>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</si>
  <si>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</si>
  <si>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</si>
  <si>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</si>
  <si>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</si>
  <si>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</si>
  <si>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</si>
  <si>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</si>
  <si>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</si>
  <si>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</si>
  <si>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</si>
  <si>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</si>
  <si>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</si>
  <si>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</si>
  <si>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</si>
  <si>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</si>
  <si>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</si>
  <si>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</si>
  <si>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</si>
  <si>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</si>
  <si>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</si>
  <si>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</si>
  <si>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</si>
  <si>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</si>
  <si>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</si>
  <si>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</si>
  <si>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</si>
  <si>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</si>
  <si>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</si>
  <si>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</si>
  <si>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</si>
  <si>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</si>
  <si>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</si>
  <si>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</si>
  <si>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</si>
  <si>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</si>
  <si>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</si>
  <si>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</si>
  <si>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</si>
  <si>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</si>
  <si>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</si>
  <si>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</si>
  <si>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</si>
  <si>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</si>
  <si>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</si>
  <si>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</si>
  <si>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</si>
  <si>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</si>
  <si>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</si>
  <si>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</si>
  <si>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</si>
  <si>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</si>
  <si>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</si>
  <si>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</si>
  <si>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</si>
  <si>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</si>
  <si>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</si>
  <si>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</si>
  <si>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</si>
  <si>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</si>
  <si>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</si>
  <si>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</si>
  <si>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</si>
  <si>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</si>
  <si>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</si>
  <si>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</si>
  <si>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</si>
  <si>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</si>
  <si>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</si>
  <si>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</si>
  <si>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</si>
  <si>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</si>
  <si>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</si>
  <si>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</si>
  <si>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</si>
  <si>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</si>
  <si>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</si>
  <si>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</si>
  <si>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</si>
  <si>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</si>
  <si>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</si>
  <si>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</si>
  <si>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</si>
  <si>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</si>
  <si>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</si>
  <si>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</si>
  <si>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</si>
  <si>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</si>
  <si>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</si>
  <si>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</si>
  <si>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</si>
  <si>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</si>
  <si>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</si>
  <si>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</si>
  <si>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</si>
  <si>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</si>
  <si>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</si>
  <si>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</si>
  <si>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</si>
  <si>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</si>
  <si>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</si>
  <si>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</si>
  <si>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</si>
  <si>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</si>
  <si>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</si>
  <si>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</si>
  <si>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</si>
  <si>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</si>
  <si>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</si>
  <si>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</si>
  <si>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</si>
  <si>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</si>
  <si>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</si>
  <si>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</si>
  <si>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</si>
  <si>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</si>
  <si>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</si>
  <si>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</si>
  <si>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</si>
  <si>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</si>
  <si>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</si>
  <si>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</si>
  <si>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</si>
  <si>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</si>
  <si>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</si>
  <si>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</si>
  <si>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</si>
  <si>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</si>
  <si>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</si>
  <si>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</si>
  <si>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</si>
  <si>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</si>
  <si>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</si>
  <si>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</si>
  <si>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</si>
  <si>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</si>
  <si>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</si>
  <si>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</si>
  <si>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</si>
  <si>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</si>
  <si>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</si>
  <si>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</si>
  <si>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</si>
  <si>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</si>
  <si>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</si>
  <si>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</si>
  <si>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</si>
  <si>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</si>
  <si>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</si>
  <si>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</si>
  <si>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</si>
  <si>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</si>
  <si>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</si>
  <si>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</si>
  <si>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</si>
  <si>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</si>
  <si>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</si>
  <si>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</si>
  <si>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</si>
  <si>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</si>
  <si>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</si>
  <si>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</si>
  <si>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</si>
  <si>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</si>
  <si>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</si>
  <si>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</si>
  <si>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</si>
  <si>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</si>
  <si>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</si>
  <si>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</si>
  <si>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</si>
  <si>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</si>
  <si>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</si>
  <si>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</si>
  <si>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</si>
  <si>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</si>
  <si>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</si>
  <si>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</si>
  <si>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</si>
  <si>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</si>
  <si>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</si>
  <si>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</si>
  <si>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</si>
  <si>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</si>
  <si>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</si>
  <si>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</si>
  <si>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</si>
  <si>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</si>
  <si>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</si>
  <si>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</si>
  <si>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</si>
  <si>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</si>
  <si>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</si>
  <si>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</si>
  <si>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</si>
  <si>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</si>
  <si>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</si>
  <si>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</si>
  <si>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</si>
  <si>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</si>
  <si>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</si>
  <si>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</si>
  <si>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</si>
  <si>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</si>
  <si>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</si>
  <si>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</si>
  <si>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</si>
  <si>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</si>
  <si>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</si>
  <si>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</si>
  <si>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</si>
  <si>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</si>
  <si>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</si>
  <si>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</si>
  <si>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</si>
  <si>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</si>
  <si>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</si>
  <si>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</si>
  <si>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</si>
  <si>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</si>
  <si>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</si>
  <si>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</si>
  <si>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</si>
  <si>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</si>
  <si>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</si>
  <si>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</si>
  <si>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</si>
  <si>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</si>
  <si>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</si>
  <si>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</si>
  <si>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</si>
  <si>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</si>
  <si>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</si>
  <si>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</si>
  <si>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</si>
  <si>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</si>
  <si>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</si>
  <si>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</si>
  <si>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</si>
  <si>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</si>
  <si>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</si>
  <si>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</si>
  <si>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</si>
  <si>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</si>
  <si>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</si>
  <si>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</si>
  <si>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</si>
  <si>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</si>
  <si>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</si>
  <si>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</si>
  <si>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</si>
  <si>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</si>
  <si>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</si>
  <si>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</si>
  <si>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</si>
  <si>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</si>
  <si>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</si>
  <si>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</si>
  <si>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</si>
  <si>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</si>
  <si>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</si>
  <si>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</si>
  <si>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</si>
  <si>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</si>
  <si>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</si>
  <si>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</si>
  <si>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</si>
  <si>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</si>
  <si>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</si>
  <si>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</si>
  <si>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</si>
  <si>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</si>
  <si>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</si>
  <si>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</si>
  <si>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</si>
  <si>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</si>
  <si>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</si>
  <si>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</si>
  <si>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</si>
  <si>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</si>
  <si>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</si>
  <si>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</si>
  <si>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</si>
  <si>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</si>
  <si>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</si>
  <si>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</si>
  <si>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</si>
  <si>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</si>
  <si>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</si>
  <si>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</si>
  <si>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</si>
  <si>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</si>
  <si>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</si>
  <si>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</si>
  <si>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</si>
  <si>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</si>
  <si>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</si>
  <si>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</si>
  <si>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</si>
  <si>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</si>
  <si>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</si>
  <si>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</si>
  <si>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</si>
  <si>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</si>
  <si>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</si>
  <si>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</si>
  <si>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</si>
  <si>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</si>
  <si>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</si>
  <si>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</si>
  <si>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</si>
  <si>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</si>
  <si>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</si>
  <si>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</si>
  <si>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</si>
  <si>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</si>
  <si>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</si>
  <si>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</si>
  <si>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</si>
  <si>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</si>
  <si>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</si>
  <si>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</si>
  <si>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</si>
  <si>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</si>
  <si>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</si>
  <si>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</si>
  <si>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</si>
  <si>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</si>
  <si>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</si>
  <si>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</si>
  <si>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</si>
  <si>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</si>
  <si>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</si>
  <si>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</si>
  <si>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</si>
  <si>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</si>
  <si>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</si>
  <si>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</si>
  <si>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</si>
  <si>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</si>
  <si>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</si>
  <si>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</si>
  <si>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</si>
  <si>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</si>
  <si>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</si>
  <si>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</si>
  <si>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</si>
  <si>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</si>
  <si>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</si>
  <si>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</si>
  <si>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</si>
  <si>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</si>
  <si>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</si>
  <si>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</si>
  <si>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</si>
  <si>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</si>
  <si>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</si>
  <si>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</si>
  <si>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</si>
  <si>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</si>
  <si>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</si>
  <si>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</si>
  <si>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</si>
  <si>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</si>
  <si>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</si>
  <si>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</si>
  <si>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</si>
  <si>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</si>
  <si>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</si>
  <si>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</si>
  <si>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</si>
  <si>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</si>
  <si>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</si>
  <si>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</si>
  <si>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</si>
  <si>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</si>
  <si>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</si>
  <si>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</si>
  <si>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</si>
  <si>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</si>
  <si>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</si>
  <si>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</si>
  <si>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</si>
  <si>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</si>
  <si>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</si>
  <si>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</si>
  <si>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</si>
  <si>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</si>
  <si>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</si>
  <si>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</si>
  <si>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</si>
  <si>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</si>
  <si>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</si>
  <si>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</si>
  <si>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</si>
  <si>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</si>
  <si>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</si>
  <si>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</si>
  <si>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</si>
  <si>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</si>
  <si>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</si>
  <si>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</si>
  <si>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</si>
  <si>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</si>
  <si>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</si>
  <si>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</si>
  <si>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</si>
  <si>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</si>
  <si>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</si>
  <si>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</si>
  <si>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</si>
  <si>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</si>
  <si>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</si>
  <si>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</si>
  <si>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</si>
  <si>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</si>
  <si>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</si>
  <si>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</si>
  <si>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</si>
  <si>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</si>
  <si>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</si>
  <si>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</si>
  <si>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</si>
  <si>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</si>
  <si>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</si>
  <si>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</si>
  <si>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</si>
  <si>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</si>
  <si>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</si>
  <si>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</si>
  <si>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</si>
  <si>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</si>
  <si>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</si>
  <si>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</si>
  <si>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</si>
  <si>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</si>
  <si>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</si>
  <si>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</si>
  <si>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</si>
  <si>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</si>
  <si>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</si>
  <si>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</si>
  <si>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</si>
  <si>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</si>
  <si>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</si>
  <si>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</si>
  <si>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</si>
  <si>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</si>
  <si>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</si>
  <si>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</si>
  <si>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</si>
  <si>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</si>
  <si>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</si>
  <si>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</si>
  <si>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</si>
  <si>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</si>
  <si>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</si>
  <si>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</si>
  <si>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</si>
  <si>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</si>
  <si>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</si>
  <si>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</si>
  <si>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</si>
  <si>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</si>
  <si>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</si>
  <si>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</si>
  <si>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</si>
  <si>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</si>
  <si>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</si>
  <si>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</si>
  <si>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</si>
  <si>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</si>
  <si>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</si>
  <si>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</si>
  <si>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</si>
  <si>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</si>
  <si>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</si>
  <si>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</si>
  <si>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</si>
  <si>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</si>
  <si>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</si>
  <si>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</si>
  <si>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</si>
  <si>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</si>
  <si>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</si>
  <si>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</si>
  <si>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</si>
  <si>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</si>
  <si>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</si>
  <si>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</si>
  <si>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</si>
  <si>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</si>
  <si>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</si>
  <si>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</si>
  <si>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</si>
  <si>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</si>
  <si>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</si>
  <si>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</si>
  <si>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</si>
  <si>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</si>
  <si>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</si>
  <si>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</si>
  <si>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</si>
  <si>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</si>
  <si>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</si>
  <si>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</si>
  <si>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</si>
  <si>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</si>
  <si>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</si>
  <si>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</si>
  <si>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</si>
  <si>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</si>
  <si>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</si>
  <si>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</si>
  <si>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</si>
  <si>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</si>
  <si>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</si>
  <si>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</si>
  <si>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</si>
  <si>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</si>
  <si>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</si>
  <si>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</si>
  <si>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</si>
  <si>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</si>
  <si>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</si>
  <si>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</si>
  <si>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</si>
  <si>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</si>
  <si>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</si>
  <si>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</si>
  <si>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</si>
  <si>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</si>
  <si>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</si>
  <si>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</si>
  <si>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</si>
  <si>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</si>
  <si>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</si>
  <si>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</si>
  <si>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</si>
  <si>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</si>
  <si>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</si>
  <si>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</si>
  <si>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</si>
  <si>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</si>
  <si>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</si>
  <si>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</si>
  <si>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</si>
  <si>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</si>
  <si>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</si>
  <si>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</si>
  <si>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</si>
  <si>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</si>
  <si>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</si>
  <si>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</si>
  <si>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</si>
  <si>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</si>
  <si>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</si>
  <si>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</si>
  <si>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</si>
  <si>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</si>
  <si>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</si>
  <si>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</si>
  <si>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</si>
  <si>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</si>
  <si>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</si>
  <si>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</si>
  <si>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</si>
  <si>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</si>
  <si>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</si>
  <si>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</si>
  <si>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</si>
  <si>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</si>
  <si>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</si>
  <si>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</si>
  <si>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</si>
  <si>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</si>
  <si>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</si>
  <si>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</si>
  <si>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</si>
  <si>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</si>
  <si>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</si>
  <si>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</si>
  <si>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</si>
  <si>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</si>
  <si>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</si>
  <si>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</si>
  <si>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</si>
  <si>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</si>
  <si>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</si>
  <si>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</si>
  <si>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</si>
  <si>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</si>
  <si>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</si>
  <si>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</si>
  <si>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</si>
  <si>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</si>
  <si>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</si>
  <si>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</si>
  <si>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</si>
  <si>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</si>
  <si>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</si>
  <si>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</si>
  <si>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</si>
  <si>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</si>
  <si>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</si>
  <si>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</si>
  <si>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</si>
  <si>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</si>
  <si>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</si>
  <si>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</si>
  <si>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</si>
  <si>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</si>
  <si>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</si>
  <si>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</si>
  <si>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</si>
  <si>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</si>
  <si>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</si>
  <si>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</si>
  <si>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</si>
  <si>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</si>
  <si>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</si>
  <si>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</si>
  <si>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</si>
  <si>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</si>
  <si>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</si>
  <si>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</si>
  <si>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</si>
  <si>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</si>
  <si>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</si>
  <si>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</si>
  <si>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</si>
  <si>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</si>
  <si>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</si>
  <si>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</si>
  <si>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</si>
  <si>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</si>
  <si>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</si>
  <si>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</si>
  <si>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</si>
  <si>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</si>
  <si>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</si>
  <si>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</si>
  <si>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</si>
  <si>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</si>
  <si>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</si>
  <si>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</si>
  <si>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</si>
  <si>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</si>
  <si>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</si>
  <si>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</si>
  <si>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</si>
  <si>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</si>
  <si>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</si>
  <si>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</si>
  <si>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</si>
  <si>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</si>
  <si>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</si>
  <si>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</si>
  <si>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</si>
  <si>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</si>
  <si>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</si>
  <si>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</si>
  <si>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</si>
  <si>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</si>
  <si>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</si>
  <si>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</si>
  <si>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</si>
  <si>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</si>
  <si>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</si>
  <si>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</si>
  <si>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</si>
  <si>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</si>
  <si>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</si>
  <si>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</si>
  <si>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</si>
  <si>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</si>
  <si>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</si>
  <si>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</si>
  <si>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</si>
  <si>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</si>
  <si>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</si>
  <si>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</si>
  <si>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</si>
  <si>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</si>
  <si>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</si>
  <si>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</si>
  <si>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</si>
  <si>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</si>
  <si>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</si>
  <si>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</si>
  <si>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</si>
  <si>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</si>
  <si>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</si>
  <si>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</si>
  <si>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</si>
  <si>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</si>
  <si>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</si>
  <si>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</si>
  <si>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</si>
  <si>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</si>
  <si>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</si>
  <si>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</si>
  <si>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</si>
  <si>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</si>
  <si>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</si>
  <si>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</si>
  <si>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</si>
  <si>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</si>
  <si>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</si>
  <si>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</si>
  <si>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</si>
  <si>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</si>
  <si>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</si>
  <si>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</si>
  <si>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</si>
  <si>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</si>
  <si>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</si>
  <si>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</si>
  <si>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</si>
  <si>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</si>
  <si>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</si>
  <si>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</si>
  <si>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</si>
  <si>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</si>
  <si>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</si>
  <si>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</si>
  <si>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</si>
  <si>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</si>
  <si>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</si>
  <si>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</si>
  <si>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</si>
  <si>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</si>
  <si>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</si>
  <si>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</si>
  <si>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</si>
  <si>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</si>
  <si>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</si>
  <si>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</si>
  <si>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</si>
  <si>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</si>
  <si>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</si>
  <si>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</si>
  <si>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</si>
  <si>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</si>
  <si>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</si>
  <si>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</si>
  <si>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</si>
  <si>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</si>
  <si>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</si>
  <si>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</si>
  <si>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</si>
  <si>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</si>
  <si>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</si>
  <si>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</si>
  <si>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</si>
  <si>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</si>
  <si>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</si>
  <si>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</si>
  <si>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</si>
  <si>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</si>
  <si>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</si>
  <si>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</si>
  <si>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</si>
  <si>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</si>
  <si>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</si>
  <si>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</si>
  <si>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</si>
  <si>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</si>
  <si>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</si>
  <si>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</si>
  <si>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</si>
  <si>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</si>
  <si>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</si>
  <si>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</si>
  <si>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</si>
  <si>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</si>
  <si>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</si>
  <si>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</si>
  <si>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</si>
  <si>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</si>
  <si>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</si>
  <si>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</si>
  <si>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</si>
  <si>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</si>
  <si>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</si>
  <si>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</si>
  <si>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</si>
  <si>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</si>
  <si>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</si>
  <si>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</si>
  <si>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</si>
  <si>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</si>
  <si>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</si>
  <si>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</si>
  <si>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</si>
  <si>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</si>
  <si>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</si>
  <si>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</si>
  <si>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</si>
  <si>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</si>
  <si>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</si>
  <si>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</si>
  <si>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</si>
  <si>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</si>
  <si>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</si>
  <si>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</si>
  <si>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</si>
  <si>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</si>
  <si>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</si>
  <si>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</si>
  <si>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</si>
  <si>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</si>
  <si>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</si>
  <si>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</si>
  <si>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</si>
  <si>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</si>
  <si>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</si>
  <si>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</si>
  <si>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</si>
  <si>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</si>
  <si>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</si>
  <si>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</si>
  <si>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</si>
  <si>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</si>
  <si>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</si>
  <si>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</si>
  <si>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</si>
  <si>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</si>
  <si>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</si>
  <si>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</si>
  <si>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</si>
  <si>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</si>
  <si>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</si>
  <si>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</si>
  <si>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</si>
  <si>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</si>
  <si>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</si>
  <si>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</si>
  <si>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</si>
  <si>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</si>
  <si>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</si>
  <si>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</si>
  <si>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</si>
  <si>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</si>
  <si>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</si>
  <si>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</si>
  <si>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</si>
  <si>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</si>
  <si>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</si>
  <si>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</si>
  <si>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</si>
  <si>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</si>
  <si>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</si>
  <si>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</si>
  <si>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</si>
  <si>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</si>
  <si>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</si>
  <si>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</si>
  <si>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</si>
  <si>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</si>
  <si>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</si>
  <si>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</si>
  <si>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</si>
  <si>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</si>
  <si>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</si>
  <si>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</si>
  <si>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</si>
  <si>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</si>
  <si>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</si>
  <si>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</si>
  <si>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</si>
  <si>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</si>
  <si>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</si>
  <si>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</si>
  <si>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</si>
  <si>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</si>
  <si>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</si>
  <si>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</si>
  <si>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</si>
  <si>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</si>
  <si>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</si>
  <si>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</si>
  <si>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</si>
  <si>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</si>
  <si>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</si>
  <si>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</si>
  <si>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</si>
  <si>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</si>
  <si>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</si>
  <si>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</si>
  <si>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</si>
  <si>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</si>
  <si>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</si>
  <si>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</si>
  <si>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</si>
  <si>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</si>
  <si>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</si>
  <si>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</si>
  <si>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</si>
  <si>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</si>
  <si>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</si>
  <si>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</si>
  <si>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</si>
  <si>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</si>
  <si>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</si>
  <si>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</si>
  <si>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</si>
  <si>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</si>
  <si>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</si>
  <si>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</si>
  <si>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</si>
  <si>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</si>
  <si>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</si>
  <si>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</si>
  <si>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</si>
  <si>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</si>
  <si>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</si>
  <si>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</si>
  <si>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</si>
  <si>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</si>
  <si>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</si>
  <si>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</si>
  <si>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</si>
  <si>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</si>
  <si>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</si>
  <si>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</si>
  <si>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</si>
  <si>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</si>
  <si>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</si>
  <si>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</si>
  <si>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</si>
  <si>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</si>
  <si>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</si>
  <si>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</si>
  <si>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</si>
  <si>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</si>
  <si>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</si>
  <si>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</si>
  <si>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</si>
  <si>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</si>
  <si>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</si>
  <si>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</si>
  <si>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</si>
  <si>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</si>
  <si>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</si>
  <si>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</si>
  <si>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</si>
  <si>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</si>
  <si>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</si>
  <si>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</si>
  <si>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</si>
  <si>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</si>
  <si>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</si>
  <si>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</si>
  <si>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</si>
  <si>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</si>
  <si>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</si>
  <si>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</si>
  <si>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</si>
  <si>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</si>
  <si>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</si>
  <si>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</si>
  <si>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</si>
  <si>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</si>
  <si>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</si>
  <si>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</si>
  <si>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</si>
  <si>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</si>
  <si>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</si>
  <si>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</si>
  <si>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</si>
  <si>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</si>
  <si>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</si>
  <si>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</si>
  <si>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</si>
  <si>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</si>
  <si>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</si>
  <si>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</si>
  <si>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</si>
  <si>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</si>
  <si>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</si>
  <si>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</si>
  <si>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</si>
  <si>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</si>
  <si>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</si>
  <si>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</si>
  <si>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</si>
  <si>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</si>
  <si>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</si>
  <si>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</si>
  <si>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</si>
  <si>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</si>
  <si>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</si>
  <si>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</si>
  <si>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</si>
  <si>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</si>
  <si>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</si>
  <si>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</si>
  <si>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</si>
  <si>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</si>
  <si>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</si>
  <si>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</si>
  <si>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</si>
  <si>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</si>
  <si>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</si>
  <si>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</si>
  <si>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</si>
  <si>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</si>
  <si>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</si>
  <si>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</si>
  <si>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</si>
  <si>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</si>
  <si>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</si>
  <si>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</si>
  <si>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</si>
  <si>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</si>
  <si>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</si>
  <si>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</si>
  <si>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</si>
  <si>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</si>
  <si>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</si>
  <si>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</si>
  <si>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</si>
  <si>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</si>
  <si>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</si>
  <si>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</si>
  <si>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</si>
  <si>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</si>
  <si>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</si>
  <si>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</si>
  <si>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</si>
  <si>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</si>
  <si>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</si>
  <si>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</si>
  <si>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</si>
  <si>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</si>
  <si>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</si>
  <si>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</si>
  <si>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</si>
  <si>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</si>
  <si>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</si>
  <si>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</si>
  <si>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</si>
  <si>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</si>
  <si>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</si>
  <si>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</si>
  <si>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</si>
  <si>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</si>
  <si>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</si>
  <si>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</si>
  <si>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</si>
  <si>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</si>
  <si>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</si>
  <si>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</si>
  <si>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</si>
  <si>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</si>
  <si>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</si>
  <si>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</si>
  <si>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</si>
  <si>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</si>
  <si>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</si>
  <si>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</si>
  <si>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</si>
  <si>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</si>
  <si>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</si>
  <si>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</si>
  <si>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</si>
  <si>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</si>
  <si>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</si>
  <si>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</si>
  <si>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</si>
  <si>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</si>
  <si>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</si>
  <si>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</si>
  <si>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</si>
  <si>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</si>
  <si>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</si>
  <si>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</si>
  <si>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</si>
  <si>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</si>
  <si>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</si>
  <si>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</si>
  <si>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</si>
  <si>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</si>
  <si>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</si>
  <si>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</si>
  <si>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</si>
  <si>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</si>
  <si>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</si>
  <si>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</si>
  <si>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</si>
  <si>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</si>
  <si>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</si>
  <si>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</si>
  <si>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</si>
  <si>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</si>
  <si>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</si>
  <si>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</si>
  <si>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</si>
  <si>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</si>
  <si>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</si>
  <si>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</si>
  <si>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</si>
  <si>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</si>
  <si>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</si>
  <si>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</si>
  <si>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</si>
  <si>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</si>
  <si>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</si>
  <si>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</si>
  <si>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</si>
  <si>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</si>
  <si>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</si>
  <si>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</si>
  <si>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</si>
  <si>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</si>
  <si>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</si>
  <si>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</si>
  <si>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</si>
  <si>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</si>
  <si>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</si>
  <si>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</si>
  <si>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</si>
  <si>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</si>
  <si>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</si>
  <si>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</si>
  <si>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</si>
  <si>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</si>
  <si>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</si>
  <si>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</si>
  <si>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</si>
  <si>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</si>
  <si>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</si>
  <si>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</si>
  <si>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</si>
  <si>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</si>
  <si>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</si>
  <si>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</si>
  <si>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</si>
  <si>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</si>
  <si>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</si>
  <si>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</si>
  <si>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</si>
  <si>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</si>
  <si>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</si>
  <si>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</si>
  <si>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</si>
  <si>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</si>
  <si>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</si>
  <si>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</si>
  <si>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</si>
  <si>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</si>
  <si>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</si>
  <si>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</si>
  <si>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</si>
  <si>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</si>
  <si>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</si>
  <si>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</si>
  <si>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</si>
  <si>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</si>
  <si>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</si>
  <si>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</si>
  <si>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</si>
  <si>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</si>
  <si>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</si>
  <si>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</si>
  <si>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</si>
  <si>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</si>
  <si>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</si>
  <si>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</si>
  <si>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</si>
  <si>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</si>
  <si>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</si>
  <si>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</si>
  <si>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</si>
  <si>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</si>
  <si>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</si>
  <si>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</si>
  <si>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</si>
  <si>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</si>
  <si>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</si>
  <si>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</si>
  <si>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</si>
  <si>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</si>
  <si>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</si>
  <si>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</si>
  <si>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</si>
  <si>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</si>
  <si>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</si>
  <si>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</si>
  <si>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</si>
  <si>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</si>
  <si>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</si>
  <si>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</si>
  <si>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</si>
  <si>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</si>
  <si>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</si>
  <si>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</si>
  <si>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</si>
  <si>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</si>
  <si>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</si>
  <si>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</si>
  <si>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</si>
  <si>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</si>
  <si>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</si>
  <si>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</si>
  <si>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</si>
  <si>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</si>
  <si>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</si>
  <si>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</si>
  <si>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</si>
  <si>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</si>
  <si>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</si>
  <si>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</si>
  <si>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</si>
  <si>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</si>
  <si>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</si>
  <si>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</si>
  <si>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</si>
  <si>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</si>
  <si>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</si>
  <si>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</si>
  <si>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</si>
  <si>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</si>
  <si>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</si>
  <si>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</si>
  <si>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</si>
  <si>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</si>
  <si>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</si>
  <si>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</si>
  <si>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</si>
  <si>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</si>
  <si>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</si>
  <si>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</si>
  <si>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</si>
  <si>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</si>
  <si>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</si>
  <si>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</si>
  <si>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</si>
  <si>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</si>
  <si>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</si>
  <si>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</si>
  <si>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</si>
  <si>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</si>
  <si>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</si>
  <si>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</si>
  <si>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</si>
  <si>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</si>
  <si>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</si>
  <si>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</si>
  <si>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</si>
  <si>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</si>
  <si>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</si>
  <si>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</si>
  <si>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</si>
  <si>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</si>
  <si>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</si>
  <si>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</si>
  <si>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</si>
  <si>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</si>
  <si>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</si>
  <si>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</si>
  <si>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</si>
  <si>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</si>
  <si>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</si>
  <si>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</si>
  <si>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</si>
  <si>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</si>
  <si>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</si>
  <si>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</si>
  <si>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</si>
  <si>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</si>
  <si>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</si>
  <si>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</si>
  <si>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</si>
  <si>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</si>
  <si>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</si>
  <si>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</si>
  <si>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</si>
  <si>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</si>
  <si>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</si>
  <si>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</si>
  <si>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</si>
  <si>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</si>
  <si>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</si>
  <si>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</si>
  <si>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</si>
  <si>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</si>
  <si>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</si>
  <si>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</si>
  <si>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</si>
  <si>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</si>
  <si>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</si>
  <si>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</si>
  <si>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</si>
  <si>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</si>
  <si>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</si>
  <si>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</si>
  <si>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</si>
  <si>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</si>
  <si>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</si>
  <si>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</si>
  <si>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</si>
  <si>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</si>
  <si>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</si>
  <si>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</si>
  <si>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</si>
  <si>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</si>
  <si>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</si>
  <si>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</si>
  <si>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</si>
  <si>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</si>
  <si>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</si>
  <si>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</si>
  <si>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</si>
  <si>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</si>
  <si>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</si>
  <si>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</si>
  <si>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</si>
  <si>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</si>
  <si>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</si>
  <si>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</si>
  <si>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</si>
  <si>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</si>
  <si>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</si>
  <si>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</si>
  <si>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</si>
  <si>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</si>
  <si>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</si>
  <si>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</si>
  <si>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</si>
  <si>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</si>
  <si>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</si>
  <si>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</si>
  <si>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</si>
  <si>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</si>
  <si>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</si>
  <si>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</si>
  <si>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</si>
  <si>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</si>
  <si>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</si>
  <si>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</si>
  <si>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</si>
  <si>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</si>
  <si>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</si>
  <si>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</si>
  <si>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</si>
  <si>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</si>
  <si>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</si>
  <si>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</si>
  <si>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</si>
  <si>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</si>
  <si>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</si>
  <si>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</si>
  <si>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</si>
  <si>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</si>
  <si>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</si>
  <si>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</si>
  <si>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</si>
  <si>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</si>
  <si>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</si>
  <si>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</si>
  <si>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</si>
  <si>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</si>
  <si>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</si>
  <si>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</si>
  <si>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</si>
  <si>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</si>
  <si>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</si>
  <si>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</si>
  <si>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</si>
  <si>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</si>
  <si>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</si>
  <si>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</si>
  <si>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</si>
  <si>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</si>
  <si>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</si>
  <si>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</si>
  <si>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</si>
  <si>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</si>
  <si>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</si>
  <si>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</si>
  <si>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</si>
  <si>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</si>
  <si>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</si>
  <si>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</si>
  <si>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</si>
  <si>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</si>
  <si>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</si>
  <si>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</si>
  <si>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</si>
  <si>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</si>
  <si>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</si>
  <si>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</si>
  <si>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</si>
  <si>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</si>
  <si>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</si>
  <si>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</si>
  <si>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</si>
  <si>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</si>
  <si>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</si>
  <si>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</si>
  <si>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</si>
  <si>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</si>
  <si>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</si>
  <si>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</si>
  <si>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</si>
  <si>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</si>
  <si>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</si>
  <si>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</si>
  <si>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</si>
  <si>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</si>
  <si>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</si>
  <si>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</si>
  <si>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</si>
  <si>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</si>
  <si>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</si>
  <si>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</si>
  <si>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</si>
  <si>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</si>
  <si>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</si>
  <si>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</si>
  <si>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</si>
  <si>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</si>
  <si>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</si>
  <si>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</si>
  <si>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</si>
  <si>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</si>
  <si>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</si>
  <si>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</si>
  <si>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</si>
  <si>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</si>
  <si>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</si>
  <si>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</si>
  <si>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</si>
  <si>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</si>
  <si>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</si>
  <si>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</si>
  <si>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</si>
  <si>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</si>
  <si>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</si>
  <si>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</si>
  <si>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</si>
  <si>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</si>
  <si>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</si>
  <si>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</si>
  <si>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</si>
  <si>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</si>
  <si>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</si>
  <si>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</si>
  <si>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</si>
  <si>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</si>
  <si>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</si>
  <si>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</si>
  <si>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</si>
  <si>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</si>
  <si>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</si>
  <si>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</si>
  <si>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</si>
  <si>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</si>
  <si>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</si>
  <si>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</si>
  <si>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</si>
  <si>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</si>
  <si>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</si>
  <si>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</si>
  <si>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</si>
  <si>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</si>
  <si>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</si>
  <si>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</si>
  <si>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</si>
  <si>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</si>
  <si>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</si>
  <si>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</si>
  <si>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</si>
  <si>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</si>
  <si>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</si>
  <si>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</si>
  <si>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</si>
  <si>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</si>
  <si>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</si>
  <si>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</si>
  <si>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</si>
  <si>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</si>
  <si>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</si>
  <si>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</si>
  <si>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</si>
  <si>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</si>
  <si>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</si>
  <si>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</si>
  <si>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</si>
  <si>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</si>
  <si>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</si>
  <si>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</si>
  <si>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</si>
  <si>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</si>
  <si>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</si>
  <si>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</si>
  <si>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</si>
  <si>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</si>
  <si>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</si>
  <si>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</si>
  <si>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</si>
  <si>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</si>
  <si>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</si>
  <si>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</si>
  <si>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</si>
  <si>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</si>
  <si>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</si>
  <si>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</si>
  <si>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</si>
  <si>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</si>
  <si>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</si>
  <si>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</si>
  <si>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</si>
  <si>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</si>
  <si>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</si>
  <si>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</si>
  <si>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</si>
  <si>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</si>
  <si>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</si>
  <si>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</si>
  <si>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</si>
  <si>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</si>
  <si>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</si>
  <si>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</si>
  <si>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</si>
  <si>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</si>
  <si>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</si>
  <si>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</si>
  <si>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</si>
  <si>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</si>
  <si>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</si>
  <si>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</si>
  <si>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</si>
  <si>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</si>
  <si>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</si>
  <si>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</si>
  <si>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</si>
  <si>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</si>
  <si>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</si>
  <si>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</si>
  <si>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</si>
  <si>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</si>
  <si>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</si>
  <si>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</si>
  <si>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</si>
  <si>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</si>
  <si>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</si>
  <si>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</si>
  <si>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</si>
  <si>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</si>
  <si>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</si>
  <si>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</si>
  <si>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</si>
  <si>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</si>
  <si>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</si>
  <si>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</si>
  <si>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</si>
  <si>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</si>
  <si>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</si>
  <si>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</si>
  <si>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</si>
  <si>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</si>
  <si>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</si>
  <si>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</si>
  <si>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</si>
  <si>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</si>
  <si>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</si>
  <si>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</si>
  <si>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</si>
  <si>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</si>
  <si>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</si>
  <si>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</si>
  <si>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</si>
  <si>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</si>
  <si>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</si>
  <si>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</si>
  <si>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</si>
  <si>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</si>
  <si>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</si>
  <si>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</si>
  <si>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</si>
  <si>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</si>
  <si>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</si>
  <si>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</si>
  <si>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</si>
  <si>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</si>
  <si>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</si>
  <si>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</si>
  <si>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</si>
  <si>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</si>
  <si>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</si>
  <si>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</si>
  <si>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</si>
  <si>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</si>
  <si>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</si>
  <si>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</si>
  <si>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</si>
  <si>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</si>
  <si>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</si>
  <si>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</si>
  <si>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</si>
  <si>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</si>
  <si>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</si>
  <si>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</si>
  <si>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</si>
  <si>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</si>
  <si>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</si>
  <si>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</si>
  <si>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</si>
  <si>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</si>
  <si>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</si>
  <si>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</si>
  <si>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</si>
  <si>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</si>
  <si>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</si>
  <si>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</si>
  <si>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</si>
  <si>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</si>
  <si>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</si>
  <si>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</si>
  <si>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</si>
  <si>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</si>
  <si>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</si>
  <si>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</si>
  <si>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</si>
  <si>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</si>
  <si>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</si>
  <si>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</si>
  <si>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</si>
  <si>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</si>
  <si>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</si>
  <si>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</si>
  <si>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</si>
  <si>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</si>
  <si>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</si>
  <si>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</si>
  <si>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</si>
  <si>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</si>
  <si>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</si>
  <si>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</si>
  <si>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</si>
  <si>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</si>
  <si>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</si>
  <si>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</si>
  <si>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</si>
  <si>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</si>
  <si>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</si>
  <si>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</si>
  <si>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</si>
  <si>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</si>
  <si>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</si>
  <si>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</si>
  <si>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</si>
  <si>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</si>
  <si>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</si>
  <si>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</si>
  <si>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</si>
  <si>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</si>
  <si>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</si>
  <si>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</si>
  <si>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</si>
  <si>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</si>
  <si>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</si>
  <si>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</si>
  <si>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</si>
  <si>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</si>
  <si>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</si>
  <si>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</si>
  <si>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</si>
  <si>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</si>
  <si>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</si>
  <si>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</si>
  <si>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</si>
  <si>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</si>
  <si>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</si>
  <si>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</si>
  <si>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</si>
  <si>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</si>
  <si>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</si>
  <si>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</si>
  <si>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</si>
  <si>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</si>
  <si>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</si>
  <si>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</si>
  <si>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</si>
  <si>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</si>
  <si>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</si>
  <si>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</si>
  <si>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</si>
  <si>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</si>
  <si>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</si>
  <si>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</si>
  <si>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</si>
  <si>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</si>
  <si>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</si>
  <si>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</si>
  <si>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</si>
  <si>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</si>
  <si>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</si>
  <si>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</si>
  <si>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</si>
  <si>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</si>
  <si>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</si>
  <si>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</si>
  <si>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</si>
  <si>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</si>
  <si>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</si>
  <si>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</si>
  <si>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</si>
  <si>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</si>
  <si>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</si>
  <si>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</si>
  <si>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</si>
  <si>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</si>
  <si>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</si>
  <si>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</si>
  <si>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</si>
  <si>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</si>
  <si>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</si>
  <si>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</si>
  <si>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</si>
  <si>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</si>
  <si>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</si>
  <si>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</si>
  <si>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</si>
  <si>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</si>
  <si>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</si>
  <si>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</si>
  <si>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</si>
  <si>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</si>
  <si>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</si>
  <si>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</si>
  <si>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</si>
  <si>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</si>
  <si>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</si>
  <si>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</si>
  <si>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</si>
  <si>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</si>
  <si>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</si>
  <si>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</si>
  <si>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</si>
  <si>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</si>
  <si>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</si>
  <si>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</si>
  <si>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</si>
  <si>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</si>
  <si>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</si>
  <si>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</si>
  <si>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</si>
  <si>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</si>
  <si>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</si>
  <si>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</si>
  <si>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</si>
  <si>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</si>
  <si>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</si>
  <si>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</si>
  <si>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</si>
  <si>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</si>
  <si>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</si>
  <si>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</si>
  <si>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</si>
  <si>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</si>
  <si>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</si>
  <si>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</si>
  <si>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</si>
  <si>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</si>
  <si>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</si>
  <si>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</si>
  <si>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</si>
  <si>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</si>
  <si>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</si>
  <si>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</si>
  <si>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</si>
  <si>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</si>
  <si>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</si>
  <si>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</si>
  <si>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</si>
  <si>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</si>
  <si>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</si>
  <si>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</si>
  <si>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</si>
  <si>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</si>
  <si>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</si>
  <si>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</si>
  <si>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</si>
  <si>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</si>
  <si>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</si>
  <si>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</si>
  <si>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</si>
  <si>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</si>
  <si>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</si>
  <si>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</si>
  <si>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</si>
  <si>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</si>
  <si>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</si>
  <si>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</si>
  <si>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</si>
  <si>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</si>
  <si>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</si>
  <si>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</si>
  <si>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</si>
  <si>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</si>
  <si>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</si>
  <si>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</si>
  <si>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</si>
  <si>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</si>
  <si>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</si>
  <si>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</si>
  <si>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</si>
  <si>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</si>
  <si>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</si>
  <si>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</si>
  <si>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</si>
  <si>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</si>
  <si>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</si>
  <si>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</si>
  <si>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</si>
  <si>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</si>
  <si>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</si>
  <si>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</si>
  <si>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</si>
  <si>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</si>
  <si>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</si>
  <si>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</si>
  <si>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</si>
  <si>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</si>
  <si>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</si>
  <si>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</si>
  <si>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</si>
  <si>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</si>
  <si>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</si>
  <si>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</si>
  <si>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</si>
  <si>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</si>
  <si>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</si>
  <si>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</si>
  <si>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</si>
  <si>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</si>
  <si>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</si>
  <si>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</si>
  <si>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</si>
  <si>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</si>
  <si>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</si>
  <si>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</si>
  <si>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</si>
  <si>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</si>
  <si>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</si>
  <si>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</si>
  <si>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</si>
  <si>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</si>
  <si>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</si>
  <si>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</si>
  <si>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</si>
  <si>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</si>
  <si>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</si>
  <si>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</si>
  <si>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</si>
  <si>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</si>
  <si>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</si>
  <si>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</si>
  <si>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</si>
  <si>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</si>
  <si>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</si>
  <si>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</si>
  <si>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</si>
  <si>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</si>
  <si>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</si>
  <si>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</si>
  <si>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</si>
  <si>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</si>
  <si>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</si>
  <si>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</si>
  <si>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</si>
  <si>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</si>
  <si>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</si>
  <si>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</si>
  <si>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</si>
  <si>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</si>
  <si>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</si>
  <si>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</si>
  <si>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</si>
  <si>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</si>
  <si>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</si>
  <si>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</si>
  <si>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</si>
  <si>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</si>
  <si>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</si>
  <si>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</si>
  <si>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</si>
  <si>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</si>
  <si>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</si>
  <si>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</si>
  <si>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</si>
  <si>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</si>
  <si>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</si>
  <si>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</si>
  <si>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</si>
  <si>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</si>
  <si>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</si>
  <si>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</si>
  <si>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</si>
  <si>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</si>
  <si>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</si>
  <si>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</si>
  <si>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</si>
  <si>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</si>
  <si>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</si>
  <si>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</si>
  <si>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</si>
  <si>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</si>
  <si>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</si>
  <si>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</si>
  <si>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</si>
  <si>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</si>
  <si>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</si>
  <si>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</si>
  <si>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</si>
  <si>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</si>
  <si>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</si>
  <si>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</si>
  <si>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</si>
  <si>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</si>
  <si>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</si>
  <si>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</si>
  <si>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</si>
  <si>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</si>
  <si>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</si>
  <si>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</si>
  <si>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</si>
  <si>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</si>
  <si>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</si>
  <si>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</si>
  <si>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</si>
  <si>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</si>
  <si>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</si>
  <si>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</si>
  <si>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</si>
  <si>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</si>
  <si>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</si>
  <si>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</si>
  <si>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</si>
  <si>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</si>
  <si>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</si>
  <si>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</si>
  <si>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</si>
  <si>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</si>
  <si>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</si>
  <si>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</si>
  <si>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</si>
  <si>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</si>
  <si>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</si>
  <si>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</si>
  <si>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</si>
  <si>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</si>
  <si>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</si>
  <si>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</si>
  <si>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</si>
  <si>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</si>
  <si>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</si>
  <si>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</si>
  <si>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</si>
  <si>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</si>
  <si>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</si>
  <si>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</si>
  <si>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</si>
  <si>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</si>
  <si>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</si>
  <si>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</si>
  <si>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</si>
  <si>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</si>
  <si>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</si>
  <si>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</si>
  <si>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</si>
  <si>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</si>
  <si>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</si>
  <si>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</si>
  <si>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</si>
  <si>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</si>
  <si>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</si>
  <si>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</si>
  <si>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</si>
  <si>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</si>
  <si>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</si>
  <si>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</si>
  <si>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</si>
  <si>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</si>
  <si>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</si>
  <si>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</si>
  <si>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</si>
  <si>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</si>
  <si>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</si>
  <si>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</si>
  <si>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</si>
  <si>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</si>
  <si>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</si>
  <si>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</si>
  <si>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</si>
  <si>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</si>
  <si>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</si>
  <si>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</si>
  <si>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</si>
  <si>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</si>
  <si>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</si>
  <si>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</si>
  <si>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</si>
  <si>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</si>
  <si>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</si>
  <si>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</si>
  <si>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</si>
  <si>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</si>
  <si>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</si>
  <si>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</si>
  <si>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</si>
  <si>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</si>
  <si>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</si>
  <si>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</si>
  <si>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</si>
  <si>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</si>
  <si>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</si>
  <si>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</si>
  <si>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</si>
  <si>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</si>
  <si>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</si>
  <si>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</si>
  <si>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</si>
  <si>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</si>
  <si>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</si>
  <si>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</si>
  <si>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</si>
  <si>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</si>
  <si>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</si>
  <si>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</si>
  <si>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</si>
  <si>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</si>
  <si>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</si>
  <si>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</si>
  <si>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</si>
  <si>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</si>
  <si>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</si>
  <si>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</si>
  <si>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</si>
  <si>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</si>
  <si>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</si>
  <si>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</si>
  <si>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</si>
  <si>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</si>
  <si>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</si>
  <si>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</si>
  <si>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</si>
  <si>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</si>
  <si>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</si>
  <si>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</si>
  <si>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</si>
  <si>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</si>
  <si>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</si>
  <si>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</si>
  <si>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</si>
  <si>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</si>
  <si>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</si>
  <si>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</si>
  <si>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</si>
  <si>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</si>
  <si>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</si>
  <si>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</si>
  <si>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</si>
  <si>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</si>
  <si>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</si>
  <si>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</si>
  <si>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</si>
  <si>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</si>
  <si>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</si>
  <si>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</si>
  <si>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</si>
  <si>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</si>
  <si>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</si>
  <si>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</si>
  <si>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</si>
  <si>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</si>
  <si>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</si>
  <si>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</si>
  <si>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</si>
  <si>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</si>
  <si>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</si>
  <si>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</si>
  <si>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</si>
  <si>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</si>
  <si>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</si>
  <si>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</si>
  <si>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</si>
  <si>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</si>
  <si>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</si>
  <si>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</si>
  <si>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</si>
  <si>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</si>
  <si>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</si>
  <si>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</si>
  <si>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</si>
  <si>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</si>
  <si>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</si>
  <si>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</si>
  <si>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</si>
  <si>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</si>
  <si>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</si>
  <si>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</si>
  <si>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</si>
  <si>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</si>
  <si>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</si>
  <si>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</si>
  <si>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</si>
  <si>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</si>
  <si>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</si>
  <si>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</si>
  <si>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</si>
  <si>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</si>
  <si>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</si>
  <si>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</si>
  <si>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</si>
  <si>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</si>
  <si>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</si>
  <si>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</si>
  <si>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</si>
  <si>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</si>
  <si>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</si>
  <si>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</si>
  <si>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</si>
  <si>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</si>
  <si>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</si>
  <si>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</si>
  <si>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</si>
  <si>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</si>
  <si>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</si>
  <si>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</si>
  <si>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</si>
  <si>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</si>
  <si>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</si>
  <si>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</si>
  <si>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</si>
  <si>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</si>
  <si>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</si>
  <si>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</si>
  <si>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</si>
  <si>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</si>
  <si>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</si>
  <si>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</si>
  <si>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</si>
  <si>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</si>
  <si>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</si>
  <si>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</si>
  <si>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</si>
  <si>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</si>
  <si>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</si>
  <si>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</si>
  <si>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</si>
  <si>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</si>
  <si>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</si>
  <si>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</si>
  <si>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</si>
  <si>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</si>
  <si>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</si>
  <si>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</si>
  <si>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</si>
  <si>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</si>
  <si>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</si>
  <si>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</si>
  <si>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</si>
  <si>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</si>
  <si>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</si>
  <si>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</si>
  <si>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</si>
  <si>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</si>
  <si>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</si>
  <si>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</si>
  <si>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</si>
  <si>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</si>
  <si>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</si>
  <si>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</si>
  <si>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</si>
  <si>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</si>
  <si>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</si>
  <si>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</si>
  <si>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</si>
  <si>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</si>
  <si>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</si>
  <si>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</si>
  <si>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</si>
  <si>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</si>
  <si>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</si>
  <si>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</si>
  <si>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</si>
  <si>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</si>
  <si>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</si>
  <si>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</si>
  <si>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</si>
  <si>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</si>
  <si>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</si>
  <si>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</si>
  <si>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</si>
  <si>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</si>
  <si>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</si>
  <si>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</si>
  <si>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</si>
  <si>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</si>
  <si>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</si>
  <si>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</si>
  <si>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</si>
  <si>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</si>
  <si>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</si>
  <si>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</si>
  <si>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</si>
  <si>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</si>
  <si>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</si>
  <si>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</si>
  <si>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</si>
  <si>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</si>
  <si>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</si>
  <si>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</si>
  <si>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</si>
  <si>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</si>
  <si>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</si>
  <si>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</si>
  <si>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</si>
  <si>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</si>
  <si>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</si>
  <si>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</si>
  <si>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</si>
  <si>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</si>
  <si>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</si>
  <si>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</si>
  <si>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</si>
  <si>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</si>
  <si>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</si>
  <si>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</si>
  <si>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</si>
  <si>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</si>
  <si>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</si>
  <si>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</si>
  <si>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</si>
  <si>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</si>
  <si>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</si>
  <si>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</si>
  <si>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</si>
  <si>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</si>
  <si>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</si>
  <si>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</si>
  <si>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</si>
  <si>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</si>
  <si>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</si>
  <si>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</si>
  <si>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</si>
  <si>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</si>
  <si>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</si>
  <si>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</si>
  <si>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</si>
  <si>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</si>
  <si>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</si>
  <si>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</si>
  <si>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</si>
  <si>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</si>
  <si>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</si>
  <si>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</si>
  <si>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</si>
  <si>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</si>
  <si>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</si>
  <si>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</si>
  <si>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</si>
  <si>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</si>
  <si>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</si>
  <si>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</si>
  <si>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</si>
  <si>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</si>
  <si>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</si>
  <si>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</si>
  <si>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</si>
  <si>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</si>
  <si>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</si>
  <si>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</si>
  <si>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</si>
  <si>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</si>
  <si>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</si>
  <si>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</si>
  <si>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</si>
  <si>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</si>
  <si>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</si>
  <si>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</si>
  <si>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</si>
  <si>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</si>
  <si>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</si>
  <si>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</si>
  <si>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</si>
  <si>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</si>
  <si>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</si>
  <si>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</si>
  <si>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</si>
  <si>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</si>
  <si>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</si>
  <si>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</si>
  <si>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</si>
  <si>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</si>
  <si>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</si>
  <si>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</si>
  <si>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</si>
  <si>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</si>
  <si>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</si>
  <si>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</si>
  <si>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</si>
  <si>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</si>
  <si>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</si>
  <si>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</si>
  <si>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</si>
  <si>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</si>
  <si>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</si>
  <si>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</si>
  <si>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</si>
  <si>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</si>
  <si>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</si>
  <si>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</si>
  <si>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</si>
  <si>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</si>
  <si>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</si>
  <si>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</si>
  <si>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</si>
  <si>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</si>
  <si>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</si>
  <si>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</si>
  <si>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</si>
  <si>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</si>
  <si>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</si>
  <si>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</si>
  <si>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</si>
  <si>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</si>
  <si>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</si>
  <si>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</si>
  <si>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</si>
  <si>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</si>
  <si>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</si>
  <si>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</si>
  <si>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</si>
  <si>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</si>
  <si>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</si>
  <si>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</si>
  <si>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</si>
  <si>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</si>
  <si>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</si>
  <si>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</si>
  <si>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</si>
  <si>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</si>
  <si>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</si>
  <si>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</si>
  <si>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</si>
  <si>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</si>
  <si>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</si>
  <si>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</si>
  <si>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</si>
  <si>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</si>
  <si>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</si>
  <si>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</si>
  <si>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</si>
  <si>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</si>
  <si>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</si>
  <si>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</si>
  <si>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</si>
  <si>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</si>
  <si>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</si>
  <si>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</si>
  <si>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</si>
  <si>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</si>
  <si>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</si>
  <si>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</si>
  <si>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</si>
  <si>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</si>
  <si>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</si>
  <si>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</si>
  <si>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</si>
  <si>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</si>
  <si>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</si>
  <si>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</si>
  <si>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</si>
  <si>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</si>
  <si>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</si>
  <si>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</si>
  <si>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</si>
  <si>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</si>
  <si>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</si>
  <si>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</si>
  <si>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</si>
  <si>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</si>
  <si>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</si>
  <si>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</si>
  <si>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</si>
  <si>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</si>
  <si>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</si>
  <si>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</si>
  <si>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</si>
  <si>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</si>
  <si>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</si>
  <si>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</si>
  <si>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</si>
  <si>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</si>
  <si>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</si>
  <si>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</si>
  <si>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</si>
  <si>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</si>
  <si>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</si>
  <si>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</si>
  <si>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</si>
  <si>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</si>
  <si>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</si>
  <si>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</si>
  <si>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</si>
  <si>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</si>
  <si>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</si>
  <si>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</si>
  <si>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</si>
  <si>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</si>
  <si>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</si>
  <si>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</si>
  <si>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</si>
  <si>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</si>
  <si>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</si>
  <si>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</si>
  <si>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</si>
  <si>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</si>
  <si>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</si>
  <si>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</si>
  <si>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</si>
  <si>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</si>
  <si>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</si>
  <si>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</si>
  <si>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</si>
  <si>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</si>
  <si>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</si>
  <si>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</si>
  <si>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</si>
  <si>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</si>
  <si>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</si>
  <si>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</si>
  <si>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</si>
  <si>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</si>
  <si>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</si>
  <si>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</si>
  <si>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</si>
  <si>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</si>
  <si>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</si>
  <si>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</si>
  <si>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</si>
  <si>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</si>
  <si>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</si>
  <si>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</si>
  <si>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</si>
  <si>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</si>
  <si>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</si>
  <si>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</si>
  <si>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</si>
  <si>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</si>
  <si>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</si>
  <si>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</si>
  <si>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</si>
  <si>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</si>
  <si>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</si>
  <si>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</si>
  <si>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</si>
  <si>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</si>
  <si>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</si>
  <si>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</si>
  <si>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</si>
  <si>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</si>
  <si>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</si>
  <si>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</si>
  <si>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</si>
  <si>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</si>
  <si>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</si>
  <si>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</si>
  <si>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</si>
  <si>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</si>
  <si>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</si>
  <si>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</si>
  <si>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</si>
  <si>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</si>
  <si>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</si>
  <si>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</si>
  <si>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</si>
  <si>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</si>
  <si>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</si>
  <si>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</si>
  <si>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</si>
  <si>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</si>
  <si>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</si>
  <si>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</si>
  <si>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</si>
  <si>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</si>
  <si>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</si>
  <si>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</si>
  <si>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</si>
  <si>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</si>
  <si>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</si>
  <si>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</si>
  <si>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</si>
  <si>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</si>
  <si>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</si>
  <si>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</si>
  <si>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</si>
  <si>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</si>
  <si>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</si>
  <si>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</si>
  <si>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</si>
  <si>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</si>
  <si>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</si>
  <si>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</si>
  <si>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</si>
  <si>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</si>
  <si>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</si>
  <si>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</si>
  <si>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</si>
  <si>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</si>
  <si>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</si>
  <si>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</si>
  <si>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</si>
  <si>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</si>
  <si>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</si>
  <si>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</si>
  <si>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</si>
  <si>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</si>
  <si>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</si>
  <si>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</si>
  <si>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</si>
  <si>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</si>
  <si>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</si>
  <si>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</si>
  <si>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</si>
  <si>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</si>
  <si>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</si>
  <si>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</si>
  <si>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</si>
  <si>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</si>
  <si>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</si>
  <si>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</si>
  <si>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</si>
  <si>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</si>
  <si>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</si>
  <si>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</si>
  <si>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</si>
  <si>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</si>
  <si>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</si>
  <si>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</si>
  <si>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</si>
  <si>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</si>
  <si>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</si>
  <si>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</si>
  <si>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</si>
  <si>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</si>
  <si>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</si>
  <si>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</si>
  <si>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</si>
  <si>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</si>
  <si>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</si>
  <si>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</si>
  <si>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</si>
  <si>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</si>
  <si>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</si>
  <si>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</si>
  <si>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</si>
  <si>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</si>
  <si>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</si>
  <si>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</si>
  <si>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</si>
  <si>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</si>
  <si>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</si>
  <si>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</si>
  <si>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</si>
  <si>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</si>
  <si>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</si>
  <si>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</si>
  <si>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</si>
  <si>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</si>
  <si>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</si>
  <si>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</si>
  <si>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</si>
  <si>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</si>
  <si>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</si>
  <si>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</si>
  <si>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</si>
  <si>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</si>
  <si>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</si>
  <si>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</si>
  <si>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</si>
  <si>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</si>
  <si>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</si>
  <si>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</si>
  <si>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</si>
  <si>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</si>
  <si>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</si>
  <si>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</si>
  <si>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</si>
  <si>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</si>
  <si>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</si>
  <si>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</si>
  <si>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</si>
  <si>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</si>
  <si>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</si>
  <si>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</si>
  <si>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</si>
  <si>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</si>
  <si>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</si>
  <si>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</si>
  <si>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</si>
  <si>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</si>
  <si>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</si>
  <si>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</si>
  <si>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</si>
  <si>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</si>
  <si>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</si>
  <si>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</si>
  <si>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</si>
  <si>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</si>
  <si>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</si>
  <si>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</si>
  <si>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</si>
  <si>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</si>
  <si>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</si>
  <si>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</si>
  <si>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</si>
  <si>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</si>
  <si>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</si>
  <si>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</si>
  <si>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</si>
  <si>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</si>
  <si>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</si>
  <si>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</si>
  <si>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</si>
  <si>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</si>
  <si>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</si>
  <si>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</si>
  <si>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</si>
  <si>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</si>
  <si>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</si>
  <si>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</si>
  <si>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</si>
  <si>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</si>
  <si>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</si>
  <si>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</si>
  <si>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</si>
  <si>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</si>
  <si>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</si>
  <si>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</si>
  <si>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</si>
  <si>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</si>
  <si>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</si>
  <si>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</si>
  <si>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</si>
  <si>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</si>
  <si>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</si>
  <si>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</si>
  <si>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</si>
  <si>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</si>
  <si>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</si>
  <si>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</si>
  <si>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</si>
  <si>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</si>
  <si>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</si>
  <si>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</si>
  <si>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</si>
  <si>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</si>
  <si>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</si>
  <si>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</si>
  <si>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</si>
  <si>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</si>
  <si>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</si>
  <si>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</si>
  <si>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</si>
  <si>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</si>
  <si>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</si>
  <si>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</si>
  <si>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</si>
  <si>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</si>
  <si>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</si>
  <si>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</si>
  <si>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</si>
  <si>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</si>
  <si>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</si>
  <si>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</si>
  <si>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</si>
  <si>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</si>
  <si>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</si>
  <si>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</si>
  <si>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</si>
  <si>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</si>
  <si>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</si>
  <si>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</si>
  <si>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</si>
  <si>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</si>
  <si>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</si>
  <si>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</si>
  <si>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</si>
  <si>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</si>
  <si>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</si>
  <si>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</si>
  <si>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</si>
  <si>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</si>
  <si>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</si>
  <si>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</si>
  <si>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</si>
  <si>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</si>
  <si>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</si>
  <si>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</si>
  <si>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</si>
  <si>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</si>
  <si>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</si>
  <si>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</si>
  <si>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</si>
  <si>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</si>
  <si>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</si>
  <si>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</si>
  <si>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</si>
  <si>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</si>
  <si>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</si>
  <si>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</si>
  <si>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</si>
  <si>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</si>
  <si>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</si>
  <si>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</si>
  <si>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</si>
  <si>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</si>
  <si>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</si>
  <si>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</si>
  <si>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</si>
  <si>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</si>
  <si>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</si>
  <si>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</si>
  <si>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</si>
  <si>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</si>
  <si>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</si>
  <si>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</si>
  <si>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</si>
  <si>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</si>
  <si>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</si>
  <si>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</si>
  <si>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</si>
  <si>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</si>
  <si>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</si>
  <si>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</si>
  <si>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</si>
  <si>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</si>
  <si>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</si>
  <si>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</si>
  <si>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</si>
  <si>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</si>
  <si>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</si>
  <si>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</si>
  <si>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</si>
  <si>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</si>
  <si>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</si>
  <si>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</si>
  <si>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</si>
  <si>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</si>
  <si>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</si>
  <si>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</si>
  <si>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</si>
  <si>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</si>
  <si>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</si>
  <si>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</si>
  <si>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</si>
  <si>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</si>
  <si>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</si>
  <si>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</si>
  <si>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</si>
  <si>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</si>
  <si>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</si>
  <si>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</si>
  <si>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</si>
  <si>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</si>
  <si>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</si>
  <si>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</si>
  <si>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</si>
  <si>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</si>
  <si>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</si>
  <si>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</si>
  <si>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</si>
  <si>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</si>
  <si>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</si>
  <si>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</si>
  <si>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</si>
  <si>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</si>
  <si>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</si>
  <si>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</si>
  <si>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</si>
  <si>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</si>
  <si>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</si>
  <si>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</si>
  <si>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</si>
  <si>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</si>
  <si>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</si>
  <si>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</si>
  <si>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</si>
  <si>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</si>
  <si>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</si>
  <si>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</si>
  <si>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</si>
  <si>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</si>
  <si>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</si>
  <si>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</si>
  <si>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</si>
  <si>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</si>
  <si>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</si>
  <si>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</si>
  <si>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</si>
  <si>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</si>
  <si>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</si>
  <si>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</si>
  <si>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</si>
  <si>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</si>
  <si>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</si>
  <si>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</si>
  <si>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</si>
  <si>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</si>
  <si>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</si>
  <si>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</si>
  <si>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</si>
  <si>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</si>
  <si>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</si>
  <si>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</si>
  <si>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</si>
  <si>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</si>
  <si>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</si>
  <si>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</si>
  <si>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</si>
  <si>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</si>
  <si>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</si>
  <si>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</si>
  <si>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</si>
  <si>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</si>
  <si>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</si>
  <si>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</si>
  <si>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</si>
  <si>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</si>
  <si>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</si>
  <si>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</si>
  <si>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</si>
  <si>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</si>
  <si>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</si>
  <si>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</si>
  <si>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</si>
  <si>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</si>
  <si>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</si>
  <si>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</si>
  <si>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</si>
  <si>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</si>
  <si>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</si>
  <si>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</si>
  <si>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</si>
  <si>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</si>
  <si>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</si>
  <si>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</si>
  <si>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</si>
  <si>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</si>
  <si>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</si>
  <si>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</si>
  <si>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</si>
  <si>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</si>
  <si>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</si>
  <si>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</si>
  <si>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</si>
  <si>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</si>
  <si>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</si>
  <si>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</si>
  <si>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</si>
  <si>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</si>
  <si>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</si>
  <si>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</si>
  <si>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</si>
  <si>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</si>
  <si>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</si>
  <si>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</si>
  <si>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</si>
  <si>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</si>
  <si>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</si>
  <si>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</si>
  <si>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</si>
  <si>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</si>
  <si>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</si>
  <si>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</si>
  <si>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</si>
  <si>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</si>
  <si>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</si>
  <si>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</si>
  <si>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</si>
  <si>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</si>
  <si>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</si>
  <si>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</si>
  <si>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</si>
  <si>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</si>
  <si>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</si>
  <si>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</si>
  <si>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</si>
  <si>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</si>
  <si>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</si>
  <si>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</si>
  <si>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</si>
  <si>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</si>
  <si>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</si>
  <si>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</si>
  <si>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</si>
  <si>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</si>
  <si>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</si>
  <si>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</si>
  <si>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</si>
  <si>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</si>
  <si>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</si>
  <si>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</si>
  <si>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</si>
  <si>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</si>
  <si>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</si>
  <si>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</si>
  <si>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</si>
  <si>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</si>
  <si>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</si>
  <si>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</si>
  <si>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</si>
  <si>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</si>
  <si>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</si>
  <si>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</si>
  <si>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</si>
  <si>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</si>
  <si>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</si>
  <si>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</si>
  <si>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</si>
  <si>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</si>
  <si>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</si>
  <si>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</si>
  <si>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</si>
  <si>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</si>
  <si>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</si>
  <si>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</si>
  <si>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</si>
  <si>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</si>
  <si>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</si>
  <si>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</si>
  <si>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</si>
  <si>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</si>
  <si>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</si>
  <si>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</si>
  <si>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</si>
  <si>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</si>
  <si>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</si>
  <si>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</si>
  <si>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</si>
  <si>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</si>
  <si>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</si>
  <si>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</si>
  <si>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</si>
  <si>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</si>
  <si>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</si>
  <si>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</si>
  <si>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</si>
  <si>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</si>
  <si>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</si>
  <si>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</si>
  <si>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</si>
  <si>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</si>
  <si>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</si>
  <si>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</si>
  <si>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</si>
  <si>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</si>
  <si>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</si>
  <si>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</si>
  <si>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</si>
  <si>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</si>
  <si>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</si>
  <si>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</si>
  <si>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</si>
  <si>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</si>
  <si>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</si>
  <si>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</si>
  <si>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</si>
  <si>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</si>
  <si>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</si>
  <si>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</si>
  <si>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</si>
  <si>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</si>
  <si>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</si>
  <si>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</si>
  <si>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</si>
  <si>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</si>
  <si>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</si>
  <si>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</si>
  <si>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</si>
  <si>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</si>
  <si>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</si>
  <si>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</si>
  <si>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</si>
  <si>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</si>
  <si>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</si>
  <si>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</si>
  <si>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</si>
  <si>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</si>
  <si>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</si>
  <si>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</si>
  <si>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</si>
  <si>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</si>
  <si>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</si>
  <si>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</si>
  <si>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</si>
  <si>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</si>
  <si>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</si>
  <si>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</si>
  <si>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</si>
  <si>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</si>
  <si>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</si>
  <si>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</si>
  <si>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</si>
  <si>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</si>
  <si>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</si>
  <si>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</si>
  <si>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</si>
  <si>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</si>
  <si>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</si>
  <si>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</si>
  <si>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</si>
  <si>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</si>
  <si>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</si>
  <si>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</si>
  <si>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</si>
  <si>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</si>
  <si>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</si>
  <si>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</si>
  <si>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</si>
  <si>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</si>
  <si>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</si>
  <si>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</si>
  <si>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</si>
  <si>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</si>
  <si>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</si>
  <si>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</si>
  <si>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</si>
  <si>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</si>
  <si>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</si>
  <si>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</si>
  <si>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</si>
  <si>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</si>
  <si>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</si>
  <si>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</si>
  <si>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</si>
  <si>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</si>
  <si>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</si>
  <si>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</si>
  <si>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</si>
  <si>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</si>
  <si>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</si>
  <si>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</si>
  <si>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</si>
  <si>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</si>
  <si>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</si>
  <si>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</si>
  <si>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</si>
  <si>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</si>
  <si>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</si>
  <si>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</si>
  <si>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</si>
  <si>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</si>
  <si>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</si>
  <si>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</si>
  <si>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</si>
  <si>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</si>
  <si>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</si>
  <si>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</si>
  <si>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</si>
  <si>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</si>
  <si>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</si>
  <si>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</si>
  <si>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</si>
  <si>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</si>
  <si>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</si>
  <si>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</si>
  <si>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</si>
  <si>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</si>
  <si>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</si>
  <si>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</si>
  <si>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</si>
  <si>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</si>
  <si>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</si>
  <si>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</si>
  <si>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</si>
  <si>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</si>
  <si>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</si>
  <si>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</si>
  <si>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</si>
  <si>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</si>
  <si>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</si>
  <si>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</si>
  <si>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</si>
  <si>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</si>
  <si>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</si>
  <si>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</si>
  <si>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</si>
  <si>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</si>
  <si>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</si>
  <si>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</si>
  <si>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</si>
  <si>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</si>
  <si>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</si>
  <si>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</si>
  <si>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</si>
  <si>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</si>
  <si>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</si>
  <si>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</si>
  <si>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</si>
  <si>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</si>
  <si>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</si>
  <si>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</si>
  <si>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</si>
  <si>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</si>
  <si>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</si>
  <si>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</si>
  <si>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</si>
  <si>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</si>
  <si>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</si>
  <si>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</si>
  <si>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</si>
  <si>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</si>
  <si>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</si>
  <si>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</si>
  <si>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</si>
  <si>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</si>
  <si>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</si>
  <si>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</si>
  <si>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</si>
  <si>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</si>
  <si>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</si>
  <si>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</si>
  <si>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</si>
  <si>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</si>
  <si>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</si>
  <si>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</si>
  <si>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</si>
  <si>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</si>
  <si>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</si>
  <si>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</si>
  <si>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</si>
  <si>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</si>
  <si>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</si>
  <si>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</si>
  <si>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</si>
  <si>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</si>
  <si>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</si>
  <si>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</si>
  <si>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</si>
  <si>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</si>
  <si>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</si>
  <si>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</si>
  <si>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</si>
  <si>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</si>
  <si>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</si>
  <si>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</si>
  <si>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</si>
  <si>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</si>
  <si>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</si>
  <si>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</si>
  <si>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</si>
  <si>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</si>
  <si>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</si>
  <si>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</si>
  <si>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</si>
  <si>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</si>
  <si>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</si>
  <si>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</si>
  <si>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</si>
  <si>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</si>
  <si>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</si>
  <si>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</si>
  <si>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</si>
  <si>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</si>
  <si>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</si>
  <si>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</si>
  <si>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</si>
  <si>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</si>
  <si>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</si>
  <si>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</si>
  <si>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</si>
  <si>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</si>
  <si>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</si>
  <si>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</si>
  <si>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</si>
  <si>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</si>
  <si>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</si>
  <si>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</si>
  <si>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</si>
  <si>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</si>
  <si>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</si>
  <si>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</si>
  <si>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</si>
  <si>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</si>
  <si>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</si>
  <si>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</si>
  <si>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</si>
  <si>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</si>
  <si>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</si>
  <si>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</si>
  <si>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</si>
  <si>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</si>
  <si>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</si>
  <si>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</si>
  <si>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</si>
  <si>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</si>
  <si>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</si>
  <si>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</si>
  <si>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</si>
  <si>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</si>
  <si>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</si>
  <si>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</si>
  <si>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</si>
  <si>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</si>
  <si>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</si>
  <si>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</si>
  <si>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</si>
  <si>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</si>
  <si>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</si>
  <si>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</si>
  <si>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</si>
  <si>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</si>
  <si>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</si>
  <si>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</si>
  <si>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</si>
  <si>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</si>
  <si>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</si>
  <si>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</si>
  <si>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</si>
  <si>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</si>
  <si>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</si>
  <si>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</si>
  <si>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</si>
  <si>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</si>
  <si>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</si>
  <si>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</si>
  <si>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</si>
  <si>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</si>
  <si>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</si>
  <si>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</si>
  <si>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</si>
  <si>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</si>
  <si>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</si>
  <si>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</si>
  <si>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</si>
  <si>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</si>
  <si>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</si>
  <si>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</si>
  <si>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</si>
  <si>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</si>
  <si>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</si>
  <si>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</si>
  <si>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</si>
  <si>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</si>
  <si>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</si>
  <si>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</si>
  <si>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</si>
  <si>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</si>
  <si>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</si>
  <si>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</si>
  <si>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</si>
  <si>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</si>
  <si>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</si>
  <si>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</si>
  <si>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</si>
  <si>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</si>
  <si>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</si>
  <si>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</si>
  <si>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</si>
  <si>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</si>
  <si>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</si>
  <si>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</si>
  <si>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</si>
  <si>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</si>
  <si>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</si>
  <si>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</si>
  <si>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</si>
  <si>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</si>
  <si>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</si>
  <si>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</si>
  <si>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</si>
  <si>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</si>
  <si>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</si>
  <si>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</si>
  <si>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</si>
  <si>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</si>
  <si>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</si>
  <si>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</si>
  <si>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</si>
  <si>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</si>
  <si>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</si>
  <si>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</si>
  <si>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</si>
  <si>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</si>
  <si>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</si>
  <si>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</si>
  <si>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</si>
  <si>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</si>
  <si>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</si>
  <si>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</si>
  <si>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</si>
  <si>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</si>
  <si>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</si>
  <si>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</si>
  <si>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</si>
  <si>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</si>
  <si>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</si>
  <si>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</si>
  <si>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</si>
  <si>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</si>
  <si>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</si>
  <si>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</si>
  <si>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</si>
  <si>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</si>
  <si>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</si>
  <si>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</si>
  <si>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</si>
  <si>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</si>
  <si>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</si>
  <si>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</si>
  <si>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</si>
  <si>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</si>
  <si>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</si>
  <si>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</si>
  <si>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</si>
  <si>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</si>
  <si>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</si>
  <si>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</si>
  <si>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</si>
  <si>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</si>
  <si>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</si>
  <si>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</si>
  <si>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</si>
  <si>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</si>
  <si>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</si>
  <si>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</si>
  <si>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</si>
  <si>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</si>
  <si>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</si>
  <si>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</si>
  <si>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</si>
  <si>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</si>
  <si>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</si>
  <si>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</si>
  <si>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</si>
  <si>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</si>
  <si>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</si>
  <si>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</si>
  <si>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</si>
  <si>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</si>
  <si>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</si>
  <si>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</si>
  <si>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</si>
  <si>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</si>
  <si>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</si>
  <si>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</si>
  <si>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</si>
  <si>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</si>
  <si>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</si>
  <si>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</si>
  <si>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</si>
  <si>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</si>
  <si>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</si>
  <si>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</si>
  <si>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</si>
  <si>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</si>
  <si>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</si>
  <si>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</si>
  <si>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</si>
  <si>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</si>
  <si>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</si>
  <si>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</si>
  <si>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</si>
  <si>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</si>
  <si>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</si>
  <si>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</si>
  <si>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</si>
  <si>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</si>
  <si>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</si>
  <si>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</si>
  <si>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</si>
  <si>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</si>
  <si>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</si>
  <si>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</si>
  <si>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</si>
  <si>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</si>
  <si>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</si>
  <si>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</si>
  <si>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</si>
  <si>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</si>
  <si>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</si>
  <si>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</si>
  <si>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</si>
  <si>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</si>
  <si>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</si>
  <si>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</si>
  <si>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</si>
  <si>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</si>
  <si>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</si>
  <si>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</si>
  <si>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</si>
  <si>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</si>
  <si>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</si>
  <si>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</si>
  <si>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</si>
  <si>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</si>
  <si>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</si>
  <si>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</si>
  <si>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</si>
  <si>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</si>
  <si>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</si>
  <si>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</si>
  <si>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</si>
  <si>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</si>
  <si>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</si>
  <si>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</si>
  <si>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</si>
  <si>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</si>
  <si>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</si>
  <si>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</si>
  <si>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</si>
  <si>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</si>
  <si>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</si>
  <si>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</si>
  <si>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</si>
  <si>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</si>
  <si>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</si>
  <si>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</si>
  <si>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</si>
  <si>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</si>
  <si>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</si>
  <si>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</si>
  <si>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</si>
  <si>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</si>
  <si>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</si>
  <si>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</si>
  <si>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</si>
  <si>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</si>
  <si>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</si>
  <si>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</si>
  <si>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</si>
  <si>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</si>
  <si>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</si>
  <si>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</si>
  <si>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</si>
  <si>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</si>
  <si>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</si>
  <si>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</si>
  <si>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</si>
  <si>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</si>
  <si>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</si>
  <si>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</si>
  <si>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</si>
  <si>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</si>
  <si>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</si>
  <si>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</si>
  <si>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</si>
  <si>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</si>
  <si>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</si>
  <si>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</si>
  <si>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</si>
  <si>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</si>
  <si>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</si>
  <si>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</si>
  <si>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</si>
  <si>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</si>
  <si>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</si>
  <si>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</si>
  <si>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</si>
  <si>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</si>
  <si>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</si>
  <si>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</si>
  <si>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</si>
  <si>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</si>
  <si>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</si>
  <si>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</si>
  <si>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</si>
  <si>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</si>
  <si>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</si>
  <si>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</si>
  <si>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</si>
  <si>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</si>
  <si>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</si>
  <si>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</si>
  <si>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</si>
  <si>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</si>
  <si>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</si>
  <si>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</si>
  <si>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</si>
  <si>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</si>
  <si>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</si>
  <si>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</si>
  <si>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</si>
  <si>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</si>
  <si>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</si>
  <si>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</si>
  <si>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</si>
  <si>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</si>
  <si>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</si>
  <si>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</si>
  <si>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</si>
  <si>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</si>
  <si>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</si>
  <si>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</si>
  <si>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</si>
  <si>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</si>
  <si>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</si>
  <si>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</si>
  <si>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</si>
  <si>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</si>
  <si>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</si>
  <si>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</si>
  <si>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</si>
  <si>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</si>
  <si>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</si>
  <si>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</si>
  <si>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</si>
  <si>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</si>
  <si>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</si>
  <si>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</si>
  <si>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</si>
  <si>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</si>
  <si>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</si>
  <si>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</si>
  <si>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</si>
  <si>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</si>
  <si>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</si>
  <si>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</si>
  <si>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</si>
  <si>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</si>
  <si>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</si>
  <si>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</si>
  <si>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</si>
  <si>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</si>
  <si>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</si>
  <si>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</si>
  <si>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</si>
  <si>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</si>
  <si>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</si>
  <si>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</si>
  <si>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</si>
  <si>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</si>
  <si>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</si>
  <si>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</si>
  <si>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</si>
  <si>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</si>
  <si>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</si>
  <si>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</si>
  <si>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</si>
  <si>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</si>
  <si>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</si>
  <si>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</si>
  <si>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</si>
  <si>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</si>
  <si>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</si>
  <si>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</si>
  <si>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</si>
  <si>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</si>
  <si>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</si>
  <si>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</si>
  <si>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</si>
  <si>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</si>
  <si>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</si>
  <si>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</si>
  <si>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</si>
  <si>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</si>
  <si>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</si>
  <si>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</si>
  <si>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</si>
  <si>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</si>
  <si>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</si>
  <si>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</si>
  <si>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</si>
  <si>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</si>
  <si>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</si>
  <si>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</si>
  <si>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</si>
  <si>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</si>
  <si>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</si>
  <si>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</si>
  <si>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</si>
  <si>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</si>
  <si>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</si>
  <si>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</si>
  <si>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</si>
  <si>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</si>
  <si>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</si>
  <si>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</si>
  <si>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</si>
  <si>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</si>
  <si>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</si>
  <si>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</si>
  <si>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</si>
  <si>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</si>
  <si>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</si>
  <si>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</si>
  <si>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</si>
  <si>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</si>
  <si>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</si>
  <si>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</si>
  <si>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</si>
  <si>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</si>
  <si>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</si>
  <si>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</si>
  <si>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</si>
  <si>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</si>
  <si>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</si>
  <si>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</si>
  <si>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</si>
  <si>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</si>
  <si>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</si>
  <si>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</si>
  <si>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</si>
  <si>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</si>
  <si>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</si>
  <si>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</si>
  <si>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</si>
  <si>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</si>
  <si>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</si>
  <si>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</si>
  <si>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</si>
  <si>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</si>
  <si>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</si>
  <si>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</si>
  <si>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</si>
  <si>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</si>
  <si>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</si>
  <si>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</si>
  <si>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</si>
  <si>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</si>
  <si>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</si>
  <si>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</si>
  <si>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</si>
  <si>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</si>
  <si>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</si>
  <si>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</si>
  <si>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</si>
  <si>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</si>
  <si>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</si>
  <si>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</si>
  <si>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</si>
  <si>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</si>
  <si>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</si>
  <si>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</si>
  <si>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</si>
  <si>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</si>
  <si>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</si>
  <si>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</si>
  <si>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</si>
  <si>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</si>
  <si>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</si>
  <si>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</si>
  <si>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</si>
  <si>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</si>
  <si>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</si>
  <si>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</si>
  <si>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</si>
  <si>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</si>
  <si>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</si>
  <si>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</si>
  <si>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</si>
  <si>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</si>
  <si>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</si>
  <si>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</si>
  <si>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</si>
  <si>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</si>
  <si>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</si>
  <si>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</si>
  <si>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</si>
  <si>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</si>
  <si>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</si>
  <si>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</si>
  <si>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</si>
  <si>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</si>
  <si>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</si>
  <si>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</si>
  <si>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</si>
  <si>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</si>
  <si>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</si>
  <si>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</si>
  <si>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</si>
  <si>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</si>
  <si>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</si>
  <si>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</si>
  <si>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</si>
  <si>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</si>
  <si>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</si>
  <si>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</si>
  <si>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</si>
  <si>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</si>
  <si>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</si>
  <si>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</si>
  <si>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</si>
  <si>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</si>
  <si>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</si>
  <si>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</si>
  <si>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</si>
  <si>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</si>
  <si>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</si>
  <si>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</si>
  <si>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</si>
  <si>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</si>
  <si>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</si>
  <si>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</si>
  <si>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</si>
  <si>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</si>
  <si>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</si>
  <si>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</si>
  <si>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</si>
  <si>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</si>
  <si>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</si>
  <si>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</si>
  <si>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</si>
  <si>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</si>
  <si>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</si>
  <si>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</si>
  <si>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</si>
  <si>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</si>
  <si>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</si>
  <si>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</si>
  <si>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</si>
  <si>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</si>
  <si>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</si>
  <si>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</si>
  <si>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</si>
  <si>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</si>
  <si>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</si>
  <si>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</si>
  <si>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</si>
  <si>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</si>
  <si>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</si>
  <si>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</si>
  <si>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</si>
  <si>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</si>
  <si>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</si>
  <si>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</si>
  <si>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</si>
  <si>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</si>
  <si>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</si>
  <si>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</si>
  <si>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</si>
  <si>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</si>
  <si>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</si>
  <si>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</si>
  <si>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</si>
  <si>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</si>
  <si>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</si>
  <si>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</si>
  <si>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</si>
  <si>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</si>
  <si>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</si>
  <si>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</si>
  <si>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</si>
  <si>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</si>
  <si>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</si>
  <si>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</si>
  <si>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</si>
  <si>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</si>
  <si>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</si>
  <si>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</si>
  <si>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</si>
  <si>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</si>
  <si>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</si>
  <si>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</si>
  <si>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</si>
  <si>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</si>
  <si>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</si>
  <si>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</si>
  <si>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</si>
  <si>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</si>
  <si>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</si>
  <si>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</si>
  <si>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</si>
  <si>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</si>
  <si>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</si>
  <si>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</si>
  <si>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</si>
  <si>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</si>
  <si>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</si>
  <si>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</si>
  <si>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</si>
  <si>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</si>
  <si>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</si>
  <si>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</si>
  <si>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</si>
  <si>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</si>
  <si>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</si>
  <si>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</si>
  <si>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</si>
  <si>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</si>
  <si>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</si>
  <si>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</si>
  <si>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</si>
  <si>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</si>
  <si>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</si>
  <si>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</si>
  <si>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</si>
  <si>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</si>
  <si>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</si>
  <si>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</si>
  <si>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</si>
  <si>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</si>
  <si>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</si>
  <si>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</si>
  <si>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</si>
  <si>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</si>
  <si>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</si>
  <si>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</si>
  <si>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</si>
  <si>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</si>
  <si>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</si>
  <si>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</si>
  <si>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</si>
  <si>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</si>
  <si>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</si>
  <si>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</si>
  <si>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</si>
  <si>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</si>
  <si>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</si>
  <si>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</si>
  <si>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</si>
  <si>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</si>
  <si>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</si>
  <si>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</si>
  <si>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</si>
  <si>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</si>
  <si>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</si>
  <si>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</si>
  <si>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</si>
  <si>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</si>
  <si>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</si>
  <si>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</si>
  <si>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</si>
  <si>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</si>
  <si>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</si>
  <si>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</si>
  <si>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</si>
  <si>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</si>
  <si>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</si>
  <si>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</si>
  <si>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</si>
  <si>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</si>
  <si>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</si>
  <si>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</si>
  <si>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</si>
  <si>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</si>
  <si>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</si>
  <si>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</si>
  <si>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</si>
  <si>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</si>
  <si>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</si>
  <si>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</si>
  <si>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</si>
  <si>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</si>
  <si>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</si>
  <si>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</si>
  <si>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</si>
  <si>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</si>
  <si>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</si>
  <si>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</si>
  <si>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</si>
  <si>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</si>
  <si>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</si>
  <si>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</si>
  <si>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</si>
  <si>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</si>
  <si>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</si>
  <si>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</si>
  <si>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</si>
  <si>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</si>
  <si>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</si>
  <si>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</si>
  <si>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</si>
  <si>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</si>
  <si>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</si>
  <si>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</si>
  <si>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</si>
  <si>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</si>
  <si>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</si>
  <si>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</si>
  <si>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</si>
  <si>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</si>
  <si>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</si>
  <si>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</si>
  <si>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</si>
  <si>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</si>
  <si>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</si>
  <si>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</si>
  <si>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</si>
  <si>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</si>
  <si>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</si>
  <si>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</si>
  <si>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</si>
  <si>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</si>
  <si>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</si>
  <si>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</si>
  <si>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</si>
  <si>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</si>
  <si>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</si>
  <si>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</si>
  <si>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</si>
  <si>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</si>
  <si>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</si>
  <si>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</si>
  <si>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</si>
  <si>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</si>
  <si>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</si>
  <si>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</si>
  <si>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</si>
  <si>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</si>
  <si>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</si>
  <si>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</si>
  <si>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</si>
  <si>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</si>
  <si>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</si>
  <si>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</si>
  <si>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</si>
  <si>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</si>
  <si>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</si>
  <si>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</si>
  <si>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</si>
  <si>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</si>
  <si>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</si>
  <si>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</si>
  <si>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</si>
  <si>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</si>
  <si>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</si>
  <si>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</si>
  <si>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</si>
  <si>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</si>
  <si>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</si>
  <si>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</si>
  <si>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</si>
  <si>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</si>
  <si>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</si>
  <si>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</si>
  <si>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</si>
  <si>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</si>
  <si>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</si>
  <si>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</si>
  <si>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</si>
  <si>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</si>
  <si>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</si>
  <si>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</si>
  <si>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</si>
  <si>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</si>
  <si>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</si>
  <si>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</si>
  <si>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</si>
  <si>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</si>
  <si>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</si>
  <si>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</si>
  <si>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</si>
  <si>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</si>
  <si>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</si>
  <si>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</si>
  <si>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</si>
  <si>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</si>
  <si>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</si>
  <si>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</si>
  <si>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</si>
  <si>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</si>
  <si>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</si>
  <si>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</si>
  <si>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</si>
  <si>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</si>
  <si>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</si>
  <si>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</si>
  <si>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</si>
  <si>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</si>
  <si>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</si>
  <si>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</si>
  <si>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</si>
  <si>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</si>
  <si>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</si>
  <si>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</si>
  <si>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</si>
  <si>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</si>
  <si>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</si>
  <si>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</si>
  <si>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</si>
  <si>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</si>
  <si>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</si>
  <si>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</si>
  <si>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</si>
  <si>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</si>
  <si>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</si>
  <si>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</si>
  <si>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</si>
  <si>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</si>
  <si>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</si>
  <si>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</si>
  <si>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</si>
  <si>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</si>
  <si>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</si>
  <si>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</si>
  <si>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</si>
  <si>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</si>
  <si>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</si>
  <si>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</si>
  <si>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</si>
  <si>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</si>
  <si>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</si>
  <si>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</si>
  <si>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</si>
  <si>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</si>
  <si>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</si>
  <si>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</si>
  <si>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</si>
  <si>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</si>
  <si>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</si>
  <si>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</si>
  <si>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</si>
  <si>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</si>
  <si>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</si>
  <si>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</si>
  <si>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</si>
  <si>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</si>
  <si>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</si>
  <si>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</si>
  <si>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</si>
  <si>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</si>
  <si>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</si>
  <si>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</si>
  <si>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</si>
  <si>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</si>
  <si>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</si>
  <si>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</si>
  <si>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</si>
  <si>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</si>
  <si>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</si>
  <si>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</si>
  <si>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</si>
  <si>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</si>
  <si>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</si>
  <si>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</si>
  <si>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</si>
  <si>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</si>
  <si>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</si>
  <si>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</si>
  <si>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</si>
  <si>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</si>
  <si>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</si>
  <si>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</si>
  <si>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</si>
  <si>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</si>
  <si>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</si>
  <si>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</si>
  <si>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</si>
  <si>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</si>
  <si>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</si>
  <si>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</si>
  <si>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</si>
  <si>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</si>
  <si>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</si>
  <si>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</si>
  <si>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</si>
  <si>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</si>
  <si>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</si>
  <si>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</si>
  <si>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</si>
  <si>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</si>
  <si>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</si>
  <si>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</si>
  <si>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</si>
  <si>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</si>
  <si>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</si>
  <si>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</si>
  <si>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</si>
  <si>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</si>
  <si>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</si>
  <si>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</si>
  <si>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</si>
  <si>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</si>
  <si>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</si>
  <si>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</si>
  <si>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</si>
  <si>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</si>
  <si>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</si>
  <si>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</si>
  <si>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</si>
  <si>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</si>
  <si>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</si>
  <si>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</si>
  <si>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</si>
  <si>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</si>
  <si>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</si>
  <si>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</si>
  <si>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</si>
  <si>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</si>
  <si>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</si>
  <si>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</si>
  <si>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</si>
  <si>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</si>
  <si>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</si>
  <si>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</si>
  <si>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</si>
  <si>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</si>
  <si>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</si>
  <si>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</si>
  <si>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</si>
  <si>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</si>
  <si>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</si>
  <si>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</si>
  <si>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</si>
  <si>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</si>
  <si>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</si>
  <si>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</si>
  <si>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</si>
  <si>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</si>
  <si>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</si>
  <si>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</si>
  <si>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</si>
  <si>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</si>
  <si>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</si>
  <si>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</si>
  <si>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</si>
  <si>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</si>
  <si>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</si>
  <si>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</si>
  <si>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</si>
  <si>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</si>
  <si>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</si>
  <si>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</si>
  <si>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</si>
  <si>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</si>
  <si>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</si>
  <si>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</si>
  <si>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</si>
  <si>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</si>
  <si>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</si>
  <si>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</si>
  <si>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</si>
  <si>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</si>
  <si>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</si>
  <si>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</si>
  <si>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</si>
  <si>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</si>
  <si>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</si>
  <si>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</si>
  <si>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</si>
  <si>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</si>
  <si>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</si>
  <si>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</si>
  <si>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</si>
  <si>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</si>
  <si>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</si>
  <si>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</si>
  <si>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</si>
  <si>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</si>
  <si>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</si>
  <si>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</si>
  <si>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</si>
  <si>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</si>
  <si>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</si>
  <si>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</si>
  <si>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</si>
  <si>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</si>
  <si>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</si>
  <si>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</si>
  <si>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</si>
  <si>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</si>
  <si>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</si>
  <si>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</si>
  <si>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</si>
  <si>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</si>
  <si>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</si>
  <si>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</si>
  <si>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</si>
  <si>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</si>
  <si>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</si>
  <si>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</si>
  <si>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</si>
  <si>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</si>
  <si>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</si>
  <si>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</si>
  <si>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</si>
  <si>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</si>
  <si>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</si>
  <si>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</si>
  <si>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</si>
  <si>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</si>
  <si>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</si>
  <si>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</si>
  <si>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</si>
  <si>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</si>
  <si>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</si>
  <si>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</si>
  <si>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</si>
  <si>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</si>
  <si>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</si>
  <si>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</si>
  <si>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</si>
  <si>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</si>
  <si>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</si>
  <si>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</si>
  <si>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</si>
  <si>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</si>
  <si>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</si>
  <si>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</si>
  <si>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</si>
  <si>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</si>
  <si>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</si>
  <si>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</si>
  <si>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</si>
  <si>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</si>
  <si>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</si>
  <si>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</si>
  <si>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</si>
  <si>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</si>
  <si>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</si>
  <si>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</si>
  <si>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</si>
  <si>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</si>
  <si>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</si>
  <si>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</si>
  <si>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</si>
  <si>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</si>
  <si>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</si>
  <si>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</si>
  <si>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</si>
  <si>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</si>
  <si>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</si>
  <si>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</si>
  <si>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</si>
  <si>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</si>
  <si>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</si>
  <si>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</si>
  <si>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</si>
  <si>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</si>
  <si>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</si>
  <si>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</si>
  <si>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</si>
  <si>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</si>
  <si>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</si>
  <si>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</si>
  <si>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</si>
  <si>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</si>
  <si>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</si>
  <si>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</si>
  <si>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</si>
  <si>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</si>
  <si>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</si>
  <si>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</si>
  <si>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</si>
  <si>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</si>
  <si>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</si>
  <si>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</si>
  <si>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</si>
  <si>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</si>
  <si>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</si>
  <si>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</si>
  <si>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</si>
  <si>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</si>
  <si>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</si>
  <si>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</si>
  <si>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</si>
  <si>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</si>
  <si>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</si>
  <si>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</si>
  <si>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</si>
  <si>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</si>
  <si>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</si>
  <si>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</si>
  <si>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</si>
  <si>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</si>
  <si>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</si>
  <si>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</si>
  <si>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</si>
  <si>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</si>
  <si>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</si>
  <si>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</si>
  <si>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</si>
  <si>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</si>
  <si>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</si>
  <si>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</si>
  <si>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</si>
  <si>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</si>
  <si>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</si>
  <si>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</si>
  <si>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</si>
  <si>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</si>
  <si>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</si>
  <si>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</si>
  <si>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</si>
  <si>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</si>
  <si>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</si>
  <si>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</si>
  <si>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</si>
  <si>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</si>
  <si>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</si>
  <si>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</si>
  <si>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</si>
  <si>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</si>
  <si>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</si>
  <si>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</si>
  <si>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</si>
  <si>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</si>
  <si>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</si>
  <si>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</si>
  <si>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</si>
  <si>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</si>
  <si>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</si>
  <si>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</si>
  <si>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</si>
  <si>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</si>
  <si>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</si>
  <si>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</si>
  <si>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</si>
  <si>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</si>
  <si>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</si>
  <si>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</si>
  <si>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</si>
  <si>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</si>
  <si>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</si>
  <si>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</si>
  <si>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</si>
  <si>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</si>
  <si>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</si>
  <si>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</si>
  <si>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</si>
  <si>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</si>
  <si>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</si>
  <si>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</si>
  <si>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</si>
  <si>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</si>
  <si>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</si>
  <si>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</si>
  <si>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</si>
  <si>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</si>
  <si>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</si>
  <si>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</si>
  <si>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</si>
  <si>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</si>
  <si>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</si>
  <si>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</si>
  <si>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</si>
  <si>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</si>
  <si>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</si>
  <si>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</si>
  <si>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</si>
  <si>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</si>
  <si>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</si>
  <si>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</si>
  <si>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</si>
  <si>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</si>
  <si>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</si>
  <si>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</si>
  <si>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</si>
  <si>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</si>
  <si>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</si>
  <si>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</si>
  <si>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</si>
  <si>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</si>
  <si>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</si>
  <si>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</si>
  <si>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</si>
  <si>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</si>
  <si>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</si>
  <si>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</si>
  <si>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</si>
  <si>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</si>
  <si>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</si>
  <si>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</si>
  <si>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</si>
  <si>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</si>
  <si>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</si>
  <si>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</si>
  <si>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</si>
  <si>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</si>
  <si>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</si>
  <si>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</si>
  <si>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</si>
  <si>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</si>
  <si>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</si>
  <si>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</si>
  <si>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</si>
  <si>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</si>
  <si>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</si>
  <si>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</si>
  <si>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</si>
  <si>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</si>
  <si>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</si>
  <si>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</si>
  <si>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</si>
  <si>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</si>
  <si>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</si>
  <si>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</si>
  <si>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</si>
  <si>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</si>
  <si>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</si>
  <si>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</si>
  <si>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</si>
  <si>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</si>
  <si>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</si>
  <si>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</si>
  <si>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</si>
  <si>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</si>
  <si>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</si>
  <si>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</si>
  <si>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</si>
  <si>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</si>
  <si>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</si>
  <si>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</si>
  <si>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</si>
  <si>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</si>
  <si>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</si>
  <si>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</si>
  <si>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</si>
  <si>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</si>
  <si>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</si>
  <si>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</si>
  <si>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</si>
  <si>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</si>
  <si>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</si>
  <si>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</si>
  <si>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</si>
  <si>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</si>
  <si>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</si>
  <si>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</si>
  <si>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</si>
  <si>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</si>
  <si>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</si>
  <si>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</si>
  <si>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</si>
  <si>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</si>
  <si>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</si>
  <si>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</si>
  <si>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</si>
  <si>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</si>
  <si>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</si>
  <si>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</si>
  <si>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</si>
  <si>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</si>
  <si>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</si>
  <si>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</si>
  <si>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</si>
  <si>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</si>
  <si>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</si>
  <si>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</si>
  <si>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</si>
  <si>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</si>
  <si>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</si>
  <si>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</si>
  <si>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</si>
  <si>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</si>
  <si>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</si>
  <si>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</si>
  <si>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</si>
  <si>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</si>
  <si>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</si>
  <si>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</si>
  <si>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</si>
  <si>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</si>
  <si>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</si>
  <si>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</si>
  <si>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</si>
  <si>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</si>
  <si>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</si>
  <si>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</si>
  <si>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</si>
  <si>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</si>
  <si>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</si>
  <si>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</si>
  <si>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</si>
  <si>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</si>
  <si>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</si>
  <si>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</si>
  <si>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</si>
  <si>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</si>
  <si>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</si>
  <si>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</si>
  <si>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</si>
  <si>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</si>
  <si>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</si>
  <si>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</si>
  <si>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</si>
  <si>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</si>
  <si>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</si>
  <si>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</si>
  <si>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</si>
  <si>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</si>
  <si>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</si>
  <si>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</si>
  <si>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</si>
  <si>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</si>
  <si>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</si>
  <si>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</si>
  <si>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</si>
  <si>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</si>
  <si>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</si>
  <si>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</si>
  <si>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</si>
  <si>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</si>
  <si>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</si>
  <si>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</si>
  <si>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</si>
  <si>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</si>
  <si>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</si>
  <si>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</si>
  <si>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</si>
  <si>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</si>
  <si>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</si>
  <si>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</si>
  <si>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</si>
  <si>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</si>
  <si>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</si>
  <si>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</si>
  <si>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</si>
  <si>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</si>
  <si>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</si>
  <si>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</si>
  <si>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</si>
  <si>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</si>
  <si>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</si>
  <si>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</si>
  <si>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</si>
  <si>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</si>
  <si>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</si>
  <si>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</si>
  <si>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</si>
  <si>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</si>
  <si>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</si>
  <si>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</si>
  <si>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</si>
  <si>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</si>
  <si>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</si>
  <si>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</si>
  <si>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</si>
  <si>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</si>
  <si>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</si>
  <si>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</si>
  <si>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</si>
  <si>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</si>
  <si>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</si>
  <si>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</si>
  <si>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</si>
  <si>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</si>
  <si>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</si>
  <si>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</si>
  <si>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</si>
  <si>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</si>
  <si>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</si>
  <si>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</si>
  <si>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</si>
  <si>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</si>
  <si>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</si>
  <si>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</si>
  <si>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</si>
  <si>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</si>
  <si>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</si>
  <si>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</si>
  <si>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</si>
  <si>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</si>
  <si>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</si>
  <si>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</si>
  <si>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</si>
  <si>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</si>
  <si>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</si>
  <si>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</si>
  <si>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</si>
  <si>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</si>
  <si>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</si>
  <si>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</si>
  <si>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</si>
  <si>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</si>
  <si>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</si>
  <si>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</si>
  <si>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</si>
  <si>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</si>
  <si>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</si>
  <si>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</si>
  <si>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</si>
  <si>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</si>
  <si>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</si>
  <si>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</si>
  <si>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</si>
  <si>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</si>
  <si>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</si>
  <si>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</si>
  <si>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</si>
  <si>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</si>
  <si>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</si>
  <si>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</si>
  <si>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</si>
  <si>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</si>
  <si>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</si>
  <si>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</si>
  <si>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</si>
  <si>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</si>
  <si>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</si>
  <si>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</si>
  <si>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</si>
  <si>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</si>
  <si>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</si>
  <si>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</si>
  <si>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</si>
  <si>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</si>
  <si>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</si>
  <si>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</si>
  <si>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</si>
  <si>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</si>
  <si>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</si>
  <si>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</si>
  <si>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</si>
  <si>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</si>
  <si>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</si>
  <si>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</si>
  <si>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</si>
  <si>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</si>
  <si>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</si>
  <si>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</si>
  <si>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</si>
  <si>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</si>
  <si>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</si>
  <si>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</si>
  <si>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</si>
  <si>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</si>
  <si>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</si>
  <si>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</si>
  <si>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</si>
  <si>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</si>
  <si>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</si>
  <si>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</si>
  <si>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</si>
  <si>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</si>
  <si>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</si>
  <si>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</si>
  <si>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</si>
  <si>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</si>
  <si>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</si>
  <si>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</si>
  <si>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</si>
  <si>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</si>
  <si>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</si>
  <si>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</si>
  <si>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</si>
  <si>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</si>
  <si>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</si>
  <si>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</si>
  <si>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</si>
  <si>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</si>
  <si>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</si>
  <si>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</si>
  <si>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</si>
  <si>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</si>
  <si>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</si>
  <si>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</si>
  <si>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</si>
  <si>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</si>
  <si>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</si>
  <si>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</si>
  <si>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</si>
  <si>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</si>
  <si>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</si>
  <si>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</si>
  <si>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</si>
  <si>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</si>
  <si>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</si>
  <si>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</si>
  <si>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</si>
  <si>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</si>
  <si>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</si>
  <si>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</si>
  <si>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</si>
  <si>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</si>
  <si>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</si>
  <si>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</si>
  <si>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</si>
  <si>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</si>
  <si>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</si>
  <si>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</si>
  <si>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</si>
  <si>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</si>
  <si>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</si>
  <si>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</si>
  <si>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</si>
  <si>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</si>
  <si>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</si>
  <si>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</si>
  <si>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</si>
  <si>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</si>
  <si>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</si>
  <si>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</si>
  <si>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</si>
  <si>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</si>
  <si>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</si>
  <si>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</si>
  <si>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</si>
  <si>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</si>
  <si>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</si>
  <si>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</si>
  <si>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</si>
  <si>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</si>
  <si>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</si>
  <si>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</si>
  <si>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</si>
  <si>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</si>
  <si>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</si>
  <si>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</si>
  <si>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</si>
  <si>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</si>
  <si>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</si>
  <si>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</si>
  <si>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</si>
  <si>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</si>
  <si>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</si>
  <si>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</si>
  <si>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</si>
  <si>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</si>
  <si>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</si>
  <si>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</si>
  <si>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</si>
  <si>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</si>
  <si>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</si>
  <si>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</si>
  <si>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</si>
  <si>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</si>
  <si>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</si>
  <si>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</si>
  <si>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</si>
  <si>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</si>
  <si>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</si>
  <si>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</si>
  <si>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</si>
  <si>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</si>
  <si>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</si>
  <si>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</si>
  <si>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</si>
  <si>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</si>
  <si>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</si>
  <si>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</si>
  <si>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</si>
  <si>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</si>
  <si>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</si>
  <si>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</si>
  <si>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</si>
  <si>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</si>
  <si>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</si>
  <si>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</si>
  <si>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</si>
  <si>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</si>
  <si>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</si>
  <si>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</si>
  <si>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</si>
  <si>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</si>
  <si>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</si>
  <si>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</si>
  <si>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</si>
  <si>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</si>
  <si>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</si>
  <si>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</si>
  <si>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</si>
  <si>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</si>
  <si>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</si>
  <si>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</si>
  <si>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</si>
  <si>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</si>
  <si>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</si>
  <si>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</si>
  <si>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</si>
  <si>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</si>
  <si>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</si>
  <si>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</si>
  <si>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</si>
  <si>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</si>
  <si>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</si>
  <si>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</si>
  <si>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</si>
  <si>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</si>
  <si>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</si>
  <si>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</si>
  <si>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</si>
  <si>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</si>
  <si>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</si>
  <si>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</si>
  <si>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</si>
  <si>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</si>
  <si>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</si>
  <si>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</si>
  <si>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</si>
  <si>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</si>
  <si>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</si>
  <si>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</si>
  <si>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</si>
  <si>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</si>
  <si>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</si>
  <si>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</si>
  <si>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</si>
  <si>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</si>
  <si>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</si>
  <si>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</si>
  <si>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</si>
  <si>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</si>
  <si>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</si>
  <si>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</si>
  <si>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</si>
  <si>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</si>
  <si>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</si>
  <si>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</si>
  <si>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</si>
  <si>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</si>
  <si>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</si>
  <si>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</si>
  <si>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</si>
  <si>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</si>
  <si>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</si>
  <si>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</si>
  <si>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</si>
  <si>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</si>
  <si>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</si>
  <si>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</si>
  <si>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</si>
  <si>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</si>
  <si>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</si>
  <si>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</si>
  <si>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</si>
  <si>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</si>
  <si>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</si>
  <si>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</si>
  <si>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</si>
  <si>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</si>
  <si>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</si>
  <si>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</si>
  <si>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</si>
  <si>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</si>
  <si>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</si>
  <si>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</si>
  <si>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</si>
  <si>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</si>
  <si>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</si>
  <si>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</si>
  <si>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</si>
  <si>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</si>
  <si>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</si>
  <si>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</si>
  <si>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</si>
  <si>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</si>
  <si>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</si>
  <si>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</si>
  <si>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</si>
  <si>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</si>
  <si>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</si>
  <si>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</si>
  <si>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</si>
  <si>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</si>
  <si>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</si>
  <si>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</si>
  <si>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</si>
  <si>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</si>
  <si>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</si>
  <si>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</si>
  <si>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</si>
  <si>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</si>
  <si>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</si>
  <si>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</si>
  <si>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</si>
  <si>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</si>
  <si>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</si>
  <si>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</si>
  <si>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</si>
  <si>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</si>
  <si>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</si>
  <si>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</si>
  <si>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</si>
  <si>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</si>
  <si>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</si>
  <si>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</si>
  <si>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</si>
  <si>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</si>
  <si>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</si>
  <si>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</si>
  <si>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</si>
  <si>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</si>
  <si>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</si>
  <si>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</si>
  <si>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</si>
  <si>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</si>
  <si>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</si>
  <si>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</si>
  <si>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</si>
  <si>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</si>
  <si>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</si>
  <si>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</si>
  <si>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</si>
  <si>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</si>
  <si>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</si>
  <si>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</si>
  <si>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</si>
  <si>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</si>
  <si>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</si>
  <si>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</si>
  <si>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</si>
  <si>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</si>
  <si>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</si>
  <si>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</si>
  <si>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</si>
  <si>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</si>
  <si>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</si>
  <si>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</si>
  <si>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</si>
  <si>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</si>
  <si>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</si>
  <si>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</si>
  <si>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</si>
  <si>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</si>
  <si>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</si>
  <si>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</si>
  <si>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</si>
  <si>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</si>
  <si>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</si>
  <si>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</si>
  <si>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</si>
  <si>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</si>
  <si>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</si>
  <si>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</si>
  <si>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</si>
  <si>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</si>
  <si>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</si>
  <si>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</si>
  <si>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</si>
  <si>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</si>
  <si>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</si>
  <si>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</si>
  <si>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</si>
  <si>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</si>
  <si>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</si>
  <si>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</si>
  <si>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</si>
  <si>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</si>
  <si>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</si>
  <si>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</si>
  <si>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</si>
  <si>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</si>
  <si>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</si>
  <si>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</si>
  <si>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</si>
  <si>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</si>
  <si>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</si>
  <si>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</si>
  <si>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</si>
  <si>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</si>
  <si>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</si>
  <si>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</si>
  <si>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</si>
  <si>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</si>
  <si>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</si>
  <si>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</si>
  <si>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</si>
  <si>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</si>
  <si>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</si>
  <si>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</si>
  <si>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</si>
  <si>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</si>
  <si>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</si>
  <si>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</si>
  <si>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</si>
  <si>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</si>
  <si>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</si>
  <si>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</si>
  <si>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</si>
  <si>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</si>
  <si>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</si>
  <si>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</si>
  <si>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</si>
  <si>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</si>
  <si>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</si>
  <si>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</si>
  <si>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</si>
  <si>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</si>
  <si>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</si>
  <si>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</si>
  <si>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</si>
  <si>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</si>
  <si>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</si>
  <si>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</si>
  <si>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</si>
  <si>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</si>
  <si>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</si>
  <si>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</si>
  <si>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</si>
  <si>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</si>
  <si>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</si>
  <si>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</si>
  <si>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</si>
  <si>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</si>
  <si>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</si>
  <si>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</si>
  <si>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</si>
  <si>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</si>
  <si>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</si>
  <si>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</si>
  <si>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</si>
  <si>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</si>
  <si>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</si>
  <si>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</si>
  <si>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</si>
  <si>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</si>
  <si>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</si>
  <si>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</si>
  <si>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</si>
  <si>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</si>
  <si>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</si>
  <si>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</si>
  <si>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</si>
  <si>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</si>
  <si>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</si>
  <si>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</si>
  <si>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</si>
  <si>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</si>
  <si>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</si>
  <si>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</si>
  <si>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</si>
  <si>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</si>
  <si>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</si>
  <si>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</si>
  <si>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</si>
  <si>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</si>
  <si>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</si>
  <si>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</si>
  <si>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</si>
  <si>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</si>
  <si>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</si>
  <si>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</si>
  <si>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</si>
  <si>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</si>
  <si>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</si>
  <si>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</si>
  <si>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</si>
  <si>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</si>
  <si>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</si>
  <si>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</si>
  <si>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</si>
  <si>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</si>
  <si>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</si>
  <si>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</si>
  <si>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</si>
  <si>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</si>
  <si>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</si>
  <si>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</si>
  <si>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</si>
  <si>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</si>
  <si>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</si>
  <si>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</si>
  <si>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</si>
  <si>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</si>
  <si>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</si>
  <si>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</si>
  <si>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</si>
  <si>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</si>
  <si>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</si>
  <si>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</si>
  <si>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</si>
  <si>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</si>
  <si>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</si>
  <si>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</si>
  <si>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</si>
  <si>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</si>
  <si>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</si>
  <si>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</si>
  <si>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</si>
  <si>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</si>
  <si>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</si>
  <si>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</si>
  <si>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</si>
  <si>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</si>
  <si>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</si>
  <si>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</si>
  <si>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</si>
  <si>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</si>
  <si>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</si>
  <si>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</si>
  <si>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</si>
  <si>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</si>
  <si>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</si>
  <si>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</si>
  <si>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</si>
  <si>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</si>
  <si>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</si>
  <si>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</si>
  <si>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</si>
  <si>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</si>
  <si>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</si>
  <si>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</si>
  <si>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</si>
  <si>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</si>
  <si>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</si>
  <si>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</si>
  <si>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</si>
  <si>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</si>
  <si>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</si>
  <si>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</si>
  <si>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</si>
  <si>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</si>
  <si>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</si>
  <si>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</si>
  <si>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</si>
  <si>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</si>
  <si>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</si>
  <si>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</si>
  <si>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</si>
  <si>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</si>
  <si>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</si>
  <si>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</si>
  <si>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</si>
  <si>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</si>
  <si>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</si>
  <si>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</si>
  <si>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</si>
  <si>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</si>
  <si>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</si>
  <si>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</si>
  <si>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</si>
  <si>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</si>
  <si>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</si>
  <si>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</si>
  <si>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</si>
  <si>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</si>
  <si>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</si>
  <si>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</si>
  <si>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</si>
  <si>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</si>
  <si>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</si>
  <si>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</si>
  <si>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</si>
  <si>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</si>
  <si>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</si>
  <si>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</si>
  <si>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</si>
  <si>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</si>
  <si>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</si>
  <si>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</si>
  <si>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</si>
  <si>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</si>
  <si>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</si>
  <si>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</si>
  <si>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</si>
  <si>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</si>
  <si>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</si>
  <si>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</si>
  <si>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</si>
  <si>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</si>
  <si>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</si>
  <si>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</si>
  <si>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</si>
  <si>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</si>
  <si>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</si>
  <si>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</si>
  <si>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</si>
  <si>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</si>
  <si>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</si>
  <si>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</si>
  <si>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</si>
  <si>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</si>
  <si>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</si>
  <si>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</si>
  <si>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</si>
  <si>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</si>
  <si>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</si>
  <si>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</si>
  <si>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</si>
  <si>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</si>
  <si>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</si>
  <si>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</si>
  <si>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</si>
  <si>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</si>
  <si>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</si>
  <si>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</si>
  <si>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</si>
  <si>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</si>
  <si>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</si>
  <si>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</si>
  <si>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</si>
  <si>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</si>
  <si>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</si>
  <si>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</si>
  <si>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</si>
  <si>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</si>
  <si>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</si>
  <si>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</si>
  <si>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</si>
  <si>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</si>
  <si>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</si>
  <si>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</si>
  <si>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</si>
  <si>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</si>
  <si>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</si>
  <si>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</si>
  <si>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</si>
  <si>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</si>
  <si>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</si>
  <si>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</si>
  <si>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</si>
  <si>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</si>
  <si>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</si>
  <si>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</si>
  <si>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</si>
  <si>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</si>
  <si>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</si>
  <si>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</si>
  <si>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</si>
  <si>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</si>
  <si>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</si>
  <si>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</si>
  <si>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</si>
  <si>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</si>
  <si>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</si>
  <si>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</si>
  <si>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</si>
  <si>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</si>
  <si>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</si>
  <si>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</si>
  <si>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</si>
  <si>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</si>
  <si>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</si>
  <si>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</si>
  <si>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</si>
  <si>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</si>
  <si>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</si>
  <si>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</si>
  <si>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</si>
  <si>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</si>
  <si>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</si>
  <si>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</si>
  <si>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</si>
  <si>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</si>
  <si>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</si>
  <si>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</si>
  <si>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</si>
  <si>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</si>
  <si>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</si>
  <si>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</si>
  <si>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</si>
  <si>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</si>
  <si>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</si>
  <si>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</si>
  <si>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</si>
  <si>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</si>
  <si>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</si>
  <si>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</si>
  <si>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</si>
  <si>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</si>
  <si>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</si>
  <si>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</si>
  <si>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</si>
  <si>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</si>
  <si>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</si>
  <si>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</si>
  <si>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</si>
  <si>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</si>
  <si>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</si>
  <si>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</si>
  <si>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</si>
  <si>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</si>
  <si>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</si>
  <si>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</si>
  <si>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</si>
  <si>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</si>
  <si>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</si>
  <si>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</si>
  <si>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</si>
  <si>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</si>
  <si>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</si>
  <si>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</si>
  <si>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</si>
  <si>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</si>
  <si>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</si>
  <si>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</si>
  <si>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</si>
  <si>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</si>
  <si>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</si>
  <si>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</si>
  <si>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</si>
  <si>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</si>
  <si>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</si>
  <si>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</si>
  <si>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</si>
  <si>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</si>
  <si>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</si>
  <si>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</si>
  <si>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</si>
  <si>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</si>
  <si>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</si>
  <si>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</si>
  <si>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</si>
  <si>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</si>
  <si>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</si>
  <si>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</si>
  <si>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</si>
  <si>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</si>
  <si>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</si>
  <si>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</si>
  <si>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</si>
  <si>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</si>
  <si>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</si>
  <si>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</si>
  <si>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</si>
  <si>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</si>
  <si>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</si>
  <si>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</si>
  <si>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</si>
  <si>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</si>
  <si>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</si>
  <si>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</si>
  <si>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</si>
  <si>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</si>
  <si>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</si>
  <si>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</si>
  <si>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</si>
  <si>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</si>
  <si>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</si>
  <si>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</si>
  <si>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</si>
  <si>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</si>
  <si>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</si>
  <si>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</si>
  <si>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</si>
  <si>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</si>
  <si>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</si>
  <si>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</si>
  <si>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</si>
  <si>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</si>
  <si>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</si>
  <si>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</si>
  <si>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</si>
  <si>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</si>
  <si>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</si>
  <si>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</si>
  <si>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</si>
  <si>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</si>
  <si>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</si>
  <si>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</si>
  <si>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</si>
  <si>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</si>
  <si>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</si>
  <si>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</si>
  <si>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</si>
  <si>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</si>
  <si>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</si>
  <si>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</si>
  <si>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</si>
  <si>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</si>
  <si>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</si>
  <si>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</si>
  <si>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</si>
  <si>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</si>
  <si>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</si>
  <si>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</si>
  <si>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</si>
  <si>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</si>
  <si>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</si>
  <si>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</si>
  <si>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</si>
  <si>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</si>
  <si>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</si>
  <si>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</si>
  <si>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</si>
  <si>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</si>
  <si>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</si>
  <si>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</si>
  <si>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</si>
  <si>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</si>
  <si>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</si>
  <si>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</si>
  <si>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</si>
  <si>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</si>
  <si>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</si>
  <si>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</si>
  <si>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</si>
  <si>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</si>
  <si>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</si>
  <si>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</si>
  <si>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</si>
  <si>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</si>
  <si>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</si>
  <si>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</si>
  <si>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</si>
  <si>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</si>
  <si>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</si>
  <si>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</si>
  <si>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</si>
  <si>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</si>
  <si>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</si>
  <si>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</si>
  <si>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</si>
  <si>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</si>
  <si>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</si>
  <si>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</si>
  <si>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</si>
  <si>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</si>
  <si>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</si>
  <si>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</si>
  <si>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</si>
  <si>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</si>
  <si>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</si>
  <si>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</si>
  <si>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</si>
  <si>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</si>
  <si>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</si>
  <si>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</si>
  <si>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</si>
  <si>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</si>
  <si>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</si>
  <si>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</si>
  <si>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</si>
  <si>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</si>
  <si>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</si>
  <si>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</si>
  <si>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</si>
  <si>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</si>
  <si>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</si>
  <si>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</si>
  <si>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</si>
  <si>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</si>
  <si>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</si>
  <si>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</si>
  <si>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</si>
  <si>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</si>
  <si>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</si>
  <si>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</si>
  <si>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</si>
  <si>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</si>
  <si>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</si>
  <si>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</si>
  <si>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</si>
  <si>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</si>
  <si>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</si>
  <si>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</si>
  <si>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</si>
  <si>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</si>
  <si>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</si>
  <si>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</si>
  <si>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</si>
  <si>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</si>
  <si>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</si>
  <si>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</si>
  <si>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</si>
  <si>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</si>
  <si>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</si>
  <si>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</si>
  <si>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</si>
  <si>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</si>
  <si>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</si>
  <si>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</si>
  <si>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</si>
  <si>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</si>
  <si>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</si>
  <si>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</si>
  <si>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</si>
  <si>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</si>
  <si>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</si>
  <si>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</si>
  <si>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</si>
  <si>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</si>
  <si>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</si>
  <si>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</si>
  <si>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</si>
  <si>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</si>
  <si>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</si>
  <si>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</si>
  <si>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</si>
  <si>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</si>
  <si>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</si>
  <si>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</si>
  <si>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</si>
  <si>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</si>
  <si>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</si>
  <si>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</si>
  <si>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</si>
  <si>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</si>
  <si>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</si>
  <si>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</si>
  <si>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</si>
  <si>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</si>
  <si>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</si>
  <si>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</si>
  <si>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</si>
  <si>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</si>
  <si>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</si>
  <si>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</si>
  <si>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</si>
  <si>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</si>
  <si>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</si>
  <si>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</si>
  <si>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</si>
  <si>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</si>
  <si>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</si>
  <si>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</si>
  <si>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</si>
  <si>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</si>
  <si>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</si>
  <si>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</si>
  <si>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</si>
  <si>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</si>
  <si>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</si>
  <si>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</si>
  <si>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</si>
  <si>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</si>
  <si>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</si>
  <si>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</si>
  <si>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</si>
  <si>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</si>
  <si>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</si>
  <si>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</si>
  <si>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</si>
  <si>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</si>
  <si>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</si>
  <si>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</si>
  <si>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</si>
  <si>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</si>
  <si>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</si>
  <si>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</si>
  <si>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</si>
  <si>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</si>
  <si>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</si>
  <si>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</si>
  <si>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</si>
  <si>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</si>
  <si>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</si>
  <si>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</si>
  <si>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</si>
  <si>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</si>
  <si>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</si>
  <si>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</si>
  <si>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</si>
  <si>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</si>
  <si>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</si>
  <si>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</si>
  <si>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</si>
  <si>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</si>
  <si>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</si>
  <si>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</si>
  <si>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</si>
  <si>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</si>
  <si>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</si>
  <si>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</si>
  <si>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</si>
  <si>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</si>
  <si>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</si>
  <si>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</si>
  <si>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</si>
  <si>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</si>
  <si>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</si>
  <si>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</si>
  <si>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</si>
  <si>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</si>
  <si>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</si>
  <si>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</si>
  <si>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</si>
  <si>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</si>
  <si>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</si>
  <si>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</si>
  <si>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</si>
  <si>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</si>
  <si>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</si>
  <si>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</si>
  <si>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</si>
  <si>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</si>
  <si>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</si>
  <si>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</si>
  <si>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</si>
  <si>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</si>
  <si>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</si>
  <si>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</si>
  <si>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</si>
  <si>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</si>
  <si>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</si>
  <si>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</si>
  <si>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</si>
  <si>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</si>
  <si>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</si>
  <si>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</si>
  <si>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</si>
  <si>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</si>
  <si>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</si>
  <si>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</si>
  <si>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</si>
  <si>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</si>
  <si>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</si>
  <si>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</si>
  <si>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</si>
  <si>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</si>
  <si>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</si>
  <si>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</si>
  <si>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</si>
  <si>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</si>
  <si>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</si>
  <si>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</si>
  <si>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</si>
  <si>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</si>
  <si>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</si>
  <si>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</si>
  <si>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</si>
  <si>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</si>
  <si>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</si>
  <si>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</si>
  <si>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</si>
  <si>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</si>
  <si>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</si>
  <si>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</si>
  <si>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</si>
  <si>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</si>
  <si>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</si>
  <si>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</si>
  <si>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</si>
  <si>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</si>
  <si>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</si>
  <si>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</si>
  <si>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</si>
  <si>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</si>
  <si>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</si>
  <si>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</si>
  <si>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</si>
  <si>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</si>
  <si>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</si>
  <si>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</si>
  <si>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</si>
  <si>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</si>
  <si>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</si>
  <si>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</si>
  <si>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</si>
  <si>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</si>
  <si>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</si>
  <si>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</si>
  <si>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</si>
  <si>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</si>
  <si>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</si>
  <si>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</si>
  <si>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</si>
  <si>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</si>
  <si>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</si>
  <si>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</si>
  <si>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</si>
  <si>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</si>
  <si>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</si>
  <si>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</si>
  <si>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</si>
  <si>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</si>
  <si>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</si>
  <si>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</si>
  <si>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</si>
  <si>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</si>
  <si>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</si>
  <si>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</si>
  <si>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</si>
  <si>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</si>
  <si>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</si>
  <si>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</si>
  <si>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</si>
  <si>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</si>
  <si>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</si>
  <si>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</si>
  <si>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</si>
  <si>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</si>
  <si>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</si>
  <si>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</si>
  <si>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</si>
  <si>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</si>
  <si>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</si>
  <si>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</si>
  <si>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</si>
  <si>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</si>
  <si>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</si>
  <si>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</si>
  <si>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</si>
  <si>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</si>
  <si>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</si>
  <si>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</si>
  <si>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</si>
  <si>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</si>
  <si>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</si>
  <si>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</si>
  <si>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</si>
  <si>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</si>
  <si>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</si>
  <si>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</si>
  <si>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</si>
  <si>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</si>
  <si>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</si>
  <si>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</si>
  <si>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</si>
  <si>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</si>
  <si>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</si>
  <si>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</si>
  <si>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</si>
  <si>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</si>
  <si>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</si>
  <si>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</si>
  <si>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</si>
  <si>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</si>
  <si>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</si>
  <si>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</si>
  <si>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</si>
  <si>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</si>
  <si>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</si>
  <si>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</si>
  <si>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</si>
  <si>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</si>
  <si>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</si>
  <si>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</si>
  <si>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</si>
  <si>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</si>
  <si>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</si>
  <si>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</si>
  <si>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</si>
  <si>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</si>
  <si>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</si>
  <si>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</si>
  <si>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</si>
  <si>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</si>
  <si>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</si>
  <si>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</si>
  <si>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</si>
  <si>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</si>
  <si>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</si>
  <si>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</si>
  <si>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</si>
  <si>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</si>
  <si>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</si>
  <si>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</si>
  <si>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</si>
  <si>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</si>
  <si>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</si>
  <si>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</si>
  <si>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</si>
  <si>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</si>
  <si>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</si>
  <si>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</si>
  <si>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</si>
  <si>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</si>
  <si>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</si>
  <si>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</si>
  <si>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</si>
  <si>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</si>
  <si>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</si>
  <si>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</si>
  <si>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</si>
  <si>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</si>
  <si>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</si>
  <si>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</si>
  <si>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</si>
  <si>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</si>
  <si>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</si>
  <si>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</si>
  <si>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</si>
  <si>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</si>
  <si>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</si>
  <si>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</si>
  <si>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</si>
  <si>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</si>
  <si>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</si>
  <si>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</si>
  <si>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</si>
  <si>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</si>
  <si>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</si>
  <si>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</si>
  <si>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</si>
  <si>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</si>
  <si>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</si>
  <si>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</si>
  <si>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</si>
  <si>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</si>
  <si>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</si>
  <si>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</si>
  <si>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</si>
  <si>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</si>
  <si>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</si>
  <si>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</si>
  <si>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</si>
  <si>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</si>
  <si>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</si>
  <si>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</si>
  <si>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</si>
  <si>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</si>
  <si>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</si>
  <si>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</si>
  <si>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</si>
  <si>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</si>
  <si>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</si>
  <si>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</si>
  <si>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</si>
  <si>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</si>
  <si>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</si>
  <si>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</si>
  <si>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</si>
  <si>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</si>
  <si>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</si>
  <si>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</si>
  <si>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</si>
  <si>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</si>
  <si>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</si>
  <si>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</si>
  <si>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</si>
  <si>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</si>
  <si>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</si>
  <si>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</si>
  <si>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</si>
  <si>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</si>
  <si>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</si>
  <si>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</si>
  <si>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</si>
  <si>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</si>
  <si>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</si>
  <si>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</si>
  <si>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</si>
  <si>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</si>
  <si>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</si>
  <si>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</si>
  <si>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</si>
  <si>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</si>
  <si>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</si>
  <si>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</si>
  <si>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</si>
  <si>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</si>
  <si>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</si>
  <si>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</si>
  <si>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</si>
  <si>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</si>
  <si>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</si>
  <si>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</si>
  <si>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</si>
  <si>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</si>
  <si>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</si>
  <si>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</si>
  <si>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</si>
  <si>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</si>
  <si>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</si>
  <si>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</si>
  <si>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</si>
  <si>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</si>
  <si>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</si>
  <si>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</si>
  <si>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</si>
  <si>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</si>
  <si>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</si>
  <si>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</si>
  <si>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</si>
  <si>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</si>
  <si>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</si>
  <si>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</si>
  <si>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</si>
  <si>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</si>
  <si>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</si>
  <si>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</si>
  <si>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</si>
  <si>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</si>
  <si>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</si>
  <si>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</si>
  <si>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</si>
  <si>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</si>
  <si>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</si>
  <si>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</si>
  <si>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</si>
  <si>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</si>
  <si>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</si>
  <si>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</si>
  <si>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</si>
  <si>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</si>
  <si>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</si>
  <si>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</si>
  <si>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</si>
  <si>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</si>
  <si>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</si>
  <si>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</si>
  <si>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</si>
  <si>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</si>
  <si>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</si>
  <si>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</si>
  <si>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</si>
  <si>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</si>
  <si>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</si>
  <si>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</si>
  <si>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</si>
  <si>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</si>
  <si>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</si>
  <si>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</si>
  <si>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</si>
  <si>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</si>
  <si>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</si>
  <si>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</si>
  <si>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</si>
  <si>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</si>
  <si>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</si>
  <si>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</si>
  <si>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</si>
  <si>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</si>
  <si>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</si>
  <si>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</si>
  <si>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</si>
  <si>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</si>
  <si>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</si>
  <si>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</si>
  <si>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</si>
  <si>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</si>
  <si>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</si>
  <si>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</si>
  <si>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</si>
  <si>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</si>
  <si>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</si>
  <si>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</si>
  <si>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</si>
  <si>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</si>
  <si>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</si>
  <si>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</si>
  <si>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</si>
  <si>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</si>
  <si>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</si>
  <si>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</si>
  <si>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</si>
  <si>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</si>
  <si>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</si>
  <si>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</si>
  <si>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</si>
  <si>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</si>
  <si>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</si>
  <si>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</si>
  <si>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</si>
  <si>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</si>
  <si>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</si>
  <si>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</si>
  <si>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</si>
  <si>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</si>
  <si>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</si>
  <si>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</si>
  <si>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</si>
  <si>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</si>
  <si>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</si>
  <si>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</si>
  <si>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</si>
  <si>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</si>
  <si>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</si>
  <si>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</si>
  <si>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</si>
  <si>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</si>
  <si>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</si>
  <si>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</si>
  <si>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</si>
  <si>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</si>
  <si>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</si>
  <si>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</si>
  <si>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</si>
  <si>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</si>
  <si>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</si>
  <si>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</si>
  <si>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</si>
  <si>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</si>
  <si>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</si>
  <si>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</si>
  <si>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</si>
  <si>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</si>
  <si>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</si>
  <si>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</si>
  <si>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</si>
  <si>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</si>
  <si>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</si>
  <si>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</si>
  <si>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</si>
  <si>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</si>
  <si>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</si>
  <si>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</si>
  <si>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</si>
  <si>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</si>
  <si>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</si>
  <si>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</si>
  <si>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</si>
  <si>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</si>
  <si>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</si>
  <si>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</si>
  <si>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</si>
  <si>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</si>
  <si>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</si>
  <si>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</si>
  <si>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</si>
  <si>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</si>
  <si>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</si>
  <si>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</si>
  <si>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</si>
  <si>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</si>
  <si>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</si>
  <si>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</si>
  <si>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</si>
  <si>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</si>
  <si>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</si>
  <si>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</si>
  <si>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</si>
  <si>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</si>
  <si>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</si>
  <si>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</si>
  <si>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</si>
  <si>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</si>
  <si>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</si>
  <si>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</si>
  <si>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</si>
  <si>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</si>
  <si>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</si>
  <si>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</si>
  <si>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</si>
  <si>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</si>
  <si>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</si>
  <si>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</si>
  <si>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</si>
  <si>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</si>
  <si>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</si>
  <si>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</si>
  <si>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</si>
  <si>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</si>
  <si>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</si>
  <si>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</si>
  <si>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</si>
  <si>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</si>
  <si>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</si>
  <si>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</si>
  <si>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</si>
  <si>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</si>
  <si>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</si>
  <si>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</si>
  <si>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</si>
  <si>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</si>
  <si>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</si>
  <si>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</si>
  <si>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</si>
  <si>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</si>
  <si>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</si>
  <si>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</si>
  <si>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</si>
  <si>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</si>
  <si>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</si>
  <si>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</si>
  <si>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</si>
  <si>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</si>
  <si>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</si>
  <si>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</si>
  <si>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</si>
  <si>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</si>
  <si>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</si>
  <si>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</si>
  <si>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</si>
  <si>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</si>
  <si>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</si>
  <si>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</si>
  <si>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</si>
  <si>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</si>
  <si>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</si>
  <si>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</si>
  <si>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</si>
  <si>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</si>
  <si>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</si>
  <si>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</si>
  <si>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</si>
  <si>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</si>
  <si>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</si>
  <si>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</si>
  <si>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</si>
  <si>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</si>
  <si>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</si>
  <si>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</si>
  <si>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</si>
  <si>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</si>
  <si>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</si>
  <si>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</si>
  <si>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</si>
  <si>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</si>
  <si>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</si>
  <si>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</si>
  <si>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</si>
  <si>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</si>
  <si>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</si>
  <si>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</si>
  <si>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</si>
  <si>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</si>
  <si>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</si>
  <si>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</si>
  <si>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</si>
  <si>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</si>
  <si>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</si>
  <si>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</si>
  <si>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</si>
  <si>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</si>
  <si>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</si>
  <si>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</si>
  <si>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</si>
  <si>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</si>
  <si>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</si>
  <si>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</si>
  <si>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</si>
  <si>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</si>
  <si>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</si>
  <si>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</si>
  <si>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</si>
  <si>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</si>
  <si>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</si>
  <si>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</si>
  <si>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</si>
  <si>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</si>
  <si>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</si>
  <si>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</si>
  <si>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</si>
  <si>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</si>
  <si>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</si>
  <si>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</si>
  <si>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</si>
  <si>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</si>
  <si>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</si>
  <si>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</si>
  <si>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</si>
  <si>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</si>
  <si>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</si>
  <si>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</si>
  <si>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</si>
  <si>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</si>
  <si>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</si>
  <si>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</si>
  <si>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</si>
  <si>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</si>
  <si>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</si>
  <si>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</si>
  <si>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</si>
  <si>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</si>
  <si>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</si>
  <si>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</si>
  <si>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</si>
  <si>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</si>
  <si>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</si>
  <si>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</si>
  <si>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</si>
  <si>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</si>
  <si>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</si>
  <si>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</si>
  <si>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</si>
  <si>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</si>
  <si>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</si>
  <si>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</si>
  <si>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</si>
  <si>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</si>
  <si>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</si>
  <si>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</si>
  <si>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</si>
  <si>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</si>
  <si>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</si>
  <si>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</si>
  <si>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</si>
  <si>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</si>
  <si>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</si>
  <si>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</si>
  <si>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</si>
  <si>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</si>
  <si>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</si>
  <si>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</si>
  <si>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</si>
  <si>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</si>
  <si>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</si>
  <si>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</si>
  <si>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</si>
  <si>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</si>
  <si>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</si>
  <si>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</si>
  <si>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</si>
  <si>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</si>
  <si>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</si>
  <si>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</si>
  <si>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</si>
  <si>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</si>
  <si>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</si>
  <si>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</si>
  <si>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</si>
  <si>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</si>
  <si>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</si>
  <si>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</si>
  <si>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</si>
  <si>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</si>
  <si>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</si>
  <si>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</si>
  <si>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</si>
  <si>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</si>
  <si>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</si>
  <si>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</si>
  <si>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</si>
  <si>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</si>
  <si>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</si>
  <si>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</si>
  <si>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</si>
  <si>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</si>
  <si>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</si>
  <si>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</si>
  <si>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</si>
  <si>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</si>
  <si>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</si>
  <si>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</si>
  <si>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</si>
  <si>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</si>
  <si>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</si>
  <si>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</si>
  <si>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</si>
  <si>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</si>
  <si>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</si>
  <si>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</si>
  <si>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</si>
  <si>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</si>
  <si>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</si>
  <si>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</si>
  <si>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</si>
  <si>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</si>
  <si>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</si>
  <si>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</si>
  <si>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</si>
  <si>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</si>
  <si>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</si>
  <si>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</si>
  <si>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</si>
  <si>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</si>
  <si>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</si>
  <si>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</si>
  <si>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</si>
  <si>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</si>
  <si>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</si>
  <si>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</si>
  <si>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</si>
  <si>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</si>
  <si>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</si>
  <si>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</si>
  <si>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</si>
  <si>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</si>
  <si>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</si>
  <si>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</si>
  <si>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</si>
  <si>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</si>
  <si>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</si>
  <si>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</si>
  <si>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</si>
  <si>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</si>
  <si>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</si>
  <si>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</si>
  <si>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</si>
  <si>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</si>
  <si>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</si>
  <si>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</si>
  <si>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</si>
  <si>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</si>
  <si>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</si>
  <si>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</si>
  <si>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</si>
  <si>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</si>
  <si>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</si>
  <si>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</si>
  <si>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</si>
  <si>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</si>
  <si>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</si>
  <si>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</si>
  <si>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</si>
  <si>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</si>
  <si>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</si>
  <si>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</si>
  <si>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</si>
  <si>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</si>
  <si>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</si>
  <si>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</si>
  <si>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</si>
  <si>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</si>
  <si>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</si>
  <si>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</si>
  <si>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</si>
  <si>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</si>
  <si>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</si>
  <si>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</si>
  <si>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</si>
  <si>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</si>
  <si>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</si>
  <si>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</si>
  <si>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</si>
  <si>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</si>
  <si>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</si>
  <si>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</si>
  <si>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</si>
  <si>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</si>
  <si>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</si>
  <si>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</si>
  <si>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</si>
  <si>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</si>
  <si>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</si>
  <si>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</si>
  <si>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</si>
  <si>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</si>
  <si>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</si>
  <si>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</si>
  <si>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</si>
  <si>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</si>
  <si>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</si>
  <si>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</si>
  <si>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</si>
  <si>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</si>
  <si>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</si>
  <si>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</si>
  <si>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</si>
  <si>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</si>
  <si>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</si>
  <si>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</si>
  <si>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</si>
  <si>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</si>
  <si>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</si>
  <si>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</si>
  <si>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</si>
  <si>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</si>
  <si>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</si>
  <si>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</si>
  <si>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</si>
  <si>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</si>
  <si>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</si>
  <si>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</si>
  <si>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</si>
  <si>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</si>
  <si>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</si>
  <si>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</si>
  <si>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</si>
  <si>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</si>
  <si>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</si>
  <si>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</si>
  <si>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</si>
  <si>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</si>
  <si>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</si>
  <si>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</si>
  <si>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</si>
  <si>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</si>
  <si>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</si>
  <si>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</si>
  <si>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</si>
  <si>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</si>
  <si>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</si>
  <si>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</si>
  <si>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</si>
  <si>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</si>
  <si>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</si>
  <si>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</si>
  <si>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</si>
  <si>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</si>
  <si>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</si>
  <si>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</si>
  <si>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</si>
  <si>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</si>
  <si>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</si>
  <si>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</si>
  <si>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</si>
  <si>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</si>
  <si>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</si>
  <si>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</si>
  <si>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</si>
  <si>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</si>
  <si>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</si>
  <si>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</si>
  <si>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</si>
  <si>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</si>
  <si>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</si>
  <si>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</si>
  <si>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</si>
  <si>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</si>
  <si>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</si>
  <si>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</si>
  <si>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</si>
  <si>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</si>
  <si>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</si>
  <si>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</si>
  <si>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</si>
  <si>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</si>
  <si>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</si>
  <si>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</si>
  <si>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</si>
  <si>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</si>
  <si>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</si>
  <si>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</si>
  <si>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</si>
  <si>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</si>
  <si>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</si>
  <si>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</si>
  <si>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</si>
  <si>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</si>
  <si>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</si>
  <si>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</si>
  <si>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</si>
  <si>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</si>
  <si>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</si>
  <si>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</si>
  <si>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</si>
  <si>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</si>
  <si>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</si>
  <si>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</si>
  <si>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</si>
  <si>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</si>
  <si>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</si>
  <si>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</si>
  <si>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</si>
  <si>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</si>
  <si>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</si>
  <si>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</si>
  <si>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</si>
  <si>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</si>
  <si>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</si>
  <si>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</si>
  <si>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</si>
  <si>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</si>
  <si>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</si>
  <si>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</si>
  <si>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</si>
  <si>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</si>
  <si>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</si>
  <si>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</si>
  <si>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</si>
  <si>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</si>
  <si>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</si>
  <si>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</si>
  <si>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</si>
  <si>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</si>
  <si>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</si>
  <si>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</si>
  <si>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</si>
  <si>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</si>
  <si>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</si>
  <si>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</si>
  <si>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</si>
  <si>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</si>
  <si>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</si>
  <si>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</si>
  <si>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</si>
  <si>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</si>
  <si>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</si>
  <si>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</si>
  <si>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</si>
  <si>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</si>
  <si>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</si>
  <si>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</si>
  <si>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</si>
  <si>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</si>
  <si>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</si>
  <si>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</si>
  <si>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</si>
  <si>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</si>
  <si>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</si>
  <si>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</si>
  <si>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</si>
  <si>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</si>
  <si>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</si>
  <si>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</si>
  <si>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</si>
  <si>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</si>
  <si>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</si>
  <si>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</si>
  <si>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</si>
  <si>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</si>
  <si>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</si>
  <si>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</si>
  <si>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</si>
  <si>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</si>
  <si>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</si>
  <si>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</si>
  <si>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</si>
  <si>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</si>
  <si>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</si>
  <si>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</si>
  <si>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</si>
  <si>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</si>
  <si>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</si>
  <si>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</si>
  <si>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</si>
  <si>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</si>
  <si>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</si>
  <si>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</si>
  <si>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</si>
  <si>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</si>
  <si>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</si>
  <si>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</si>
  <si>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</si>
  <si>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</si>
  <si>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</si>
  <si>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</si>
  <si>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</si>
  <si>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</si>
  <si>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</si>
  <si>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</si>
  <si>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</si>
  <si>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</si>
  <si>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</si>
  <si>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</si>
  <si>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</si>
  <si>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</si>
  <si>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</si>
  <si>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</si>
  <si>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</si>
  <si>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</si>
  <si>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</si>
  <si>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</si>
  <si>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</si>
  <si>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</si>
  <si>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</si>
  <si>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</si>
  <si>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</si>
  <si>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</si>
  <si>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</si>
  <si>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</si>
  <si>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</si>
  <si>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</si>
  <si>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</si>
  <si>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</si>
  <si>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</si>
  <si>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</si>
  <si>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</si>
  <si>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</si>
  <si>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</si>
  <si>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</si>
  <si>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</si>
  <si>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</si>
  <si>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</si>
  <si>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</si>
  <si>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</si>
  <si>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</si>
  <si>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</si>
  <si>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</si>
  <si>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</si>
  <si>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</si>
  <si>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</si>
  <si>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</si>
  <si>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</si>
  <si>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</si>
  <si>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</si>
  <si>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</si>
  <si>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</si>
  <si>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</si>
  <si>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</si>
  <si>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</si>
  <si>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</si>
  <si>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</si>
  <si>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</si>
  <si>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</si>
  <si>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</si>
  <si>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</si>
  <si>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</si>
  <si>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</si>
  <si>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</si>
  <si>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</si>
  <si>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</si>
  <si>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</si>
  <si>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</si>
  <si>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</si>
  <si>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</si>
  <si>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</si>
  <si>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</si>
  <si>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</si>
  <si>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</si>
  <si>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</si>
  <si>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</si>
  <si>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</si>
  <si>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</si>
  <si>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</si>
  <si>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</si>
  <si>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</si>
  <si>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</si>
  <si>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</si>
  <si>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</si>
  <si>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</si>
  <si>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</si>
  <si>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</si>
  <si>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</si>
  <si>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</si>
  <si>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</si>
  <si>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</si>
  <si>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</si>
  <si>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</si>
  <si>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</si>
  <si>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</si>
  <si>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</si>
  <si>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</si>
  <si>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</si>
  <si>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</si>
  <si>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</si>
  <si>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</si>
  <si>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</si>
  <si>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</si>
  <si>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</si>
  <si>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</si>
  <si>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</si>
  <si>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</si>
  <si>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</si>
  <si>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</si>
  <si>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</si>
  <si>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</si>
  <si>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</si>
  <si>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</si>
  <si>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</si>
  <si>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</si>
  <si>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</si>
  <si>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</si>
  <si>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</si>
  <si>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</si>
  <si>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</si>
  <si>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</si>
  <si>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</si>
  <si>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</si>
  <si>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</si>
  <si>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</si>
  <si>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</si>
  <si>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</si>
  <si>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</si>
  <si>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</si>
  <si>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</si>
  <si>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</si>
  <si>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</si>
  <si>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</si>
  <si>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</si>
  <si>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</si>
  <si>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</si>
  <si>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</si>
  <si>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</si>
  <si>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</si>
  <si>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</si>
  <si>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</si>
  <si>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</si>
  <si>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</si>
  <si>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</si>
  <si>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</si>
  <si>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</si>
  <si>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</si>
  <si>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</si>
  <si>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</si>
  <si>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</si>
  <si>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</si>
  <si>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</si>
  <si>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</si>
  <si>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</si>
  <si>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</si>
  <si>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</si>
  <si>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</si>
  <si>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</si>
  <si>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</si>
  <si>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</si>
  <si>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</si>
  <si>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</si>
  <si>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</si>
  <si>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</si>
  <si>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</si>
  <si>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</si>
  <si>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</si>
  <si>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</si>
  <si>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</si>
  <si>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</si>
  <si>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</si>
  <si>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</si>
  <si>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</si>
  <si>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</si>
  <si>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</si>
  <si>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</si>
  <si>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</si>
  <si>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</si>
  <si>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</si>
  <si>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</si>
  <si>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</si>
  <si>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</si>
  <si>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</si>
  <si>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</si>
  <si>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</si>
  <si>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</si>
  <si>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</si>
  <si>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</si>
  <si>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</si>
  <si>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</si>
  <si>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</si>
  <si>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</si>
  <si>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</si>
  <si>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</si>
  <si>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</si>
  <si>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</si>
  <si>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</si>
  <si>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</si>
  <si>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</si>
  <si>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</si>
  <si>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</si>
  <si>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</si>
  <si>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</si>
  <si>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</si>
  <si>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</si>
  <si>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</si>
  <si>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</si>
  <si>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</si>
  <si>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</si>
  <si>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</si>
  <si>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</si>
  <si>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</si>
  <si>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</si>
  <si>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</si>
  <si>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</si>
  <si>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</si>
  <si>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</si>
  <si>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</si>
  <si>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</si>
  <si>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</si>
  <si>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</si>
  <si>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</si>
  <si>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</si>
  <si>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</si>
  <si>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</si>
  <si>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</si>
  <si>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</si>
  <si>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</si>
  <si>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</si>
  <si>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</si>
  <si>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</si>
  <si>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</si>
  <si>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</si>
  <si>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</si>
  <si>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</si>
  <si>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</si>
  <si>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</si>
  <si>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</si>
  <si>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</si>
  <si>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</si>
  <si>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</si>
  <si>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</si>
  <si>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</si>
  <si>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</si>
  <si>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</si>
  <si>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</si>
  <si>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</si>
  <si>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</si>
  <si>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</si>
  <si>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</si>
  <si>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</si>
  <si>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</si>
  <si>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</si>
  <si>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</si>
  <si>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</si>
  <si>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</si>
  <si>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</si>
  <si>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</si>
  <si>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</si>
  <si>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</si>
  <si>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</si>
  <si>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</si>
  <si>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</si>
  <si>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</si>
  <si>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</si>
  <si>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</si>
  <si>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</si>
  <si>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</si>
  <si>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</si>
  <si>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</si>
  <si>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</si>
  <si>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</si>
  <si>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</si>
  <si>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</si>
  <si>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</si>
  <si>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</si>
  <si>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</si>
  <si>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</si>
  <si>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</si>
  <si>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</si>
  <si>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</si>
  <si>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</si>
  <si>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</si>
  <si>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</si>
  <si>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</si>
  <si>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</si>
  <si>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</si>
  <si>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</si>
  <si>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</si>
  <si>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</si>
  <si>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</si>
  <si>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</si>
  <si>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</si>
  <si>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</si>
  <si>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</si>
  <si>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</si>
  <si>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</si>
  <si>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</si>
  <si>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</si>
  <si>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</si>
  <si>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</si>
  <si>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</si>
  <si>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</si>
  <si>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</si>
  <si>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</si>
  <si>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</si>
  <si>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</si>
  <si>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</si>
  <si>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</si>
  <si>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</si>
  <si>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</si>
  <si>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</si>
  <si>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</si>
  <si>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</si>
  <si>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</si>
  <si>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</si>
  <si>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</si>
  <si>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</si>
  <si>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</si>
  <si>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</si>
  <si>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</si>
  <si>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</si>
  <si>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</si>
  <si>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</si>
  <si>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</si>
  <si>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</si>
  <si>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</si>
  <si>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</si>
  <si>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</si>
  <si>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</si>
  <si>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</si>
  <si>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</si>
  <si>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</si>
  <si>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</si>
  <si>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</si>
  <si>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</si>
  <si>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</si>
  <si>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</si>
  <si>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</si>
  <si>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</si>
  <si>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</si>
  <si>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</si>
  <si>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</si>
  <si>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</si>
  <si>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</si>
  <si>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</si>
  <si>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</si>
  <si>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</si>
  <si>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</si>
  <si>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</si>
  <si>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</si>
  <si>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</si>
  <si>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</si>
  <si>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</si>
  <si>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</si>
  <si>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</si>
  <si>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</si>
  <si>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</si>
  <si>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</si>
  <si>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</si>
  <si>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</si>
  <si>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</si>
  <si>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</si>
  <si>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</si>
  <si>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</si>
  <si>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</si>
  <si>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</si>
  <si>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</si>
  <si>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</si>
  <si>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</si>
  <si>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</si>
  <si>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</si>
  <si>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</si>
  <si>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</si>
  <si>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</si>
  <si>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</si>
  <si>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</si>
  <si>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</si>
  <si>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</si>
  <si>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</si>
  <si>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</si>
  <si>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</si>
  <si>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</si>
  <si>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</si>
  <si>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</si>
  <si>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</si>
  <si>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</si>
  <si>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</si>
  <si>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</si>
  <si>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</si>
  <si>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</si>
  <si>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</si>
  <si>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</si>
  <si>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</si>
  <si>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</si>
  <si>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</si>
  <si>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</si>
  <si>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</si>
  <si>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</si>
  <si>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</si>
  <si>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</si>
  <si>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</si>
  <si>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</si>
  <si>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</si>
  <si>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</si>
  <si>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</si>
  <si>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</si>
  <si>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</si>
  <si>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</si>
  <si>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</si>
  <si>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</si>
  <si>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</si>
  <si>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</si>
  <si>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</si>
  <si>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</si>
  <si>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</si>
  <si>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</si>
  <si>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</si>
  <si>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</si>
  <si>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</si>
  <si>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</si>
  <si>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</si>
  <si>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</si>
  <si>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</si>
  <si>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</si>
  <si>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</si>
  <si>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</si>
  <si>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</si>
  <si>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</si>
  <si>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</si>
  <si>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</si>
  <si>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</si>
  <si>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</si>
  <si>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</si>
  <si>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</si>
  <si>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</si>
  <si>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</si>
  <si>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</si>
  <si>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</si>
  <si>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</si>
  <si>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</si>
  <si>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</si>
  <si>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</si>
  <si>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</si>
  <si>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</si>
  <si>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</si>
  <si>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</si>
  <si>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</si>
  <si>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</si>
  <si>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</si>
  <si>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</si>
  <si>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</si>
  <si>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</si>
  <si>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</si>
  <si>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</si>
  <si>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</si>
  <si>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</si>
  <si>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</si>
  <si>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</si>
  <si>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</si>
  <si>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</si>
  <si>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</si>
  <si>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</si>
  <si>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</si>
  <si>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</si>
  <si>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</si>
  <si>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</si>
  <si>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</si>
  <si>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</si>
  <si>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</si>
  <si>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</si>
  <si>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</si>
  <si>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</si>
  <si>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</si>
  <si>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</si>
  <si>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</si>
  <si>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</si>
  <si>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</si>
  <si>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</si>
  <si>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</si>
  <si>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</si>
  <si>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</si>
  <si>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</si>
  <si>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</si>
  <si>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</si>
  <si>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</si>
  <si>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</si>
  <si>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</si>
  <si>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</si>
  <si>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</si>
  <si>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</si>
  <si>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</si>
  <si>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</si>
  <si>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</si>
  <si>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</si>
  <si>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</si>
  <si>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</si>
  <si>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</si>
  <si>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</si>
  <si>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</si>
  <si>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</si>
  <si>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</si>
  <si>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</si>
  <si>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</si>
  <si>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</si>
  <si>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</si>
  <si>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</si>
  <si>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</si>
  <si>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</si>
  <si>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</si>
  <si>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</si>
  <si>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</si>
  <si>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</si>
  <si>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</si>
  <si>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</si>
  <si>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</si>
  <si>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</si>
  <si>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</si>
  <si>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</si>
  <si>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</si>
  <si>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</si>
  <si>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</si>
  <si>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</si>
  <si>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</si>
  <si>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</si>
  <si>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</si>
  <si>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</si>
  <si>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</si>
  <si>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</si>
  <si>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</si>
  <si>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</si>
  <si>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</si>
  <si>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</si>
  <si>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</si>
  <si>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</si>
  <si>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</si>
  <si>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</si>
  <si>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</si>
  <si>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</si>
  <si>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</si>
  <si>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</si>
  <si>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</si>
  <si>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</si>
  <si>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</si>
  <si>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</si>
  <si>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</si>
  <si>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</si>
  <si>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</si>
  <si>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</si>
  <si>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</si>
  <si>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</si>
  <si>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</si>
  <si>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</si>
  <si>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</si>
  <si>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</si>
  <si>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</si>
  <si>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</si>
  <si>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</si>
  <si>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</si>
  <si>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</si>
  <si>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</si>
  <si>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</si>
  <si>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</si>
  <si>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</si>
  <si>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</si>
  <si>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</si>
  <si>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</si>
  <si>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</si>
  <si>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</si>
  <si>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</si>
  <si>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</si>
  <si>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</si>
  <si>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</si>
  <si>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</si>
  <si>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</si>
  <si>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</si>
  <si>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</si>
  <si>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</si>
  <si>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</si>
  <si>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</si>
  <si>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</si>
  <si>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</si>
  <si>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</si>
  <si>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</si>
  <si>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</si>
  <si>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</si>
  <si>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</si>
  <si>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</si>
  <si>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</si>
  <si>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</si>
  <si>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</si>
  <si>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</si>
  <si>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</si>
  <si>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</si>
  <si>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</si>
  <si>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</si>
  <si>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</si>
  <si>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</si>
  <si>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</si>
  <si>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</si>
  <si>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</si>
  <si>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</si>
  <si>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</si>
  <si>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</si>
  <si>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</si>
  <si>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</si>
  <si>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</si>
  <si>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</si>
  <si>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</si>
  <si>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</si>
  <si>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</si>
  <si>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</si>
  <si>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</si>
  <si>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</si>
  <si>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</si>
  <si>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</si>
  <si>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</si>
  <si>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</si>
  <si>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</si>
  <si>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</si>
  <si>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</si>
  <si>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</si>
  <si>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</si>
  <si>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</si>
  <si>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</si>
  <si>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</si>
  <si>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</si>
  <si>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</si>
  <si>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</si>
  <si>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</si>
  <si>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</si>
  <si>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</si>
  <si>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</si>
  <si>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</si>
  <si>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</si>
  <si>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</si>
  <si>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</si>
  <si>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</si>
  <si>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</si>
  <si>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</si>
  <si>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</si>
  <si>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</si>
  <si>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</si>
  <si>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</si>
  <si>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</si>
  <si>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</si>
  <si>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</si>
  <si>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</si>
  <si>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</si>
  <si>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</si>
  <si>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</si>
  <si>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</si>
  <si>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</si>
  <si>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</si>
  <si>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</si>
  <si>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</si>
  <si>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</si>
  <si>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</si>
  <si>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</si>
  <si>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</si>
  <si>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</si>
  <si>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</si>
  <si>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</si>
  <si>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</si>
  <si>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</si>
  <si>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</si>
  <si>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</si>
  <si>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</si>
  <si>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</si>
  <si>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</si>
  <si>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</si>
  <si>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</si>
  <si>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</si>
  <si>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</si>
  <si>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</si>
  <si>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</si>
  <si>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</si>
  <si>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</si>
  <si>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</si>
  <si>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</si>
  <si>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</si>
  <si>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</si>
  <si>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</si>
  <si>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</si>
  <si>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</si>
  <si>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</si>
  <si>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</si>
  <si>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</si>
  <si>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</si>
  <si>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</si>
  <si>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</si>
  <si>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</si>
  <si>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</si>
  <si>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</si>
  <si>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</si>
  <si>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</si>
  <si>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</si>
  <si>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</si>
  <si>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</si>
  <si>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</si>
  <si>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</si>
  <si>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</si>
  <si>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</si>
  <si>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</si>
  <si>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</si>
  <si>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</si>
  <si>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</si>
  <si>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</si>
  <si>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</si>
  <si>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</si>
  <si>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</si>
  <si>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</si>
  <si>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</si>
  <si>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</si>
  <si>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</si>
  <si>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</si>
  <si>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</si>
  <si>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</si>
  <si>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</si>
  <si>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</si>
  <si>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</si>
  <si>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</si>
  <si>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</si>
  <si>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</si>
  <si>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</si>
  <si>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</si>
  <si>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</si>
  <si>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</si>
  <si>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</si>
  <si>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</si>
  <si>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</si>
  <si>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</si>
  <si>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</si>
  <si>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</si>
  <si>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</si>
  <si>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</si>
  <si>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</si>
  <si>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</si>
  <si>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</si>
  <si>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</si>
  <si>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</si>
  <si>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</si>
  <si>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</si>
  <si>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</si>
  <si>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</si>
  <si>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</si>
  <si>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</si>
  <si>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</si>
  <si>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</si>
  <si>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</si>
  <si>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</si>
  <si>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</si>
  <si>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</si>
  <si>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</si>
  <si>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</si>
  <si>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</si>
  <si>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</si>
  <si>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</si>
  <si>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</si>
  <si>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</si>
  <si>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</si>
  <si>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</si>
  <si>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</si>
  <si>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</si>
  <si>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</si>
  <si>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</si>
  <si>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</si>
  <si>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</si>
  <si>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</si>
  <si>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</si>
  <si>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</si>
  <si>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</si>
  <si>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</si>
  <si>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</si>
  <si>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</si>
  <si>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</si>
  <si>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</si>
  <si>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</si>
  <si>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</si>
  <si>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</si>
  <si>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</si>
  <si>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</si>
  <si>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</si>
  <si>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</si>
  <si>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</si>
  <si>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</si>
  <si>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</si>
  <si>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</si>
  <si>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</si>
  <si>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</si>
  <si>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</si>
  <si>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</si>
  <si>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</si>
  <si>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</si>
  <si>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</si>
  <si>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</si>
  <si>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</si>
  <si>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</si>
  <si>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</si>
  <si>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</si>
  <si>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</si>
  <si>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</si>
  <si>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</si>
  <si>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</si>
  <si>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</si>
  <si>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</si>
  <si>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</si>
  <si>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</si>
  <si>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</si>
  <si>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</si>
  <si>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</si>
  <si>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</si>
  <si>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</si>
  <si>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</si>
  <si>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</si>
  <si>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</si>
  <si>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</si>
  <si>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</si>
  <si>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</si>
  <si>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</si>
  <si>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</si>
  <si>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</si>
  <si>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</si>
  <si>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</si>
  <si>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</si>
  <si>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</si>
  <si>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</si>
  <si>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</si>
  <si>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</si>
  <si>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</si>
  <si>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</si>
  <si>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</si>
  <si>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</si>
  <si>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</si>
  <si>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</si>
  <si>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</si>
  <si>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</si>
  <si>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</si>
  <si>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</si>
  <si>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</si>
  <si>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</si>
  <si>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</si>
  <si>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</si>
  <si>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</si>
  <si>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</si>
  <si>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</si>
  <si>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</si>
  <si>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</si>
  <si>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</si>
  <si>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</si>
  <si>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</si>
  <si>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</si>
  <si>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</si>
  <si>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</si>
  <si>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</si>
  <si>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</si>
  <si>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</si>
  <si>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</si>
  <si>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</si>
  <si>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</si>
  <si>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</si>
  <si>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</si>
  <si>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</si>
  <si>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</si>
  <si>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</si>
  <si>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</si>
  <si>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</si>
  <si>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</si>
  <si>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</si>
  <si>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</si>
  <si>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</si>
  <si>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</si>
  <si>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</si>
  <si>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</si>
  <si>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</si>
  <si>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</si>
  <si>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</si>
  <si>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</si>
  <si>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</si>
  <si>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</si>
  <si>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</si>
  <si>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</si>
  <si>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</si>
  <si>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</si>
  <si>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</si>
  <si>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</si>
  <si>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</si>
  <si>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</si>
  <si>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</si>
  <si>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</si>
  <si>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</si>
  <si>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</si>
  <si>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</si>
  <si>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</si>
  <si>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</si>
  <si>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</si>
  <si>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</si>
  <si>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</si>
  <si>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</si>
  <si>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</si>
  <si>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</si>
  <si>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</si>
  <si>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</si>
  <si>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</si>
  <si>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</si>
  <si>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</si>
  <si>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</si>
  <si>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</si>
  <si>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</si>
  <si>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</si>
  <si>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</si>
  <si>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</si>
  <si>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</si>
  <si>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</si>
  <si>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</si>
  <si>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</si>
  <si>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</si>
  <si>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</si>
  <si>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</si>
  <si>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</si>
  <si>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</si>
  <si>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</si>
  <si>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</si>
  <si>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</si>
  <si>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</si>
  <si>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</si>
  <si>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</si>
  <si>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</si>
  <si>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</si>
  <si>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</si>
  <si>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</si>
  <si>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</si>
  <si>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</si>
  <si>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</si>
  <si>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</si>
  <si>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</si>
  <si>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</si>
  <si>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</si>
  <si>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</si>
  <si>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</si>
  <si>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</si>
  <si>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</si>
  <si>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</si>
  <si>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</si>
  <si>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</si>
  <si>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</si>
  <si>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</si>
  <si>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</si>
  <si>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</si>
  <si>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</si>
  <si>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</si>
  <si>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</si>
  <si>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</si>
  <si>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</si>
  <si>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</si>
  <si>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</si>
  <si>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</si>
  <si>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</si>
  <si>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</si>
  <si>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</si>
  <si>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</si>
  <si>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</si>
  <si>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</si>
  <si>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</si>
  <si>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</si>
  <si>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</si>
  <si>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</si>
  <si>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</si>
  <si>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</si>
  <si>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</si>
  <si>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</si>
  <si>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</si>
  <si>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</si>
  <si>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</si>
  <si>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</si>
  <si>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</si>
  <si>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</si>
  <si>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</si>
  <si>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</si>
  <si>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</si>
  <si>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</si>
  <si>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</si>
  <si>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</si>
  <si>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</si>
  <si>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</si>
  <si>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</si>
  <si>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</si>
  <si>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</si>
  <si>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</si>
  <si>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</si>
  <si>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</si>
  <si>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</si>
  <si>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</si>
  <si>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</si>
  <si>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</si>
  <si>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</si>
  <si>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</si>
  <si>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</si>
  <si>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</si>
  <si>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</si>
  <si>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</si>
  <si>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</si>
  <si>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</si>
  <si>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</si>
  <si>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</si>
  <si>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</si>
  <si>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</si>
  <si>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</si>
  <si>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</si>
  <si>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</si>
  <si>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</si>
  <si>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</si>
  <si>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</si>
  <si>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</si>
  <si>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</si>
  <si>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</si>
  <si>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</si>
  <si>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</si>
  <si>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</si>
  <si>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</si>
  <si>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</si>
  <si>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</si>
  <si>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</si>
  <si>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</si>
  <si>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</si>
  <si>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</si>
  <si>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</si>
  <si>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</si>
  <si>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</si>
  <si>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</si>
  <si>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</si>
  <si>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</si>
  <si>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</si>
  <si>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</si>
  <si>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</si>
  <si>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</si>
  <si>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</si>
  <si>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</si>
  <si>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</si>
  <si>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</si>
  <si>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</si>
  <si>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</si>
  <si>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</si>
  <si>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</si>
  <si>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</si>
  <si>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</si>
  <si>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</si>
  <si>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</si>
  <si>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</si>
  <si>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</si>
  <si>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</si>
  <si>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</si>
  <si>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</si>
  <si>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</si>
  <si>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</si>
  <si>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</si>
  <si>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</si>
  <si>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</si>
  <si>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</si>
  <si>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</si>
  <si>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</si>
  <si>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</si>
  <si>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</si>
  <si>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</si>
  <si>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</si>
  <si>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</si>
  <si>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</si>
  <si>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</si>
  <si>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</si>
  <si>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</si>
  <si>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</si>
  <si>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</si>
  <si>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</si>
  <si>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</si>
  <si>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</si>
  <si>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</si>
  <si>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</si>
  <si>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</si>
  <si>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</si>
  <si>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</si>
  <si>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</si>
  <si>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</si>
  <si>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</si>
  <si>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</si>
  <si>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</si>
  <si>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</si>
  <si>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</si>
  <si>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</si>
  <si>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</si>
  <si>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</si>
  <si>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</si>
  <si>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</si>
  <si>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</si>
  <si>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</si>
  <si>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</si>
  <si>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</si>
  <si>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</si>
  <si>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</si>
  <si>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</si>
  <si>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</si>
  <si>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</si>
  <si>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</si>
  <si>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</si>
  <si>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</si>
  <si>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</si>
  <si>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</si>
  <si>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</si>
  <si>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</si>
  <si>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</si>
  <si>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</si>
  <si>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</si>
  <si>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</si>
  <si>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</si>
  <si>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</si>
  <si>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</si>
  <si>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</si>
  <si>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</si>
  <si>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</si>
  <si>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</si>
  <si>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</si>
  <si>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</si>
  <si>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</si>
  <si>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</si>
  <si>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</si>
  <si>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</si>
  <si>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</si>
  <si>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</si>
  <si>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</si>
  <si>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</si>
  <si>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</si>
  <si>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</si>
  <si>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</si>
  <si>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</si>
  <si>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</si>
  <si>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</si>
  <si>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</si>
  <si>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</si>
  <si>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</si>
  <si>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</si>
  <si>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</si>
  <si>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</si>
  <si>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</si>
  <si>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</si>
  <si>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</si>
  <si>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</si>
  <si>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</si>
  <si>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</si>
  <si>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</si>
  <si>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</si>
  <si>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</si>
  <si>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</si>
  <si>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</si>
  <si>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</si>
  <si>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</si>
  <si>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</si>
  <si>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</si>
  <si>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</si>
  <si>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</si>
  <si>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</si>
  <si>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</si>
  <si>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</si>
  <si>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</si>
  <si>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</si>
  <si>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</si>
  <si>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</si>
  <si>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</si>
  <si>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</si>
  <si>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</si>
  <si>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</si>
  <si>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</si>
  <si>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</si>
  <si>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</si>
  <si>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</si>
  <si>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</si>
  <si>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</si>
  <si>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</si>
  <si>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</si>
  <si>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</si>
  <si>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</si>
  <si>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</si>
  <si>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</si>
  <si>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</si>
  <si>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</si>
  <si>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</si>
  <si>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</si>
  <si>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</si>
  <si>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</si>
  <si>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</si>
  <si>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</si>
  <si>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</si>
  <si>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</si>
  <si>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</si>
  <si>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</si>
  <si>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</si>
  <si>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</si>
  <si>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</si>
  <si>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</si>
  <si>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</si>
  <si>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</si>
  <si>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</si>
  <si>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</si>
  <si>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</si>
  <si>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</si>
  <si>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</si>
  <si>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</si>
  <si>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</si>
  <si>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</si>
  <si>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</si>
  <si>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</si>
  <si>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</si>
  <si>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</si>
  <si>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</si>
  <si>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</si>
  <si>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</si>
  <si>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</si>
  <si>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</si>
  <si>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</si>
  <si>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</si>
  <si>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</si>
  <si>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</si>
  <si>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</si>
  <si>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</si>
  <si>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</si>
  <si>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</si>
  <si>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</si>
  <si>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</si>
  <si>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</si>
  <si>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</si>
  <si>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</si>
  <si>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</si>
  <si>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</si>
  <si>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</si>
  <si>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</si>
  <si>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</si>
  <si>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</si>
  <si>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</si>
  <si>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</si>
  <si>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</si>
  <si>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</si>
  <si>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</si>
  <si>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</si>
  <si>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</si>
  <si>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</si>
  <si>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</si>
  <si>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</si>
  <si>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</si>
  <si>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</si>
  <si>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</si>
  <si>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</si>
  <si>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</si>
  <si>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</si>
  <si>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</si>
  <si>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</si>
  <si>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</si>
  <si>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</si>
  <si>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</si>
  <si>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</si>
  <si>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</si>
  <si>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</si>
  <si>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</si>
  <si>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</si>
  <si>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</si>
  <si>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</si>
  <si>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</si>
  <si>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</si>
  <si>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</si>
  <si>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</si>
  <si>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</si>
  <si>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</si>
  <si>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</si>
  <si>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</si>
  <si>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</si>
  <si>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</si>
  <si>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</si>
  <si>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</si>
  <si>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</si>
  <si>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</si>
  <si>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</si>
  <si>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</si>
  <si>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</si>
  <si>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</si>
  <si>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</si>
  <si>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</si>
  <si>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</si>
  <si>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</si>
  <si>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</si>
  <si>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</si>
  <si>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</si>
  <si>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</si>
  <si>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</si>
  <si>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</si>
  <si>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</si>
  <si>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</si>
  <si>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</si>
  <si>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</si>
  <si>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</si>
  <si>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</si>
  <si>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</si>
  <si>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</si>
  <si>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</si>
  <si>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</si>
  <si>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</si>
  <si>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</si>
  <si>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</si>
  <si>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</si>
  <si>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</si>
  <si>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</si>
  <si>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</si>
  <si>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</si>
  <si>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</si>
  <si>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</si>
  <si>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</si>
  <si>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</si>
  <si>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</si>
  <si>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</si>
  <si>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</si>
  <si>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</si>
  <si>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</si>
  <si>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</si>
  <si>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</si>
  <si>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</si>
  <si>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</si>
  <si>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</si>
  <si>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</si>
  <si>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</si>
  <si>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</si>
  <si>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</si>
  <si>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</si>
  <si>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</si>
  <si>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</si>
  <si>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</si>
  <si>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</si>
  <si>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</si>
  <si>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</si>
  <si>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</si>
  <si>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</si>
  <si>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</si>
  <si>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</si>
  <si>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</si>
  <si>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</si>
  <si>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</si>
  <si>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</si>
  <si>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</si>
  <si>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</si>
  <si>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</si>
  <si>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</si>
  <si>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</si>
  <si>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</si>
  <si>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</si>
  <si>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</si>
  <si>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</si>
  <si>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</si>
  <si>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</si>
  <si>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</si>
  <si>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</si>
  <si>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</si>
  <si>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</si>
  <si>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</si>
  <si>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</si>
  <si>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</si>
  <si>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</si>
  <si>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</si>
  <si>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</si>
  <si>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</si>
  <si>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</si>
  <si>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</si>
  <si>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</si>
  <si>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</si>
  <si>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</si>
  <si>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</si>
  <si>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</si>
  <si>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</si>
  <si>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</si>
  <si>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</si>
  <si>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</si>
  <si>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</si>
  <si>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</si>
  <si>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</si>
  <si>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</si>
  <si>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</si>
  <si>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</si>
  <si>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</si>
  <si>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</si>
  <si>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</si>
  <si>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</si>
  <si>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</si>
  <si>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</si>
  <si>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</si>
  <si>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</si>
  <si>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</si>
  <si>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</si>
  <si>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</si>
  <si>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</si>
  <si>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</si>
  <si>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</si>
  <si>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</si>
  <si>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</si>
  <si>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</si>
  <si>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</si>
  <si>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</si>
  <si>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</si>
  <si>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</si>
  <si>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</si>
  <si>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</si>
  <si>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</si>
  <si>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</si>
  <si>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</si>
  <si>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</si>
  <si>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</si>
  <si>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</si>
  <si>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</si>
  <si>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</si>
  <si>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</si>
  <si>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</si>
  <si>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</si>
  <si>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</si>
  <si>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</si>
  <si>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</si>
  <si>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</si>
  <si>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</si>
  <si>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</si>
  <si>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</si>
  <si>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</si>
  <si>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</si>
  <si>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</si>
  <si>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</si>
  <si>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</si>
  <si>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</si>
  <si>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</si>
  <si>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</si>
  <si>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</si>
  <si>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</si>
  <si>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</si>
  <si>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</si>
  <si>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</si>
  <si>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</si>
  <si>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</si>
  <si>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</si>
  <si>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</si>
  <si>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</si>
  <si>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</si>
  <si>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</si>
  <si>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</si>
  <si>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</si>
  <si>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</si>
  <si>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</si>
  <si>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</si>
  <si>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</si>
  <si>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</si>
  <si>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</si>
  <si>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</si>
  <si>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</si>
  <si>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</si>
  <si>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</si>
  <si>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</si>
  <si>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</si>
  <si>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</si>
  <si>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</si>
  <si>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</si>
  <si>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</si>
  <si>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</si>
  <si>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</si>
  <si>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</si>
  <si>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</si>
  <si>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</si>
  <si>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</si>
  <si>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</si>
  <si>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</si>
  <si>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</si>
  <si>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</si>
  <si>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</si>
  <si>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</si>
  <si>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</si>
  <si>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</si>
  <si>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</si>
  <si>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</si>
  <si>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</si>
  <si>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</si>
  <si>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</si>
  <si>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</si>
  <si>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</si>
  <si>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</si>
  <si>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</si>
  <si>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</si>
  <si>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</si>
  <si>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</si>
  <si>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</si>
  <si>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</si>
  <si>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</si>
  <si>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</si>
  <si>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</si>
  <si>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</si>
  <si>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</si>
  <si>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</si>
  <si>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</si>
  <si>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</si>
  <si>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</si>
  <si>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</si>
  <si>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</si>
  <si>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</si>
  <si>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</si>
  <si>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</si>
  <si>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</si>
  <si>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</si>
  <si>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</si>
  <si>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</si>
  <si>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</si>
  <si>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</si>
  <si>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</si>
  <si>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</si>
  <si>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</si>
  <si>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</si>
  <si>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</si>
  <si>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</si>
  <si>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</si>
  <si>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</si>
  <si>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</si>
  <si>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</si>
  <si>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</si>
  <si>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</si>
  <si>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</si>
  <si>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</si>
  <si>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</si>
  <si>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</si>
  <si>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</si>
  <si>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</si>
  <si>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</si>
  <si>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</si>
  <si>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</si>
  <si>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</si>
  <si>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</si>
  <si>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</si>
  <si>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</si>
  <si>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</si>
  <si>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</si>
  <si>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</si>
  <si>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</si>
  <si>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</si>
  <si>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</si>
  <si>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</si>
  <si>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</si>
  <si>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</si>
  <si>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</si>
  <si>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</si>
  <si>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</si>
  <si>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</si>
  <si>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</si>
  <si>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</si>
  <si>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</si>
  <si>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</si>
  <si>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</si>
  <si>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</si>
  <si>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</si>
  <si>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</si>
  <si>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</si>
  <si>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</si>
  <si>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</si>
  <si>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</si>
  <si>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</si>
  <si>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</si>
  <si>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</si>
  <si>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</si>
  <si>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</si>
  <si>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</si>
  <si>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</si>
  <si>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</si>
  <si>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</si>
  <si>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</si>
  <si>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</si>
  <si>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</si>
  <si>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</si>
  <si>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</si>
  <si>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</si>
  <si>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</si>
  <si>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</si>
  <si>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</si>
  <si>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</si>
  <si>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</si>
  <si>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</si>
  <si>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</si>
  <si>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</si>
  <si>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</si>
  <si>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</si>
  <si>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</si>
  <si>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</si>
  <si>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</si>
  <si>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</si>
  <si>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</si>
  <si>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</si>
  <si>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</si>
  <si>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</si>
  <si>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</si>
  <si>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</si>
  <si>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</si>
  <si>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</si>
  <si>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</si>
  <si>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</si>
  <si>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</si>
  <si>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</si>
  <si>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</si>
  <si>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</si>
  <si>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</si>
  <si>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</si>
  <si>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</si>
  <si>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</si>
  <si>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</si>
  <si>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</si>
  <si>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</si>
  <si>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</si>
  <si>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</si>
  <si>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</si>
  <si>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</si>
  <si>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</si>
  <si>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</si>
  <si>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</si>
  <si>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</si>
  <si>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</si>
  <si>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</si>
  <si>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</si>
  <si>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</si>
  <si>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</si>
  <si>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</si>
  <si>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</si>
  <si>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</si>
  <si>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</si>
  <si>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</si>
  <si>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</si>
  <si>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</si>
  <si>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</si>
  <si>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</si>
  <si>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</si>
  <si>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</si>
  <si>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</si>
  <si>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</si>
  <si>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</si>
  <si>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</si>
  <si>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</si>
  <si>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</si>
  <si>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</si>
  <si>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</si>
  <si>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</si>
  <si>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</si>
  <si>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</si>
  <si>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</si>
  <si>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</si>
  <si>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</si>
  <si>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</si>
  <si>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</si>
  <si>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</si>
  <si>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</si>
  <si>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</si>
  <si>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</si>
  <si>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</si>
  <si>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</si>
  <si>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</si>
  <si>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</si>
  <si>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</si>
  <si>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</si>
  <si>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</si>
  <si>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</si>
  <si>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</si>
  <si>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</si>
  <si>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</si>
  <si>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</si>
  <si>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</si>
  <si>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</si>
  <si>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</si>
  <si>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</si>
  <si>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</si>
  <si>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</si>
  <si>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</si>
  <si>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</si>
  <si>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</si>
  <si>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</si>
  <si>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</si>
  <si>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</si>
  <si>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</si>
  <si>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</si>
  <si>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</si>
  <si>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</si>
  <si>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</si>
  <si>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</si>
  <si>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</si>
  <si>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</si>
  <si>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</si>
  <si>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</si>
  <si>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</si>
  <si>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</si>
  <si>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</si>
  <si>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</si>
  <si>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</si>
  <si>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</si>
  <si>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</si>
  <si>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</si>
  <si>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</si>
  <si>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</si>
  <si>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</si>
  <si>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</si>
  <si>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</si>
  <si>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</si>
  <si>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</si>
  <si>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</si>
  <si>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</si>
  <si>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</si>
  <si>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</si>
  <si>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</si>
  <si>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</si>
  <si>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</si>
  <si>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</si>
  <si>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</si>
  <si>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</si>
  <si>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</si>
  <si>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</si>
  <si>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</si>
  <si>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</si>
  <si>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</si>
  <si>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</si>
  <si>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</si>
  <si>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</si>
  <si>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</si>
  <si>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</si>
  <si>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</si>
  <si>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</si>
  <si>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</si>
  <si>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</si>
  <si>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</si>
  <si>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</si>
  <si>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</si>
  <si>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</si>
  <si>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</si>
  <si>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</si>
  <si>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</si>
  <si>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</si>
  <si>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</si>
  <si>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</si>
  <si>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</si>
  <si>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</si>
  <si>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</si>
  <si>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</si>
  <si>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</si>
  <si>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</si>
  <si>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</si>
  <si>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</si>
  <si>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</si>
  <si>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</si>
  <si>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</si>
  <si>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</si>
  <si>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</si>
  <si>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</si>
  <si>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</si>
  <si>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</si>
  <si>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</si>
  <si>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</si>
  <si>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</si>
  <si>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</si>
  <si>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</si>
  <si>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</si>
  <si>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</si>
  <si>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</si>
  <si>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</si>
  <si>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</si>
  <si>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</si>
  <si>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</si>
  <si>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</si>
  <si>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</si>
  <si>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</si>
  <si>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</si>
  <si>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</si>
  <si>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</si>
  <si>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</si>
  <si>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</si>
  <si>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</si>
  <si>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</si>
  <si>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</si>
  <si>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</si>
  <si>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</si>
  <si>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</si>
  <si>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</si>
  <si>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</si>
  <si>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</si>
  <si>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</si>
  <si>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</si>
  <si>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</si>
  <si>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</si>
  <si>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</si>
  <si>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</si>
  <si>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</si>
  <si>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</si>
  <si>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</si>
  <si>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</si>
  <si>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</si>
  <si>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</si>
  <si>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</si>
  <si>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</si>
  <si>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</si>
  <si>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</si>
  <si>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</si>
  <si>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</si>
  <si>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</si>
  <si>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</si>
  <si>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</si>
  <si>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</si>
  <si>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</si>
  <si>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</si>
  <si>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</si>
  <si>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</si>
  <si>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</si>
  <si>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</si>
  <si>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</si>
  <si>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</si>
  <si>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</si>
  <si>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</si>
  <si>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</si>
  <si>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</si>
  <si>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</si>
  <si>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</si>
  <si>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</si>
  <si>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</si>
  <si>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</si>
  <si>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</si>
  <si>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</si>
  <si>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</si>
  <si>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</si>
  <si>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</si>
  <si>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</si>
  <si>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</si>
  <si>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</si>
  <si>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</si>
  <si>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</si>
  <si>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</si>
  <si>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</si>
  <si>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</si>
  <si>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</si>
  <si>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</si>
  <si>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</si>
  <si>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</si>
  <si>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</si>
  <si>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</si>
  <si>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</si>
  <si>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</si>
  <si>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</si>
  <si>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</si>
  <si>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</si>
  <si>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</si>
  <si>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</si>
  <si>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</si>
  <si>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</si>
  <si>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</si>
  <si>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</si>
  <si>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</si>
  <si>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</si>
  <si>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</si>
  <si>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</si>
  <si>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</si>
  <si>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</si>
  <si>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</si>
  <si>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</si>
  <si>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</si>
  <si>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</si>
  <si>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</si>
  <si>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</si>
  <si>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</si>
  <si>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</si>
  <si>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</si>
  <si>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</si>
  <si>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</si>
  <si>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</si>
  <si>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</si>
  <si>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</si>
  <si>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</si>
  <si>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</si>
  <si>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</si>
  <si>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</si>
  <si>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</si>
  <si>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</si>
  <si>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</si>
  <si>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</si>
  <si>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</si>
  <si>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</si>
  <si>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</si>
  <si>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</si>
  <si>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</si>
  <si>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</si>
  <si>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</si>
  <si>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</si>
  <si>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</si>
  <si>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</si>
  <si>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</si>
  <si>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</si>
  <si>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</si>
  <si>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</si>
  <si>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</si>
  <si>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</si>
  <si>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</si>
  <si>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</si>
  <si>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</si>
  <si>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</si>
  <si>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</si>
  <si>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</si>
  <si>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</si>
  <si>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</si>
  <si>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</si>
  <si>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</si>
  <si>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</si>
  <si>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</si>
  <si>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</si>
  <si>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</si>
  <si>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</si>
  <si>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</si>
  <si>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</si>
  <si>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</si>
  <si>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</si>
  <si>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Restonic Hotel Motel Bonnell Regular Border 78X60X10</t>
  </si>
  <si>
    <t>Hotel Motel Poc  8MM/16D Pre Foam Border 29 CM Height</t>
  </si>
  <si>
    <t>RM-COST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</si>
</sst>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E19" sqref="E1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34293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15814</v>
      </c>
      <c r="E2" s="43" t="s">
        <v>34291</v>
      </c>
      <c r="F2" s="17" t="str">
        <f>D2</f>
        <v>SFG-FRBNRG-BOR-78X60X10</v>
      </c>
      <c r="G2" s="17" t="str">
        <f>E2</f>
        <v>Restonic Hotel Motel Bonnell Regular Border 78X60X10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78X60X10</v>
      </c>
      <c r="Y2" s="31" t="str">
        <f>LEFT(X2,2)</f>
        <v>78</v>
      </c>
      <c r="Z2" s="31" t="str">
        <f>MID(X2,4,2)</f>
        <v>60</v>
      </c>
      <c r="AA2" s="31" t="str">
        <f>RIGHT(X2,2)</f>
        <v>10</v>
      </c>
      <c r="AB2" s="20" t="str">
        <f>Y2</f>
        <v>78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188.80968744519538</v>
      </c>
      <c r="AJ2" s="45">
        <f>ROUND(AI2,3)</f>
        <v>188.81</v>
      </c>
      <c r="AK2" s="45">
        <f>AJ2</f>
        <v>188.81</v>
      </c>
      <c r="AL2" s="45">
        <f>+AK2+AQ2</f>
        <v>212.17504869000001</v>
      </c>
      <c r="AM2" s="45">
        <f>+SUM(((AK2*3%*18%)))</f>
        <v>1.019574</v>
      </c>
      <c r="AN2" s="45">
        <f t="shared" ref="AN2" si="1">+SUM(((AK2*14.33%*53%)))</f>
        <v>14.339930690000003</v>
      </c>
      <c r="AO2" s="45">
        <f t="shared" ref="AO2" si="2">+SUM(((AK2*5.92%*53%)))</f>
        <v>5.9241025600000006</v>
      </c>
      <c r="AP2" s="45">
        <f t="shared" ref="AP2" si="3">+SUM(((AK2*2.08%*53%)))</f>
        <v>2.0814414400000003</v>
      </c>
      <c r="AQ2" s="45">
        <f>SUM(AM2:AP2)</f>
        <v>23.365048690000002</v>
      </c>
      <c r="AR2" s="46">
        <f>ROUNDUP(AL2,0)</f>
        <v>213</v>
      </c>
      <c r="AS2" s="40">
        <f>AK2</f>
        <v>188.81</v>
      </c>
      <c r="AT2" s="32">
        <f>AR2</f>
        <v>213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SFG-FRBNRG-BOR-78X60X10</v>
      </c>
      <c r="E3" s="17" t="str">
        <f t="shared" si="4"/>
        <v>Restonic Hotel Motel Bonnell Regular Border 78X60X10</v>
      </c>
      <c r="F3" s="17" t="str">
        <f t="shared" si="4"/>
        <v>SFG-FRBNRG-BOR-78X60X10</v>
      </c>
      <c r="G3" s="17" t="str">
        <f t="shared" si="4"/>
        <v>Restonic Hotel Motel Bonnell Regular Border 78X60X10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78X60X10</v>
      </c>
      <c r="Y3" s="31" t="str">
        <f t="shared" ref="Y3:Y9" si="6">LEFT(X3,2)</f>
        <v>78</v>
      </c>
      <c r="Z3" s="31" t="str">
        <f t="shared" ref="Z3:Z9" si="7">MID(X3,4,2)</f>
        <v>60</v>
      </c>
      <c r="AA3" s="31" t="str">
        <f t="shared" ref="AA3:AA9" si="8">RIGHT(X3,2)</f>
        <v>10</v>
      </c>
      <c r="AB3" s="20" t="str">
        <f>AB2</f>
        <v>78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>AS2</f>
        <v>188.81</v>
      </c>
      <c r="AT3" s="32">
        <f t="shared" ref="AT3:AT9" si="9">AT2</f>
        <v>213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SFG-FRBNRG-BOR-78X60X10</v>
      </c>
      <c r="E4" s="17" t="str">
        <f t="shared" si="4"/>
        <v>Restonic Hotel Motel Bonnell Regular Border 78X60X10</v>
      </c>
      <c r="F4" s="17" t="str">
        <f t="shared" si="4"/>
        <v>SFG-FRBNRG-BOR-78X60X10</v>
      </c>
      <c r="G4" s="17" t="str">
        <f t="shared" si="4"/>
        <v>Restonic Hotel Motel Bonnell Regular Border 78X60X10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18722</v>
      </c>
      <c r="R4" s="43" t="s">
        <v>34292</v>
      </c>
      <c r="S4" s="43" t="s">
        <v>192</v>
      </c>
      <c r="T4" s="18">
        <f>AD4</f>
        <v>7.0870000000000006</v>
      </c>
      <c r="U4" s="17" t="s">
        <v>2292</v>
      </c>
      <c r="V4" s="17" t="s">
        <v>2276</v>
      </c>
      <c r="W4" s="17" t="s">
        <v>2295</v>
      </c>
      <c r="X4" s="30" t="str">
        <f t="shared" si="5"/>
        <v>78X60X10</v>
      </c>
      <c r="Y4" s="31" t="str">
        <f t="shared" si="6"/>
        <v>78</v>
      </c>
      <c r="Z4" s="31" t="str">
        <f t="shared" si="7"/>
        <v>60</v>
      </c>
      <c r="AA4" s="31" t="str">
        <f t="shared" si="8"/>
        <v>10</v>
      </c>
      <c r="AB4" s="20" t="str">
        <f t="shared" ref="AB4:AC9" si="10">AB3</f>
        <v>78</v>
      </c>
      <c r="AC4" s="20" t="str">
        <f t="shared" si="10"/>
        <v>60</v>
      </c>
      <c r="AD4" s="21">
        <f>ROUNDUP(((((AB4+AC4)*2)+3)*0.0254),3)</f>
        <v>7.0870000000000006</v>
      </c>
      <c r="AF4" s="22">
        <f t="shared" ref="AF4:AF9" si="11">T4</f>
        <v>7.0870000000000006</v>
      </c>
      <c r="AG4" s="26">
        <f>VLOOKUP(Q4,'SFG-RM'!A:B,2,0)</f>
        <v>22.495284269999999</v>
      </c>
      <c r="AH4" s="20">
        <f t="shared" si="0"/>
        <v>159.42407962148999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>AS3</f>
        <v>188.81</v>
      </c>
      <c r="AT4" s="32">
        <f t="shared" si="9"/>
        <v>213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SFG-FRBNRG-BOR-78X60X10</v>
      </c>
      <c r="E5" s="17" t="str">
        <f t="shared" si="4"/>
        <v>Restonic Hotel Motel Bonnell Regular Border 78X60X10</v>
      </c>
      <c r="F5" s="17" t="str">
        <f t="shared" si="4"/>
        <v>SFG-FRBNRG-BOR-78X60X10</v>
      </c>
      <c r="G5" s="17" t="str">
        <f t="shared" si="4"/>
        <v>Restonic Hotel Motel Bonnell Regular Border 78X60X10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78X60X10</v>
      </c>
      <c r="Y5" s="31" t="str">
        <f t="shared" si="6"/>
        <v>78</v>
      </c>
      <c r="Z5" s="31" t="str">
        <f t="shared" si="7"/>
        <v>60</v>
      </c>
      <c r="AA5" s="31" t="str">
        <f t="shared" si="8"/>
        <v>10</v>
      </c>
      <c r="AB5" s="20" t="str">
        <f t="shared" si="10"/>
        <v>78</v>
      </c>
      <c r="AC5" s="20" t="str">
        <f t="shared" si="10"/>
        <v>60</v>
      </c>
      <c r="AD5" s="21">
        <f>ROUNDUP(((((72+30)*2)+3)*0.0254),3)</f>
        <v>5.258</v>
      </c>
      <c r="AF5" s="22">
        <f t="shared" si="11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>AS4</f>
        <v>188.81</v>
      </c>
      <c r="AT5" s="32">
        <f t="shared" si="9"/>
        <v>213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SFG-FRBNRG-BOR-78X60X10</v>
      </c>
      <c r="E6" s="17" t="str">
        <f t="shared" si="4"/>
        <v>Restonic Hotel Motel Bonnell Regular Border 78X60X10</v>
      </c>
      <c r="F6" s="17" t="str">
        <f t="shared" si="4"/>
        <v>SFG-FRBNRG-BOR-78X60X10</v>
      </c>
      <c r="G6" s="17" t="str">
        <f t="shared" si="4"/>
        <v>Restonic Hotel Motel Bonnell Regular Border 78X60X10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78X60X10</v>
      </c>
      <c r="Y6" s="31" t="str">
        <f t="shared" si="6"/>
        <v>78</v>
      </c>
      <c r="Z6" s="31" t="str">
        <f t="shared" si="7"/>
        <v>60</v>
      </c>
      <c r="AA6" s="31" t="str">
        <f t="shared" si="8"/>
        <v>10</v>
      </c>
      <c r="AB6" s="20" t="str">
        <f t="shared" si="10"/>
        <v>78</v>
      </c>
      <c r="AC6" s="20" t="str">
        <f t="shared" si="10"/>
        <v>60</v>
      </c>
      <c r="AF6" s="22">
        <f t="shared" si="11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>AS5</f>
        <v>188.81</v>
      </c>
      <c r="AT6" s="32">
        <f t="shared" si="9"/>
        <v>213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SFG-FRBNRG-BOR-78X60X10</v>
      </c>
      <c r="E7" s="17" t="str">
        <f t="shared" si="4"/>
        <v>Restonic Hotel Motel Bonnell Regular Border 78X60X10</v>
      </c>
      <c r="F7" s="17" t="str">
        <f t="shared" si="4"/>
        <v>SFG-FRBNRG-BOR-78X60X10</v>
      </c>
      <c r="G7" s="17" t="str">
        <f t="shared" si="4"/>
        <v>Restonic Hotel Motel Bonnell Regular Border 78X60X10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78X60X10</v>
      </c>
      <c r="Y7" s="31" t="str">
        <f t="shared" si="6"/>
        <v>78</v>
      </c>
      <c r="Z7" s="31" t="str">
        <f t="shared" si="7"/>
        <v>60</v>
      </c>
      <c r="AA7" s="31" t="str">
        <f t="shared" si="8"/>
        <v>10</v>
      </c>
      <c r="AB7" s="20" t="str">
        <f t="shared" si="10"/>
        <v>78</v>
      </c>
      <c r="AC7" s="20" t="str">
        <f t="shared" si="10"/>
        <v>60</v>
      </c>
      <c r="AF7" s="22">
        <f t="shared" si="11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>AS6</f>
        <v>188.81</v>
      </c>
      <c r="AT7" s="32">
        <f t="shared" si="9"/>
        <v>213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SFG-FRBNRG-BOR-78X60X10</v>
      </c>
      <c r="E8" s="17" t="str">
        <f t="shared" si="4"/>
        <v>Restonic Hotel Motel Bonnell Regular Border 78X60X10</v>
      </c>
      <c r="F8" s="17" t="str">
        <f t="shared" si="4"/>
        <v>SFG-FRBNRG-BOR-78X60X10</v>
      </c>
      <c r="G8" s="17" t="str">
        <f t="shared" si="4"/>
        <v>Restonic Hotel Motel Bonnell Regular Border 78X60X10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18743</v>
      </c>
      <c r="R8" s="43" t="s">
        <v>34290</v>
      </c>
      <c r="S8" s="43" t="s">
        <v>192</v>
      </c>
      <c r="T8" s="44">
        <v>1.1599999999999999</v>
      </c>
      <c r="U8" s="17" t="s">
        <v>2292</v>
      </c>
      <c r="V8" s="17" t="s">
        <v>2276</v>
      </c>
      <c r="W8" s="17" t="s">
        <v>2295</v>
      </c>
      <c r="X8" s="30" t="str">
        <f t="shared" si="5"/>
        <v>78X60X10</v>
      </c>
      <c r="Y8" s="31" t="str">
        <f t="shared" si="6"/>
        <v>78</v>
      </c>
      <c r="Z8" s="31" t="str">
        <f t="shared" si="7"/>
        <v>60</v>
      </c>
      <c r="AA8" s="31" t="str">
        <f t="shared" si="8"/>
        <v>10</v>
      </c>
      <c r="AB8" s="20" t="str">
        <f t="shared" si="10"/>
        <v>78</v>
      </c>
      <c r="AC8" s="20" t="str">
        <f t="shared" si="10"/>
        <v>60</v>
      </c>
      <c r="AF8" s="22">
        <f t="shared" si="11"/>
        <v>1.1599999999999999</v>
      </c>
      <c r="AG8" s="26">
        <f>VLOOKUP(Q8,'SFG-RM'!A:B,2,0)</f>
        <v>9.3094552894011979</v>
      </c>
      <c r="AH8" s="20">
        <f t="shared" si="0"/>
        <v>10.798968135705389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>AS7</f>
        <v>188.81</v>
      </c>
      <c r="AT8" s="32">
        <f t="shared" si="9"/>
        <v>213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SFG-FRBNRG-BOR-78X60X10</v>
      </c>
      <c r="E9" s="17" t="str">
        <f t="shared" si="4"/>
        <v>Restonic Hotel Motel Bonnell Regular Border 78X60X10</v>
      </c>
      <c r="F9" s="17" t="str">
        <f t="shared" si="4"/>
        <v>SFG-FRBNRG-BOR-78X60X10</v>
      </c>
      <c r="G9" s="17" t="str">
        <f t="shared" si="4"/>
        <v>Restonic Hotel Motel Bonnell Regular Border 78X60X10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78X60X10</v>
      </c>
      <c r="Y9" s="31" t="str">
        <f t="shared" si="6"/>
        <v>78</v>
      </c>
      <c r="Z9" s="31" t="str">
        <f t="shared" si="7"/>
        <v>60</v>
      </c>
      <c r="AA9" s="31" t="str">
        <f t="shared" si="8"/>
        <v>10</v>
      </c>
      <c r="AB9" s="20" t="str">
        <f t="shared" si="10"/>
        <v>78</v>
      </c>
      <c r="AC9" s="20" t="str">
        <f t="shared" si="10"/>
        <v>60</v>
      </c>
      <c r="AF9" s="22">
        <f t="shared" si="11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>AS8</f>
        <v>188.81</v>
      </c>
      <c r="AT9" s="32">
        <f t="shared" si="9"/>
        <v>213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2024-03-28T08:48:44Z</dcterms:modified>
</cp:coreProperties>
</file>