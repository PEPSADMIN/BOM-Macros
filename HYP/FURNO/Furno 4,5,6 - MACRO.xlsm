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"/>
    </mc:Choice>
  </mc:AlternateContent>
  <bookViews>
    <workbookView xWindow="0" yWindow="0" windowWidth="24000" windowHeight="88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3" l="1"/>
  <c r="E8" i="13" l="1"/>
  <c r="H16" i="13"/>
  <c r="D16" i="13"/>
  <c r="G2" i="13" l="1"/>
  <c r="E12" i="13" l="1"/>
  <c r="G11" i="13" l="1"/>
  <c r="E2" i="13" l="1"/>
  <c r="D15" i="13" l="1"/>
  <c r="H15" i="13"/>
  <c r="H14" i="13"/>
  <c r="D14" i="13"/>
  <c r="H13" i="13"/>
  <c r="D13" i="13"/>
  <c r="E5" i="13"/>
  <c r="E4" i="13"/>
  <c r="D3" i="13"/>
  <c r="D4" i="13"/>
  <c r="D5" i="13"/>
  <c r="D6" i="13"/>
  <c r="D7" i="13"/>
  <c r="D8" i="13"/>
  <c r="D9" i="13"/>
  <c r="D10" i="13"/>
  <c r="D11" i="13"/>
  <c r="D12" i="13"/>
  <c r="D2" i="13"/>
  <c r="G4" i="13" l="1"/>
  <c r="G5" i="13"/>
  <c r="G7" i="13" l="1"/>
  <c r="H8" i="13" l="1"/>
  <c r="G3" i="13"/>
  <c r="H3" i="13" l="1"/>
  <c r="H12" i="13" l="1"/>
  <c r="H11" i="13"/>
  <c r="H10" i="13"/>
  <c r="H9" i="13"/>
  <c r="H7" i="13"/>
  <c r="H6" i="13"/>
  <c r="H5" i="13"/>
  <c r="H4" i="13"/>
  <c r="H2" i="13"/>
</calcChain>
</file>

<file path=xl/sharedStrings.xml><?xml version="1.0" encoding="utf-8"?>
<sst xmlns="http://schemas.openxmlformats.org/spreadsheetml/2006/main" count="1606" uniqueCount="117">
  <si>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</si>
  <si>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</si>
  <si>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</si>
  <si>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</si>
  <si>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</si>
  <si>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</si>
  <si>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</si>
  <si>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</si>
  <si>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</si>
  <si>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</si>
  <si>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</si>
  <si>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</si>
  <si>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</si>
  <si>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</si>
  <si>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</si>
  <si>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</si>
  <si>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</si>
  <si>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</si>
  <si>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</si>
  <si>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</si>
  <si>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</si>
  <si>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</si>
  <si>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</si>
  <si>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</si>
  <si>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</si>
  <si>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</si>
  <si>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</si>
  <si>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</si>
  <si>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</si>
  <si>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</si>
  <si>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</si>
  <si>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</si>
  <si>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</si>
  <si>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</si>
  <si>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</si>
  <si>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</si>
  <si>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</si>
  <si>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</si>
  <si>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</si>
  <si>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</si>
  <si>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</si>
  <si>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</si>
  <si>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</si>
  <si>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</si>
  <si>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</si>
  <si>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</si>
  <si>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</si>
  <si>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</si>
  <si>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</si>
  <si>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</si>
  <si>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</si>
  <si>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</si>
  <si>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</si>
  <si>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</si>
  <si>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</si>
  <si>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</si>
  <si>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</si>
  <si>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</si>
  <si>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</si>
  <si>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</si>
  <si>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</si>
  <si>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</si>
  <si>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</si>
  <si>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</si>
  <si>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</si>
  <si>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</si>
  <si>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</si>
  <si>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</si>
  <si>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</si>
  <si>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</si>
  <si>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</si>
  <si>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</si>
  <si>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</si>
  <si>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</si>
  <si>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</si>
  <si>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</si>
  <si>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</si>
  <si>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</si>
  <si>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</si>
  <si>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</si>
  <si>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</si>
  <si>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</si>
  <si>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</si>
  <si>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</si>
  <si>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</si>
  <si>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</si>
  <si>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</si>
  <si>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</si>
  <si>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</si>
  <si>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</si>
  <si>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</si>
  <si>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</si>
  <si>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</si>
  <si>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</si>
  <si>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</si>
  <si>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</si>
  <si>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</si>
  <si>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</si>
  <si>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</si>
  <si>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 Block</t>
  </si>
  <si>
    <t>QUILTING</t>
  </si>
  <si>
    <t>Quilt-Top &amp; Bottom</t>
  </si>
  <si>
    <t>4,5,6</t>
  </si>
  <si>
    <t>Wh Code</t>
  </si>
  <si>
    <t>RML-CB-CIR</t>
  </si>
  <si>
    <t>RML-CIR-MRP-LBL</t>
  </si>
  <si>
    <t>DB</t>
  </si>
  <si>
    <t>MR</t>
  </si>
  <si>
    <t>DB,MR,BG</t>
  </si>
  <si>
    <t>BG</t>
  </si>
  <si>
    <t>RMI-PVC-50</t>
  </si>
  <si>
    <t>HW-CTON-THREAD</t>
  </si>
  <si>
    <t>Tailoring</t>
  </si>
  <si>
    <t>RML-MRP-BACK-LBL</t>
  </si>
  <si>
    <t>RML-FUR-CIR-SDE-LBL</t>
  </si>
  <si>
    <t>SFG-RTC-BNPK-BP</t>
  </si>
  <si>
    <t>RM-THRD-QS-TKT40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</si>
</sst>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ont="0" applyFill="0" applyBorder="0" applyAlignment="0" applyProtection="0"/>
    <xf numFmtId="0" fontId="5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1" fillId="0" borderId="1" xfId="0" applyFont="1" applyBorder="1"/>
    <xf numFmtId="0" fontId="7" fillId="6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  <xf numFmtId="0" fontId="6" fillId="6" borderId="1" xfId="2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164" fontId="3" fillId="7" borderId="1" xfId="0" applyNumberFormat="1" applyFont="1" applyFill="1" applyBorder="1" applyAlignment="1" applyProtection="1">
      <alignment horizontal="center" vertical="center"/>
    </xf>
    <xf numFmtId="0" fontId="0" fillId="0" borderId="3" xfId="0" applyFont="1" applyFill="1" applyBorder="1" applyAlignment="1">
      <alignment vertical="center"/>
    </xf>
    <xf numFmtId="0" fontId="0" fillId="0" borderId="4" xfId="0" applyFont="1" applyFill="1" applyBorder="1" applyAlignment="1">
      <alignment vertical="center"/>
    </xf>
    <xf numFmtId="164" fontId="0" fillId="0" borderId="5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" xfId="2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9" sqref="F9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9" style="12" bestFit="1" customWidth="1"/>
    <col min="4" max="4" width="21.8554687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1" width="8.42578125" style="4" bestFit="1" customWidth="1"/>
    <col min="12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103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83</v>
      </c>
      <c r="S1" s="29" t="s">
        <v>84</v>
      </c>
      <c r="T1" s="29" t="s">
        <v>85</v>
      </c>
      <c r="U1" s="29" t="s">
        <v>10</v>
      </c>
    </row>
    <row r="2" spans="1:21" x14ac:dyDescent="0.25">
      <c r="A2" s="31">
        <v>1</v>
      </c>
      <c r="B2" s="7" t="s">
        <v>100</v>
      </c>
      <c r="C2" s="8" t="s">
        <v>101</v>
      </c>
      <c r="D2" s="8" t="str">
        <f>"HYPFURFM"&amp;IF($N$2="DB","DB",IF($N$2="MR","MR",IF($N$2="BG","BG")))&amp;$K$2&amp;"X"&amp;$L$2&amp;"X0"&amp;$M$2</f>
        <v>HYPFURFMDB72X30X05</v>
      </c>
      <c r="E2" s="40" t="str">
        <f>"SFG-FUR"&amp;IF(N2="DB","DB",IF(N2="MR","MR",IF(N2="BG","BG",0)))&amp;"-QUILT"</f>
        <v>SFG-FURDB-QUILT</v>
      </c>
      <c r="F2" s="9" t="s">
        <v>14</v>
      </c>
      <c r="G2" s="45">
        <f>((IF(K2&lt;=75,(L2+1)+(M2*2),IF(K2=78,IF(M2=4,(L2+1)+(M2*2),(K2+1)+(M2*2)),(IF(K2&gt;=80,(K2+1)+(M2*2))))))*0.0254)</f>
        <v>1.0413999999999999</v>
      </c>
      <c r="H2" s="36">
        <f>ROUND(G2,3)</f>
        <v>1.0409999999999999</v>
      </c>
      <c r="I2" s="32" t="s">
        <v>15</v>
      </c>
      <c r="J2" s="5"/>
      <c r="K2" s="28">
        <v>72</v>
      </c>
      <c r="L2" s="28">
        <v>30</v>
      </c>
      <c r="M2" s="28">
        <v>5</v>
      </c>
      <c r="N2" s="6" t="s">
        <v>106</v>
      </c>
      <c r="P2" s="4" t="s">
        <v>102</v>
      </c>
      <c r="R2" s="26" t="s">
        <v>86</v>
      </c>
      <c r="S2" s="26" t="s">
        <v>87</v>
      </c>
      <c r="T2" s="26">
        <v>4</v>
      </c>
      <c r="U2" s="27" t="s">
        <v>106</v>
      </c>
    </row>
    <row r="3" spans="1:21" s="14" customFormat="1" x14ac:dyDescent="0.25">
      <c r="A3" s="31">
        <v>2</v>
      </c>
      <c r="B3" s="7" t="s">
        <v>100</v>
      </c>
      <c r="C3" s="8" t="s">
        <v>101</v>
      </c>
      <c r="D3" s="8" t="str">
        <f t="shared" ref="D3:D16" si="0">"HYPFURFM"&amp;IF($N$2="DB","DB",IF($N$2="MR","MR",IF($N$2="BG","BG")))&amp;$K$2&amp;"X"&amp;$L$2&amp;"X0"&amp;$M$2</f>
        <v>HYPFURFMDB72X30X05</v>
      </c>
      <c r="E3" s="41" t="s">
        <v>115</v>
      </c>
      <c r="F3" s="9" t="s">
        <v>14</v>
      </c>
      <c r="G3" s="34">
        <f>IF(K2&lt;79,(L2+1),(K2+1))*0.0254</f>
        <v>0.78739999999999999</v>
      </c>
      <c r="H3" s="36">
        <f t="shared" ref="H3" si="1">ROUND(G3,3)</f>
        <v>0.78700000000000003</v>
      </c>
      <c r="I3" s="32" t="s">
        <v>15</v>
      </c>
      <c r="J3" s="5"/>
      <c r="K3" s="13"/>
      <c r="L3" s="13"/>
      <c r="M3" s="13"/>
      <c r="N3" s="13"/>
      <c r="O3" s="4"/>
      <c r="P3" s="14" t="s">
        <v>108</v>
      </c>
      <c r="R3" s="26" t="s">
        <v>86</v>
      </c>
      <c r="S3" s="26" t="s">
        <v>88</v>
      </c>
      <c r="T3" s="26">
        <v>4</v>
      </c>
      <c r="U3" s="27" t="s">
        <v>106</v>
      </c>
    </row>
    <row r="4" spans="1:21" x14ac:dyDescent="0.25">
      <c r="A4" s="31">
        <v>3</v>
      </c>
      <c r="B4" s="7" t="s">
        <v>16</v>
      </c>
      <c r="C4" s="8" t="s">
        <v>17</v>
      </c>
      <c r="D4" s="8" t="str">
        <f t="shared" si="0"/>
        <v>HYPFURFMDB72X30X05</v>
      </c>
      <c r="E4" s="37" t="str">
        <f>IF(N2="MR","RML-EDTAPE-MER-KNIT",IF(N2="DB","RML-EDTAPE-BLUE",IF(N2="BG","RML-EDTAPE-BRN",0)))</f>
        <v>RML-EDTAPE-BLUE</v>
      </c>
      <c r="F4" s="9" t="s">
        <v>14</v>
      </c>
      <c r="G4" s="35">
        <f>(K2+L2+4)*2*0.0254</f>
        <v>5.3847999999999994</v>
      </c>
      <c r="H4" s="36">
        <f t="shared" ref="H4:H12" si="2">ROUND(G4,3)</f>
        <v>5.3849999999999998</v>
      </c>
      <c r="I4" s="9" t="s">
        <v>13</v>
      </c>
      <c r="J4" s="10"/>
      <c r="O4" s="14"/>
      <c r="R4" s="26" t="s">
        <v>86</v>
      </c>
      <c r="S4" s="26" t="s">
        <v>89</v>
      </c>
      <c r="T4" s="26">
        <v>4</v>
      </c>
      <c r="U4" s="27" t="s">
        <v>106</v>
      </c>
    </row>
    <row r="5" spans="1:21" x14ac:dyDescent="0.25">
      <c r="A5" s="31">
        <v>4</v>
      </c>
      <c r="B5" s="7" t="s">
        <v>16</v>
      </c>
      <c r="C5" s="8" t="s">
        <v>17</v>
      </c>
      <c r="D5" s="8" t="str">
        <f t="shared" si="0"/>
        <v>HYPFURFMDB72X30X05</v>
      </c>
      <c r="E5" s="42" t="str">
        <f>+IF(N2="MR","RML-THRD-TKT-40MER","RM-THRD-TKT40-BLACK")</f>
        <v>RM-THRD-TKT40-BLACK</v>
      </c>
      <c r="F5" s="9" t="s">
        <v>14</v>
      </c>
      <c r="G5" s="35">
        <f>(K2+L2+4)*2*0.0254*(4.73+1.42)</f>
        <v>33.116520000000001</v>
      </c>
      <c r="H5" s="36">
        <f t="shared" si="2"/>
        <v>33.116999999999997</v>
      </c>
      <c r="I5" s="30" t="s">
        <v>13</v>
      </c>
      <c r="J5" s="10"/>
      <c r="L5" s="16"/>
      <c r="O5" s="14"/>
      <c r="R5" s="26" t="s">
        <v>86</v>
      </c>
      <c r="S5" s="26" t="s">
        <v>90</v>
      </c>
      <c r="T5" s="26">
        <v>4</v>
      </c>
      <c r="U5" s="27" t="s">
        <v>106</v>
      </c>
    </row>
    <row r="6" spans="1:21" x14ac:dyDescent="0.25">
      <c r="A6" s="31">
        <v>5</v>
      </c>
      <c r="B6" s="7" t="s">
        <v>16</v>
      </c>
      <c r="C6" s="8" t="s">
        <v>17</v>
      </c>
      <c r="D6" s="8" t="str">
        <f t="shared" si="0"/>
        <v>HYPFURFMDB72X30X05</v>
      </c>
      <c r="E6" s="9" t="s">
        <v>105</v>
      </c>
      <c r="F6" s="9" t="s">
        <v>11</v>
      </c>
      <c r="G6" s="35">
        <v>1</v>
      </c>
      <c r="H6" s="36">
        <f t="shared" si="2"/>
        <v>1</v>
      </c>
      <c r="I6" s="30" t="s">
        <v>13</v>
      </c>
      <c r="J6" s="10"/>
      <c r="R6" s="26" t="s">
        <v>86</v>
      </c>
      <c r="S6" s="26" t="s">
        <v>91</v>
      </c>
      <c r="T6" s="26">
        <v>4</v>
      </c>
      <c r="U6" s="27" t="s">
        <v>106</v>
      </c>
    </row>
    <row r="7" spans="1:21" x14ac:dyDescent="0.25">
      <c r="A7" s="31">
        <v>6</v>
      </c>
      <c r="B7" s="7" t="s">
        <v>18</v>
      </c>
      <c r="C7" s="8" t="s">
        <v>18</v>
      </c>
      <c r="D7" s="8" t="str">
        <f t="shared" si="0"/>
        <v>HYPFURFMDB72X30X05</v>
      </c>
      <c r="E7" s="8" t="s">
        <v>104</v>
      </c>
      <c r="F7" s="9" t="s">
        <v>12</v>
      </c>
      <c r="G7" s="36">
        <f>(L2+M2+6)*2*0.0254*0.037</f>
        <v>7.7063599999999982E-2</v>
      </c>
      <c r="H7" s="36">
        <f t="shared" si="2"/>
        <v>7.6999999999999999E-2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 t="s">
        <v>86</v>
      </c>
      <c r="S7" s="26" t="s">
        <v>92</v>
      </c>
      <c r="T7" s="26">
        <v>4</v>
      </c>
      <c r="U7" s="27" t="s">
        <v>106</v>
      </c>
    </row>
    <row r="8" spans="1:21" x14ac:dyDescent="0.25">
      <c r="A8" s="31">
        <v>7</v>
      </c>
      <c r="B8" s="7" t="s">
        <v>18</v>
      </c>
      <c r="C8" s="8" t="s">
        <v>18</v>
      </c>
      <c r="D8" s="8" t="str">
        <f t="shared" si="0"/>
        <v>HYPFURFMDB72X30X05</v>
      </c>
      <c r="E8" s="37" t="str">
        <f>+IF(M2=4,"RML-CS-CIR-FURNO-4.5",IF(M2=5,"RML-CS-CIR-5.5",IF(M2=6,"RML-CS-CIR-6.5""",0)))</f>
        <v>RML-CS-CIR-5.5</v>
      </c>
      <c r="F8" s="9" t="s">
        <v>11</v>
      </c>
      <c r="G8" s="35">
        <v>4</v>
      </c>
      <c r="H8" s="36">
        <f t="shared" si="2"/>
        <v>4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 t="s">
        <v>86</v>
      </c>
      <c r="S8" s="26" t="s">
        <v>93</v>
      </c>
      <c r="T8" s="26">
        <v>4</v>
      </c>
      <c r="U8" s="27" t="s">
        <v>106</v>
      </c>
    </row>
    <row r="9" spans="1:21" x14ac:dyDescent="0.25">
      <c r="A9" s="31">
        <v>8</v>
      </c>
      <c r="B9" s="7" t="s">
        <v>18</v>
      </c>
      <c r="C9" s="8" t="s">
        <v>18</v>
      </c>
      <c r="D9" s="8" t="str">
        <f t="shared" si="0"/>
        <v>HYPFURFMDB72X30X05</v>
      </c>
      <c r="E9" s="8" t="s">
        <v>19</v>
      </c>
      <c r="F9" s="9" t="s">
        <v>11</v>
      </c>
      <c r="G9" s="35">
        <v>1</v>
      </c>
      <c r="H9" s="36">
        <f t="shared" si="2"/>
        <v>1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 t="s">
        <v>86</v>
      </c>
      <c r="S9" s="26" t="s">
        <v>94</v>
      </c>
      <c r="T9" s="26">
        <v>4</v>
      </c>
      <c r="U9" s="27" t="s">
        <v>106</v>
      </c>
    </row>
    <row r="10" spans="1:21" x14ac:dyDescent="0.25">
      <c r="A10" s="31">
        <v>9</v>
      </c>
      <c r="B10" s="7" t="s">
        <v>18</v>
      </c>
      <c r="C10" s="8" t="s">
        <v>18</v>
      </c>
      <c r="D10" s="8" t="str">
        <f t="shared" si="0"/>
        <v>HYPFURFMDB72X30X05</v>
      </c>
      <c r="E10" s="8" t="s">
        <v>20</v>
      </c>
      <c r="F10" s="9" t="s">
        <v>11</v>
      </c>
      <c r="G10" s="35">
        <v>1</v>
      </c>
      <c r="H10" s="36">
        <f t="shared" si="2"/>
        <v>1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 t="s">
        <v>95</v>
      </c>
      <c r="S10" s="26" t="s">
        <v>87</v>
      </c>
      <c r="T10" s="26">
        <v>4</v>
      </c>
      <c r="U10" s="27" t="s">
        <v>106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0"/>
        <v>HYPFURFMDB72X30X05</v>
      </c>
      <c r="E11" s="15" t="s">
        <v>110</v>
      </c>
      <c r="F11" s="9" t="s">
        <v>12</v>
      </c>
      <c r="G11" s="35">
        <f>(IF(K2&lt;79,(L2*2)+(M2*2),(K2*2)+(M2*2))+4)*89.5*0.0254*0.0254*0.00005*1300</f>
        <v>0.27773815419999998</v>
      </c>
      <c r="H11" s="36">
        <f t="shared" si="2"/>
        <v>0.27800000000000002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 t="s">
        <v>95</v>
      </c>
      <c r="S11" s="26" t="s">
        <v>88</v>
      </c>
      <c r="T11" s="26">
        <v>4</v>
      </c>
      <c r="U11" s="27" t="s">
        <v>106</v>
      </c>
    </row>
    <row r="12" spans="1:21" x14ac:dyDescent="0.25">
      <c r="A12" s="31">
        <v>11</v>
      </c>
      <c r="B12" s="7" t="s">
        <v>16</v>
      </c>
      <c r="C12" s="8" t="s">
        <v>99</v>
      </c>
      <c r="D12" s="8" t="str">
        <f t="shared" si="0"/>
        <v>HYPFURFMDB72X30X05</v>
      </c>
      <c r="E12" s="33" t="str">
        <f>"FURNO-FOAM-BLOCK-"&amp;K2&amp;"X"&amp;L2&amp;"X"&amp;IF(M2=4,"04",IF(M2=5,"05","06"))</f>
        <v>FURNO-FOAM-BLOCK-72X30X05</v>
      </c>
      <c r="F12" s="9" t="s">
        <v>11</v>
      </c>
      <c r="G12" s="36">
        <v>1</v>
      </c>
      <c r="H12" s="36">
        <f t="shared" si="2"/>
        <v>1</v>
      </c>
      <c r="I12" s="32" t="s">
        <v>15</v>
      </c>
      <c r="J12" s="10"/>
      <c r="K12" s="14"/>
      <c r="L12" s="14"/>
      <c r="M12" s="14"/>
      <c r="N12" s="14"/>
      <c r="O12" s="14"/>
      <c r="P12" s="14"/>
      <c r="Q12" s="14"/>
      <c r="R12" s="26" t="s">
        <v>95</v>
      </c>
      <c r="S12" s="26" t="s">
        <v>89</v>
      </c>
      <c r="T12" s="26">
        <v>4</v>
      </c>
      <c r="U12" s="27" t="s">
        <v>106</v>
      </c>
    </row>
    <row r="13" spans="1:21" x14ac:dyDescent="0.25">
      <c r="A13" s="31">
        <v>12</v>
      </c>
      <c r="B13" s="7" t="s">
        <v>100</v>
      </c>
      <c r="C13" s="8" t="s">
        <v>112</v>
      </c>
      <c r="D13" s="8" t="str">
        <f t="shared" si="0"/>
        <v>HYPFURFMDB72X30X05</v>
      </c>
      <c r="E13" s="43" t="s">
        <v>111</v>
      </c>
      <c r="F13" s="9" t="s">
        <v>14</v>
      </c>
      <c r="G13" s="34">
        <f>(K2+L2+1.5)*2*0.0254*14*2</f>
        <v>147.21839999999997</v>
      </c>
      <c r="H13" s="36">
        <f t="shared" ref="H13" si="3">ROUND(G13,3)</f>
        <v>147.21799999999999</v>
      </c>
      <c r="I13" s="30" t="s">
        <v>13</v>
      </c>
      <c r="J13" s="10"/>
      <c r="K13" s="16"/>
      <c r="R13" s="26" t="s">
        <v>95</v>
      </c>
      <c r="S13" s="26" t="s">
        <v>90</v>
      </c>
      <c r="T13" s="26">
        <v>4</v>
      </c>
      <c r="U13" s="27" t="s">
        <v>106</v>
      </c>
    </row>
    <row r="14" spans="1:21" x14ac:dyDescent="0.25">
      <c r="A14" s="31">
        <v>13</v>
      </c>
      <c r="B14" s="7" t="s">
        <v>100</v>
      </c>
      <c r="C14" s="8" t="s">
        <v>112</v>
      </c>
      <c r="D14" s="8" t="str">
        <f t="shared" si="0"/>
        <v>HYPFURFMDB72X30X05</v>
      </c>
      <c r="E14" s="43" t="s">
        <v>114</v>
      </c>
      <c r="F14" s="9" t="s">
        <v>11</v>
      </c>
      <c r="G14" s="35">
        <v>1</v>
      </c>
      <c r="H14" s="35">
        <f>ROUND(G14,3)</f>
        <v>1</v>
      </c>
      <c r="I14" s="30" t="s">
        <v>13</v>
      </c>
      <c r="J14" s="10"/>
      <c r="M14" s="16"/>
      <c r="O14" s="16"/>
      <c r="R14" s="26" t="s">
        <v>95</v>
      </c>
      <c r="S14" s="26" t="s">
        <v>91</v>
      </c>
      <c r="T14" s="26">
        <v>4</v>
      </c>
      <c r="U14" s="27" t="s">
        <v>106</v>
      </c>
    </row>
    <row r="15" spans="1:21" x14ac:dyDescent="0.25">
      <c r="A15" s="31">
        <v>14</v>
      </c>
      <c r="B15" s="7" t="s">
        <v>100</v>
      </c>
      <c r="C15" s="8" t="s">
        <v>112</v>
      </c>
      <c r="D15" s="8" t="str">
        <f t="shared" si="0"/>
        <v>HYPFURFMDB72X30X05</v>
      </c>
      <c r="E15" s="44" t="s">
        <v>113</v>
      </c>
      <c r="F15" s="46" t="s">
        <v>11</v>
      </c>
      <c r="G15" s="35">
        <v>1</v>
      </c>
      <c r="H15" s="35">
        <f>ROUND(G15,3)</f>
        <v>1</v>
      </c>
      <c r="I15" s="30" t="s">
        <v>13</v>
      </c>
      <c r="J15" s="10"/>
      <c r="N15"/>
      <c r="O15"/>
      <c r="R15" s="26" t="s">
        <v>95</v>
      </c>
      <c r="S15" s="26" t="s">
        <v>92</v>
      </c>
      <c r="T15" s="26">
        <v>4</v>
      </c>
      <c r="U15" s="27" t="s">
        <v>106</v>
      </c>
    </row>
    <row r="16" spans="1:21" x14ac:dyDescent="0.25">
      <c r="A16" s="31">
        <v>15</v>
      </c>
      <c r="B16" s="7" t="s">
        <v>100</v>
      </c>
      <c r="C16" s="8" t="s">
        <v>112</v>
      </c>
      <c r="D16" s="8" t="str">
        <f t="shared" si="0"/>
        <v>HYPFURFMDB72X30X05</v>
      </c>
      <c r="E16" s="44" t="s">
        <v>116</v>
      </c>
      <c r="F16" s="47" t="s">
        <v>14</v>
      </c>
      <c r="G16" s="48">
        <v>20</v>
      </c>
      <c r="H16" s="48">
        <f>ROUND(G16,3)</f>
        <v>20</v>
      </c>
      <c r="I16" s="30" t="s">
        <v>13</v>
      </c>
      <c r="J16" s="10"/>
      <c r="M16" s="16"/>
      <c r="N16"/>
      <c r="O16"/>
      <c r="R16" s="26" t="s">
        <v>95</v>
      </c>
      <c r="S16" s="26" t="s">
        <v>93</v>
      </c>
      <c r="T16" s="26">
        <v>4</v>
      </c>
      <c r="U16" s="27" t="s">
        <v>106</v>
      </c>
    </row>
    <row r="17" spans="5:21" x14ac:dyDescent="0.25">
      <c r="J17" s="10"/>
      <c r="N17"/>
      <c r="O17"/>
      <c r="R17" s="26" t="s">
        <v>95</v>
      </c>
      <c r="S17" s="26" t="s">
        <v>94</v>
      </c>
      <c r="T17" s="26">
        <v>4</v>
      </c>
      <c r="U17" s="27" t="s">
        <v>106</v>
      </c>
    </row>
    <row r="18" spans="5:21" x14ac:dyDescent="0.25">
      <c r="J18" s="10"/>
      <c r="N18"/>
      <c r="O18"/>
      <c r="R18" s="26" t="s">
        <v>96</v>
      </c>
      <c r="S18" s="26" t="s">
        <v>87</v>
      </c>
      <c r="T18" s="26">
        <v>4</v>
      </c>
      <c r="U18" s="27" t="s">
        <v>106</v>
      </c>
    </row>
    <row r="19" spans="5:21" x14ac:dyDescent="0.25">
      <c r="J19" s="10"/>
      <c r="N19"/>
      <c r="O19"/>
      <c r="R19" s="26" t="s">
        <v>96</v>
      </c>
      <c r="S19" s="26" t="s">
        <v>88</v>
      </c>
      <c r="T19" s="26">
        <v>4</v>
      </c>
      <c r="U19" s="27" t="s">
        <v>106</v>
      </c>
    </row>
    <row r="20" spans="5:21" x14ac:dyDescent="0.25">
      <c r="J20" s="10"/>
      <c r="N20" s="25"/>
      <c r="O20"/>
      <c r="R20" s="26" t="s">
        <v>96</v>
      </c>
      <c r="S20" s="26" t="s">
        <v>89</v>
      </c>
      <c r="T20" s="26">
        <v>4</v>
      </c>
      <c r="U20" s="27" t="s">
        <v>106</v>
      </c>
    </row>
    <row r="21" spans="5:21" x14ac:dyDescent="0.25">
      <c r="J21" s="10"/>
      <c r="N21"/>
      <c r="O21"/>
      <c r="R21" s="26" t="s">
        <v>96</v>
      </c>
      <c r="S21" s="26" t="s">
        <v>90</v>
      </c>
      <c r="T21" s="26">
        <v>4</v>
      </c>
      <c r="U21" s="27" t="s">
        <v>106</v>
      </c>
    </row>
    <row r="22" spans="5:21" x14ac:dyDescent="0.25">
      <c r="J22" s="10"/>
      <c r="N22"/>
      <c r="O22"/>
      <c r="R22" s="26" t="s">
        <v>96</v>
      </c>
      <c r="S22" s="26" t="s">
        <v>91</v>
      </c>
      <c r="T22" s="26">
        <v>4</v>
      </c>
      <c r="U22" s="27" t="s">
        <v>106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 t="s">
        <v>96</v>
      </c>
      <c r="S23" s="26" t="s">
        <v>92</v>
      </c>
      <c r="T23" s="26">
        <v>4</v>
      </c>
      <c r="U23" s="27" t="s">
        <v>106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 t="s">
        <v>96</v>
      </c>
      <c r="S24" s="26" t="s">
        <v>93</v>
      </c>
      <c r="T24" s="26">
        <v>4</v>
      </c>
      <c r="U24" s="27" t="s">
        <v>106</v>
      </c>
    </row>
    <row r="25" spans="5:21" x14ac:dyDescent="0.25">
      <c r="N25"/>
      <c r="O25"/>
      <c r="R25" s="26" t="s">
        <v>96</v>
      </c>
      <c r="S25" s="26" t="s">
        <v>94</v>
      </c>
      <c r="T25" s="26">
        <v>4</v>
      </c>
      <c r="U25" s="27" t="s">
        <v>106</v>
      </c>
    </row>
    <row r="26" spans="5:21" x14ac:dyDescent="0.25">
      <c r="N26"/>
      <c r="O26"/>
      <c r="R26" s="26" t="s">
        <v>97</v>
      </c>
      <c r="S26" s="26" t="s">
        <v>87</v>
      </c>
      <c r="T26" s="26">
        <v>4</v>
      </c>
      <c r="U26" s="27" t="s">
        <v>106</v>
      </c>
    </row>
    <row r="27" spans="5:21" x14ac:dyDescent="0.25">
      <c r="N27"/>
      <c r="O27"/>
      <c r="R27" s="26" t="s">
        <v>97</v>
      </c>
      <c r="S27" s="26" t="s">
        <v>88</v>
      </c>
      <c r="T27" s="26">
        <v>4</v>
      </c>
      <c r="U27" s="27" t="s">
        <v>106</v>
      </c>
    </row>
    <row r="28" spans="5:21" x14ac:dyDescent="0.25">
      <c r="M28" s="16"/>
      <c r="N28"/>
      <c r="O28"/>
      <c r="R28" s="26" t="s">
        <v>97</v>
      </c>
      <c r="S28" s="26" t="s">
        <v>89</v>
      </c>
      <c r="T28" s="26">
        <v>4</v>
      </c>
      <c r="U28" s="27" t="s">
        <v>106</v>
      </c>
    </row>
    <row r="29" spans="5:21" x14ac:dyDescent="0.25">
      <c r="E29" s="16"/>
      <c r="N29"/>
      <c r="O29"/>
      <c r="R29" s="26" t="s">
        <v>97</v>
      </c>
      <c r="S29" s="26" t="s">
        <v>90</v>
      </c>
      <c r="T29" s="26">
        <v>4</v>
      </c>
      <c r="U29" s="27" t="s">
        <v>106</v>
      </c>
    </row>
    <row r="30" spans="5:21" x14ac:dyDescent="0.25">
      <c r="H30" s="16"/>
      <c r="N30"/>
      <c r="O30"/>
      <c r="R30" s="26" t="s">
        <v>97</v>
      </c>
      <c r="S30" s="26" t="s">
        <v>91</v>
      </c>
      <c r="T30" s="26">
        <v>4</v>
      </c>
      <c r="U30" s="27" t="s">
        <v>106</v>
      </c>
    </row>
    <row r="31" spans="5:21" x14ac:dyDescent="0.25">
      <c r="N31"/>
      <c r="O31"/>
      <c r="R31" s="26" t="s">
        <v>97</v>
      </c>
      <c r="S31" s="26" t="s">
        <v>92</v>
      </c>
      <c r="T31" s="26">
        <v>4</v>
      </c>
      <c r="U31" s="27" t="s">
        <v>106</v>
      </c>
    </row>
    <row r="32" spans="5:21" x14ac:dyDescent="0.25">
      <c r="N32"/>
      <c r="O32"/>
      <c r="R32" s="26" t="s">
        <v>97</v>
      </c>
      <c r="S32" s="26" t="s">
        <v>93</v>
      </c>
      <c r="T32" s="26">
        <v>4</v>
      </c>
      <c r="U32" s="27" t="s">
        <v>106</v>
      </c>
    </row>
    <row r="33" spans="14:21" x14ac:dyDescent="0.25">
      <c r="N33"/>
      <c r="O33"/>
      <c r="R33" s="26" t="s">
        <v>97</v>
      </c>
      <c r="S33" s="26" t="s">
        <v>94</v>
      </c>
      <c r="T33" s="26">
        <v>4</v>
      </c>
      <c r="U33" s="27" t="s">
        <v>106</v>
      </c>
    </row>
    <row r="34" spans="14:21" x14ac:dyDescent="0.25">
      <c r="N34"/>
      <c r="O34"/>
      <c r="R34" s="26" t="s">
        <v>98</v>
      </c>
      <c r="S34" s="26" t="s">
        <v>87</v>
      </c>
      <c r="T34" s="26">
        <v>4</v>
      </c>
      <c r="U34" s="27" t="s">
        <v>106</v>
      </c>
    </row>
    <row r="35" spans="14:21" x14ac:dyDescent="0.25">
      <c r="N35"/>
      <c r="O35"/>
      <c r="R35" s="26" t="s">
        <v>98</v>
      </c>
      <c r="S35" s="26" t="s">
        <v>88</v>
      </c>
      <c r="T35" s="26">
        <v>4</v>
      </c>
      <c r="U35" s="27" t="s">
        <v>106</v>
      </c>
    </row>
    <row r="36" spans="14:21" x14ac:dyDescent="0.25">
      <c r="N36"/>
      <c r="O36"/>
      <c r="R36" s="26" t="s">
        <v>98</v>
      </c>
      <c r="S36" s="26" t="s">
        <v>89</v>
      </c>
      <c r="T36" s="26">
        <v>4</v>
      </c>
      <c r="U36" s="27" t="s">
        <v>106</v>
      </c>
    </row>
    <row r="37" spans="14:21" x14ac:dyDescent="0.25">
      <c r="N37"/>
      <c r="O37"/>
      <c r="R37" s="26" t="s">
        <v>98</v>
      </c>
      <c r="S37" s="26" t="s">
        <v>90</v>
      </c>
      <c r="T37" s="26">
        <v>4</v>
      </c>
      <c r="U37" s="27" t="s">
        <v>106</v>
      </c>
    </row>
    <row r="38" spans="14:21" x14ac:dyDescent="0.25">
      <c r="N38"/>
      <c r="O38"/>
      <c r="R38" s="26" t="s">
        <v>98</v>
      </c>
      <c r="S38" s="26" t="s">
        <v>91</v>
      </c>
      <c r="T38" s="26">
        <v>4</v>
      </c>
      <c r="U38" s="27" t="s">
        <v>106</v>
      </c>
    </row>
    <row r="39" spans="14:21" x14ac:dyDescent="0.25">
      <c r="N39"/>
      <c r="O39"/>
      <c r="R39" s="26" t="s">
        <v>98</v>
      </c>
      <c r="S39" s="26" t="s">
        <v>92</v>
      </c>
      <c r="T39" s="26">
        <v>4</v>
      </c>
      <c r="U39" s="27" t="s">
        <v>106</v>
      </c>
    </row>
    <row r="40" spans="14:21" x14ac:dyDescent="0.25">
      <c r="N40"/>
      <c r="O40"/>
      <c r="R40" s="26" t="s">
        <v>98</v>
      </c>
      <c r="S40" s="26" t="s">
        <v>93</v>
      </c>
      <c r="T40" s="26">
        <v>4</v>
      </c>
      <c r="U40" s="27" t="s">
        <v>106</v>
      </c>
    </row>
    <row r="41" spans="14:21" x14ac:dyDescent="0.25">
      <c r="N41"/>
      <c r="O41"/>
      <c r="R41" s="26" t="s">
        <v>98</v>
      </c>
      <c r="S41" s="26" t="s">
        <v>94</v>
      </c>
      <c r="T41" s="26">
        <v>4</v>
      </c>
      <c r="U41" s="27" t="s">
        <v>106</v>
      </c>
    </row>
    <row r="42" spans="14:21" x14ac:dyDescent="0.25">
      <c r="N42"/>
      <c r="O42"/>
      <c r="R42" s="26" t="s">
        <v>86</v>
      </c>
      <c r="S42" s="26" t="s">
        <v>87</v>
      </c>
      <c r="T42" s="26">
        <v>5</v>
      </c>
      <c r="U42" s="27" t="s">
        <v>106</v>
      </c>
    </row>
    <row r="43" spans="14:21" x14ac:dyDescent="0.25">
      <c r="N43"/>
      <c r="O43"/>
      <c r="R43" s="26" t="s">
        <v>86</v>
      </c>
      <c r="S43" s="26" t="s">
        <v>88</v>
      </c>
      <c r="T43" s="26">
        <v>5</v>
      </c>
      <c r="U43" s="27" t="s">
        <v>106</v>
      </c>
    </row>
    <row r="44" spans="14:21" x14ac:dyDescent="0.25">
      <c r="N44"/>
      <c r="O44"/>
      <c r="R44" s="26" t="s">
        <v>86</v>
      </c>
      <c r="S44" s="26" t="s">
        <v>89</v>
      </c>
      <c r="T44" s="26">
        <v>5</v>
      </c>
      <c r="U44" s="27" t="s">
        <v>106</v>
      </c>
    </row>
    <row r="45" spans="14:21" x14ac:dyDescent="0.25">
      <c r="N45"/>
      <c r="O45"/>
      <c r="R45" s="26" t="s">
        <v>86</v>
      </c>
      <c r="S45" s="26" t="s">
        <v>90</v>
      </c>
      <c r="T45" s="26">
        <v>5</v>
      </c>
      <c r="U45" s="27" t="s">
        <v>106</v>
      </c>
    </row>
    <row r="46" spans="14:21" x14ac:dyDescent="0.25">
      <c r="N46"/>
      <c r="O46"/>
      <c r="R46" s="26" t="s">
        <v>86</v>
      </c>
      <c r="S46" s="26" t="s">
        <v>91</v>
      </c>
      <c r="T46" s="26">
        <v>5</v>
      </c>
      <c r="U46" s="27" t="s">
        <v>106</v>
      </c>
    </row>
    <row r="47" spans="14:21" x14ac:dyDescent="0.25">
      <c r="N47"/>
      <c r="O47"/>
      <c r="R47" s="26" t="s">
        <v>86</v>
      </c>
      <c r="S47" s="26" t="s">
        <v>92</v>
      </c>
      <c r="T47" s="26">
        <v>5</v>
      </c>
      <c r="U47" s="27" t="s">
        <v>106</v>
      </c>
    </row>
    <row r="48" spans="14:21" x14ac:dyDescent="0.25">
      <c r="N48"/>
      <c r="O48"/>
      <c r="R48" s="26" t="s">
        <v>86</v>
      </c>
      <c r="S48" s="26" t="s">
        <v>93</v>
      </c>
      <c r="T48" s="26">
        <v>5</v>
      </c>
      <c r="U48" s="27" t="s">
        <v>106</v>
      </c>
    </row>
    <row r="49" spans="14:21" x14ac:dyDescent="0.25">
      <c r="N49"/>
      <c r="O49"/>
      <c r="R49" s="26" t="s">
        <v>86</v>
      </c>
      <c r="S49" s="26" t="s">
        <v>94</v>
      </c>
      <c r="T49" s="26">
        <v>5</v>
      </c>
      <c r="U49" s="27" t="s">
        <v>106</v>
      </c>
    </row>
    <row r="50" spans="14:21" x14ac:dyDescent="0.25">
      <c r="R50" s="26" t="s">
        <v>95</v>
      </c>
      <c r="S50" s="26" t="s">
        <v>87</v>
      </c>
      <c r="T50" s="26">
        <v>5</v>
      </c>
      <c r="U50" s="27" t="s">
        <v>106</v>
      </c>
    </row>
    <row r="51" spans="14:21" x14ac:dyDescent="0.25">
      <c r="R51" s="26" t="s">
        <v>95</v>
      </c>
      <c r="S51" s="26" t="s">
        <v>88</v>
      </c>
      <c r="T51" s="26">
        <v>5</v>
      </c>
      <c r="U51" s="27" t="s">
        <v>106</v>
      </c>
    </row>
    <row r="52" spans="14:21" x14ac:dyDescent="0.25">
      <c r="R52" s="26" t="s">
        <v>95</v>
      </c>
      <c r="S52" s="26" t="s">
        <v>89</v>
      </c>
      <c r="T52" s="26">
        <v>5</v>
      </c>
      <c r="U52" s="27" t="s">
        <v>106</v>
      </c>
    </row>
    <row r="53" spans="14:21" x14ac:dyDescent="0.25">
      <c r="R53" s="26" t="s">
        <v>95</v>
      </c>
      <c r="S53" s="26" t="s">
        <v>90</v>
      </c>
      <c r="T53" s="26">
        <v>5</v>
      </c>
      <c r="U53" s="27" t="s">
        <v>106</v>
      </c>
    </row>
    <row r="54" spans="14:21" x14ac:dyDescent="0.25">
      <c r="R54" s="26" t="s">
        <v>95</v>
      </c>
      <c r="S54" s="26" t="s">
        <v>91</v>
      </c>
      <c r="T54" s="26">
        <v>5</v>
      </c>
      <c r="U54" s="27" t="s">
        <v>106</v>
      </c>
    </row>
    <row r="55" spans="14:21" x14ac:dyDescent="0.25">
      <c r="R55" s="26" t="s">
        <v>95</v>
      </c>
      <c r="S55" s="26" t="s">
        <v>92</v>
      </c>
      <c r="T55" s="26">
        <v>5</v>
      </c>
      <c r="U55" s="27" t="s">
        <v>106</v>
      </c>
    </row>
    <row r="56" spans="14:21" x14ac:dyDescent="0.25">
      <c r="R56" s="26" t="s">
        <v>95</v>
      </c>
      <c r="S56" s="26" t="s">
        <v>93</v>
      </c>
      <c r="T56" s="26">
        <v>5</v>
      </c>
      <c r="U56" s="27" t="s">
        <v>106</v>
      </c>
    </row>
    <row r="57" spans="14:21" x14ac:dyDescent="0.25">
      <c r="R57" s="26" t="s">
        <v>95</v>
      </c>
      <c r="S57" s="26" t="s">
        <v>94</v>
      </c>
      <c r="T57" s="26">
        <v>5</v>
      </c>
      <c r="U57" s="27" t="s">
        <v>106</v>
      </c>
    </row>
    <row r="58" spans="14:21" x14ac:dyDescent="0.25">
      <c r="R58" s="26" t="s">
        <v>96</v>
      </c>
      <c r="S58" s="26" t="s">
        <v>87</v>
      </c>
      <c r="T58" s="26">
        <v>5</v>
      </c>
      <c r="U58" s="27" t="s">
        <v>106</v>
      </c>
    </row>
    <row r="59" spans="14:21" x14ac:dyDescent="0.25">
      <c r="R59" s="26" t="s">
        <v>96</v>
      </c>
      <c r="S59" s="26" t="s">
        <v>88</v>
      </c>
      <c r="T59" s="26">
        <v>5</v>
      </c>
      <c r="U59" s="27" t="s">
        <v>106</v>
      </c>
    </row>
    <row r="60" spans="14:21" x14ac:dyDescent="0.25">
      <c r="R60" s="26" t="s">
        <v>96</v>
      </c>
      <c r="S60" s="26" t="s">
        <v>89</v>
      </c>
      <c r="T60" s="26">
        <v>5</v>
      </c>
      <c r="U60" s="27" t="s">
        <v>106</v>
      </c>
    </row>
    <row r="61" spans="14:21" x14ac:dyDescent="0.25">
      <c r="R61" s="26" t="s">
        <v>96</v>
      </c>
      <c r="S61" s="26" t="s">
        <v>90</v>
      </c>
      <c r="T61" s="26">
        <v>5</v>
      </c>
      <c r="U61" s="27" t="s">
        <v>106</v>
      </c>
    </row>
    <row r="62" spans="14:21" x14ac:dyDescent="0.25">
      <c r="R62" s="26" t="s">
        <v>96</v>
      </c>
      <c r="S62" s="26" t="s">
        <v>91</v>
      </c>
      <c r="T62" s="26">
        <v>5</v>
      </c>
      <c r="U62" s="27" t="s">
        <v>106</v>
      </c>
    </row>
    <row r="63" spans="14:21" x14ac:dyDescent="0.25">
      <c r="R63" s="26" t="s">
        <v>96</v>
      </c>
      <c r="S63" s="26" t="s">
        <v>92</v>
      </c>
      <c r="T63" s="26">
        <v>5</v>
      </c>
      <c r="U63" s="27" t="s">
        <v>106</v>
      </c>
    </row>
    <row r="64" spans="14:21" x14ac:dyDescent="0.25">
      <c r="R64" s="26" t="s">
        <v>96</v>
      </c>
      <c r="S64" s="26" t="s">
        <v>93</v>
      </c>
      <c r="T64" s="26">
        <v>5</v>
      </c>
      <c r="U64" s="27" t="s">
        <v>106</v>
      </c>
    </row>
    <row r="65" spans="18:21" x14ac:dyDescent="0.25">
      <c r="R65" s="26" t="s">
        <v>96</v>
      </c>
      <c r="S65" s="26" t="s">
        <v>94</v>
      </c>
      <c r="T65" s="26">
        <v>5</v>
      </c>
      <c r="U65" s="27" t="s">
        <v>106</v>
      </c>
    </row>
    <row r="66" spans="18:21" x14ac:dyDescent="0.25">
      <c r="R66" s="26" t="s">
        <v>97</v>
      </c>
      <c r="S66" s="26" t="s">
        <v>87</v>
      </c>
      <c r="T66" s="26">
        <v>5</v>
      </c>
      <c r="U66" s="27" t="s">
        <v>106</v>
      </c>
    </row>
    <row r="67" spans="18:21" x14ac:dyDescent="0.25">
      <c r="R67" s="26" t="s">
        <v>97</v>
      </c>
      <c r="S67" s="26" t="s">
        <v>88</v>
      </c>
      <c r="T67" s="26">
        <v>5</v>
      </c>
      <c r="U67" s="27" t="s">
        <v>106</v>
      </c>
    </row>
    <row r="68" spans="18:21" x14ac:dyDescent="0.25">
      <c r="R68" s="26" t="s">
        <v>97</v>
      </c>
      <c r="S68" s="26" t="s">
        <v>89</v>
      </c>
      <c r="T68" s="26">
        <v>5</v>
      </c>
      <c r="U68" s="27" t="s">
        <v>106</v>
      </c>
    </row>
    <row r="69" spans="18:21" x14ac:dyDescent="0.25">
      <c r="R69" s="26" t="s">
        <v>97</v>
      </c>
      <c r="S69" s="26" t="s">
        <v>90</v>
      </c>
      <c r="T69" s="26">
        <v>5</v>
      </c>
      <c r="U69" s="27" t="s">
        <v>106</v>
      </c>
    </row>
    <row r="70" spans="18:21" x14ac:dyDescent="0.25">
      <c r="R70" s="26" t="s">
        <v>97</v>
      </c>
      <c r="S70" s="26" t="s">
        <v>91</v>
      </c>
      <c r="T70" s="26">
        <v>5</v>
      </c>
      <c r="U70" s="27" t="s">
        <v>106</v>
      </c>
    </row>
    <row r="71" spans="18:21" x14ac:dyDescent="0.25">
      <c r="R71" s="26" t="s">
        <v>97</v>
      </c>
      <c r="S71" s="26" t="s">
        <v>92</v>
      </c>
      <c r="T71" s="26">
        <v>5</v>
      </c>
      <c r="U71" s="27" t="s">
        <v>106</v>
      </c>
    </row>
    <row r="72" spans="18:21" x14ac:dyDescent="0.25">
      <c r="R72" s="26" t="s">
        <v>97</v>
      </c>
      <c r="S72" s="26" t="s">
        <v>93</v>
      </c>
      <c r="T72" s="26">
        <v>5</v>
      </c>
      <c r="U72" s="27" t="s">
        <v>106</v>
      </c>
    </row>
    <row r="73" spans="18:21" x14ac:dyDescent="0.25">
      <c r="R73" s="26" t="s">
        <v>97</v>
      </c>
      <c r="S73" s="26" t="s">
        <v>94</v>
      </c>
      <c r="T73" s="26">
        <v>5</v>
      </c>
      <c r="U73" s="27" t="s">
        <v>106</v>
      </c>
    </row>
    <row r="74" spans="18:21" x14ac:dyDescent="0.25">
      <c r="R74" s="26" t="s">
        <v>98</v>
      </c>
      <c r="S74" s="26" t="s">
        <v>87</v>
      </c>
      <c r="T74" s="26">
        <v>5</v>
      </c>
      <c r="U74" s="27" t="s">
        <v>106</v>
      </c>
    </row>
    <row r="75" spans="18:21" x14ac:dyDescent="0.25">
      <c r="R75" s="26" t="s">
        <v>98</v>
      </c>
      <c r="S75" s="26" t="s">
        <v>88</v>
      </c>
      <c r="T75" s="26">
        <v>5</v>
      </c>
      <c r="U75" s="27" t="s">
        <v>106</v>
      </c>
    </row>
    <row r="76" spans="18:21" x14ac:dyDescent="0.25">
      <c r="R76" s="26" t="s">
        <v>98</v>
      </c>
      <c r="S76" s="26" t="s">
        <v>89</v>
      </c>
      <c r="T76" s="26">
        <v>5</v>
      </c>
      <c r="U76" s="27" t="s">
        <v>106</v>
      </c>
    </row>
    <row r="77" spans="18:21" x14ac:dyDescent="0.25">
      <c r="R77" s="26" t="s">
        <v>98</v>
      </c>
      <c r="S77" s="26" t="s">
        <v>90</v>
      </c>
      <c r="T77" s="26">
        <v>5</v>
      </c>
      <c r="U77" s="27" t="s">
        <v>106</v>
      </c>
    </row>
    <row r="78" spans="18:21" x14ac:dyDescent="0.25">
      <c r="R78" s="26" t="s">
        <v>98</v>
      </c>
      <c r="S78" s="26" t="s">
        <v>91</v>
      </c>
      <c r="T78" s="26">
        <v>5</v>
      </c>
      <c r="U78" s="27" t="s">
        <v>106</v>
      </c>
    </row>
    <row r="79" spans="18:21" x14ac:dyDescent="0.25">
      <c r="R79" s="26" t="s">
        <v>98</v>
      </c>
      <c r="S79" s="26" t="s">
        <v>92</v>
      </c>
      <c r="T79" s="26">
        <v>5</v>
      </c>
      <c r="U79" s="27" t="s">
        <v>106</v>
      </c>
    </row>
    <row r="80" spans="18:21" x14ac:dyDescent="0.25">
      <c r="R80" s="26" t="s">
        <v>98</v>
      </c>
      <c r="S80" s="26" t="s">
        <v>93</v>
      </c>
      <c r="T80" s="26">
        <v>5</v>
      </c>
      <c r="U80" s="27" t="s">
        <v>106</v>
      </c>
    </row>
    <row r="81" spans="18:21" x14ac:dyDescent="0.25">
      <c r="R81" s="26" t="s">
        <v>98</v>
      </c>
      <c r="S81" s="26" t="s">
        <v>94</v>
      </c>
      <c r="T81" s="26">
        <v>5</v>
      </c>
      <c r="U81" s="27" t="s">
        <v>106</v>
      </c>
    </row>
    <row r="82" spans="18:21" x14ac:dyDescent="0.25">
      <c r="R82" s="26" t="s">
        <v>86</v>
      </c>
      <c r="S82" s="26" t="s">
        <v>87</v>
      </c>
      <c r="T82" s="26">
        <v>6</v>
      </c>
      <c r="U82" s="27" t="s">
        <v>106</v>
      </c>
    </row>
    <row r="83" spans="18:21" x14ac:dyDescent="0.25">
      <c r="R83" s="26" t="s">
        <v>86</v>
      </c>
      <c r="S83" s="26" t="s">
        <v>88</v>
      </c>
      <c r="T83" s="26">
        <v>6</v>
      </c>
      <c r="U83" s="27" t="s">
        <v>106</v>
      </c>
    </row>
    <row r="84" spans="18:21" x14ac:dyDescent="0.25">
      <c r="R84" s="26" t="s">
        <v>86</v>
      </c>
      <c r="S84" s="26" t="s">
        <v>89</v>
      </c>
      <c r="T84" s="26">
        <v>6</v>
      </c>
      <c r="U84" s="27" t="s">
        <v>106</v>
      </c>
    </row>
    <row r="85" spans="18:21" x14ac:dyDescent="0.25">
      <c r="R85" s="26" t="s">
        <v>86</v>
      </c>
      <c r="S85" s="26" t="s">
        <v>90</v>
      </c>
      <c r="T85" s="26">
        <v>6</v>
      </c>
      <c r="U85" s="27" t="s">
        <v>106</v>
      </c>
    </row>
    <row r="86" spans="18:21" x14ac:dyDescent="0.25">
      <c r="R86" s="26" t="s">
        <v>86</v>
      </c>
      <c r="S86" s="26" t="s">
        <v>91</v>
      </c>
      <c r="T86" s="26">
        <v>6</v>
      </c>
      <c r="U86" s="27" t="s">
        <v>106</v>
      </c>
    </row>
    <row r="87" spans="18:21" x14ac:dyDescent="0.25">
      <c r="R87" s="26" t="s">
        <v>86</v>
      </c>
      <c r="S87" s="26" t="s">
        <v>92</v>
      </c>
      <c r="T87" s="26">
        <v>6</v>
      </c>
      <c r="U87" s="27" t="s">
        <v>106</v>
      </c>
    </row>
    <row r="88" spans="18:21" x14ac:dyDescent="0.25">
      <c r="R88" s="26" t="s">
        <v>86</v>
      </c>
      <c r="S88" s="26" t="s">
        <v>93</v>
      </c>
      <c r="T88" s="26">
        <v>6</v>
      </c>
      <c r="U88" s="27" t="s">
        <v>106</v>
      </c>
    </row>
    <row r="89" spans="18:21" x14ac:dyDescent="0.25">
      <c r="R89" s="26" t="s">
        <v>86</v>
      </c>
      <c r="S89" s="26" t="s">
        <v>94</v>
      </c>
      <c r="T89" s="26">
        <v>6</v>
      </c>
      <c r="U89" s="27" t="s">
        <v>106</v>
      </c>
    </row>
    <row r="90" spans="18:21" x14ac:dyDescent="0.25">
      <c r="R90" s="26" t="s">
        <v>95</v>
      </c>
      <c r="S90" s="26" t="s">
        <v>87</v>
      </c>
      <c r="T90" s="26">
        <v>6</v>
      </c>
      <c r="U90" s="27" t="s">
        <v>106</v>
      </c>
    </row>
    <row r="91" spans="18:21" x14ac:dyDescent="0.25">
      <c r="R91" s="26" t="s">
        <v>95</v>
      </c>
      <c r="S91" s="26" t="s">
        <v>88</v>
      </c>
      <c r="T91" s="26">
        <v>6</v>
      </c>
      <c r="U91" s="27" t="s">
        <v>106</v>
      </c>
    </row>
    <row r="92" spans="18:21" x14ac:dyDescent="0.25">
      <c r="R92" s="26" t="s">
        <v>95</v>
      </c>
      <c r="S92" s="26" t="s">
        <v>89</v>
      </c>
      <c r="T92" s="26">
        <v>6</v>
      </c>
      <c r="U92" s="27" t="s">
        <v>106</v>
      </c>
    </row>
    <row r="93" spans="18:21" x14ac:dyDescent="0.25">
      <c r="R93" s="26" t="s">
        <v>95</v>
      </c>
      <c r="S93" s="26" t="s">
        <v>90</v>
      </c>
      <c r="T93" s="26">
        <v>6</v>
      </c>
      <c r="U93" s="27" t="s">
        <v>106</v>
      </c>
    </row>
    <row r="94" spans="18:21" x14ac:dyDescent="0.25">
      <c r="R94" s="26" t="s">
        <v>95</v>
      </c>
      <c r="S94" s="26" t="s">
        <v>91</v>
      </c>
      <c r="T94" s="26">
        <v>6</v>
      </c>
      <c r="U94" s="27" t="s">
        <v>106</v>
      </c>
    </row>
    <row r="95" spans="18:21" x14ac:dyDescent="0.25">
      <c r="R95" s="26" t="s">
        <v>95</v>
      </c>
      <c r="S95" s="26" t="s">
        <v>92</v>
      </c>
      <c r="T95" s="26">
        <v>6</v>
      </c>
      <c r="U95" s="27" t="s">
        <v>106</v>
      </c>
    </row>
    <row r="96" spans="18:21" x14ac:dyDescent="0.25">
      <c r="R96" s="26" t="s">
        <v>95</v>
      </c>
      <c r="S96" s="26" t="s">
        <v>93</v>
      </c>
      <c r="T96" s="26">
        <v>6</v>
      </c>
      <c r="U96" s="27" t="s">
        <v>106</v>
      </c>
    </row>
    <row r="97" spans="18:21" x14ac:dyDescent="0.25">
      <c r="R97" s="26" t="s">
        <v>95</v>
      </c>
      <c r="S97" s="26" t="s">
        <v>94</v>
      </c>
      <c r="T97" s="26">
        <v>6</v>
      </c>
      <c r="U97" s="27" t="s">
        <v>106</v>
      </c>
    </row>
    <row r="98" spans="18:21" x14ac:dyDescent="0.25">
      <c r="R98" s="26" t="s">
        <v>96</v>
      </c>
      <c r="S98" s="26" t="s">
        <v>87</v>
      </c>
      <c r="T98" s="26">
        <v>6</v>
      </c>
      <c r="U98" s="27" t="s">
        <v>106</v>
      </c>
    </row>
    <row r="99" spans="18:21" x14ac:dyDescent="0.25">
      <c r="R99" s="26" t="s">
        <v>96</v>
      </c>
      <c r="S99" s="26" t="s">
        <v>88</v>
      </c>
      <c r="T99" s="26">
        <v>6</v>
      </c>
      <c r="U99" s="27" t="s">
        <v>106</v>
      </c>
    </row>
    <row r="100" spans="18:21" x14ac:dyDescent="0.25">
      <c r="R100" s="26" t="s">
        <v>96</v>
      </c>
      <c r="S100" s="26" t="s">
        <v>89</v>
      </c>
      <c r="T100" s="26">
        <v>6</v>
      </c>
      <c r="U100" s="27" t="s">
        <v>106</v>
      </c>
    </row>
    <row r="101" spans="18:21" x14ac:dyDescent="0.25">
      <c r="R101" s="26" t="s">
        <v>96</v>
      </c>
      <c r="S101" s="26" t="s">
        <v>90</v>
      </c>
      <c r="T101" s="26">
        <v>6</v>
      </c>
      <c r="U101" s="27" t="s">
        <v>106</v>
      </c>
    </row>
    <row r="102" spans="18:21" x14ac:dyDescent="0.25">
      <c r="R102" s="26" t="s">
        <v>96</v>
      </c>
      <c r="S102" s="26" t="s">
        <v>91</v>
      </c>
      <c r="T102" s="26">
        <v>6</v>
      </c>
      <c r="U102" s="27" t="s">
        <v>106</v>
      </c>
    </row>
    <row r="103" spans="18:21" x14ac:dyDescent="0.25">
      <c r="R103" s="26" t="s">
        <v>96</v>
      </c>
      <c r="S103" s="26" t="s">
        <v>92</v>
      </c>
      <c r="T103" s="26">
        <v>6</v>
      </c>
      <c r="U103" s="27" t="s">
        <v>106</v>
      </c>
    </row>
    <row r="104" spans="18:21" x14ac:dyDescent="0.25">
      <c r="R104" s="26" t="s">
        <v>96</v>
      </c>
      <c r="S104" s="26" t="s">
        <v>93</v>
      </c>
      <c r="T104" s="26">
        <v>6</v>
      </c>
      <c r="U104" s="27" t="s">
        <v>106</v>
      </c>
    </row>
    <row r="105" spans="18:21" x14ac:dyDescent="0.25">
      <c r="R105" s="26" t="s">
        <v>96</v>
      </c>
      <c r="S105" s="26" t="s">
        <v>94</v>
      </c>
      <c r="T105" s="26">
        <v>6</v>
      </c>
      <c r="U105" s="27" t="s">
        <v>106</v>
      </c>
    </row>
    <row r="106" spans="18:21" x14ac:dyDescent="0.25">
      <c r="R106" s="26" t="s">
        <v>97</v>
      </c>
      <c r="S106" s="26" t="s">
        <v>87</v>
      </c>
      <c r="T106" s="26">
        <v>6</v>
      </c>
      <c r="U106" s="27" t="s">
        <v>106</v>
      </c>
    </row>
    <row r="107" spans="18:21" x14ac:dyDescent="0.25">
      <c r="R107" s="26" t="s">
        <v>97</v>
      </c>
      <c r="S107" s="26" t="s">
        <v>88</v>
      </c>
      <c r="T107" s="26">
        <v>6</v>
      </c>
      <c r="U107" s="27" t="s">
        <v>106</v>
      </c>
    </row>
    <row r="108" spans="18:21" x14ac:dyDescent="0.25">
      <c r="R108" s="26" t="s">
        <v>97</v>
      </c>
      <c r="S108" s="26" t="s">
        <v>89</v>
      </c>
      <c r="T108" s="26">
        <v>6</v>
      </c>
      <c r="U108" s="27" t="s">
        <v>106</v>
      </c>
    </row>
    <row r="109" spans="18:21" x14ac:dyDescent="0.25">
      <c r="R109" s="26" t="s">
        <v>97</v>
      </c>
      <c r="S109" s="26" t="s">
        <v>90</v>
      </c>
      <c r="T109" s="26">
        <v>6</v>
      </c>
      <c r="U109" s="27" t="s">
        <v>106</v>
      </c>
    </row>
    <row r="110" spans="18:21" x14ac:dyDescent="0.25">
      <c r="R110" s="26" t="s">
        <v>97</v>
      </c>
      <c r="S110" s="26" t="s">
        <v>91</v>
      </c>
      <c r="T110" s="26">
        <v>6</v>
      </c>
      <c r="U110" s="27" t="s">
        <v>106</v>
      </c>
    </row>
    <row r="111" spans="18:21" x14ac:dyDescent="0.25">
      <c r="R111" s="26" t="s">
        <v>97</v>
      </c>
      <c r="S111" s="26" t="s">
        <v>92</v>
      </c>
      <c r="T111" s="26">
        <v>6</v>
      </c>
      <c r="U111" s="27" t="s">
        <v>106</v>
      </c>
    </row>
    <row r="112" spans="18:21" x14ac:dyDescent="0.25">
      <c r="R112" s="26" t="s">
        <v>97</v>
      </c>
      <c r="S112" s="26" t="s">
        <v>93</v>
      </c>
      <c r="T112" s="26">
        <v>6</v>
      </c>
      <c r="U112" s="27" t="s">
        <v>106</v>
      </c>
    </row>
    <row r="113" spans="18:21" x14ac:dyDescent="0.25">
      <c r="R113" s="26" t="s">
        <v>97</v>
      </c>
      <c r="S113" s="26" t="s">
        <v>94</v>
      </c>
      <c r="T113" s="26">
        <v>6</v>
      </c>
      <c r="U113" s="27" t="s">
        <v>106</v>
      </c>
    </row>
    <row r="114" spans="18:21" x14ac:dyDescent="0.25">
      <c r="R114" s="26" t="s">
        <v>98</v>
      </c>
      <c r="S114" s="26" t="s">
        <v>87</v>
      </c>
      <c r="T114" s="26">
        <v>6</v>
      </c>
      <c r="U114" s="27" t="s">
        <v>106</v>
      </c>
    </row>
    <row r="115" spans="18:21" x14ac:dyDescent="0.25">
      <c r="R115" s="26" t="s">
        <v>98</v>
      </c>
      <c r="S115" s="26" t="s">
        <v>88</v>
      </c>
      <c r="T115" s="26">
        <v>6</v>
      </c>
      <c r="U115" s="27" t="s">
        <v>106</v>
      </c>
    </row>
    <row r="116" spans="18:21" x14ac:dyDescent="0.25">
      <c r="R116" s="26" t="s">
        <v>98</v>
      </c>
      <c r="S116" s="26" t="s">
        <v>89</v>
      </c>
      <c r="T116" s="26">
        <v>6</v>
      </c>
      <c r="U116" s="27" t="s">
        <v>106</v>
      </c>
    </row>
    <row r="117" spans="18:21" x14ac:dyDescent="0.25">
      <c r="R117" s="26" t="s">
        <v>98</v>
      </c>
      <c r="S117" s="26" t="s">
        <v>90</v>
      </c>
      <c r="T117" s="26">
        <v>6</v>
      </c>
      <c r="U117" s="27" t="s">
        <v>106</v>
      </c>
    </row>
    <row r="118" spans="18:21" x14ac:dyDescent="0.25">
      <c r="R118" s="26" t="s">
        <v>98</v>
      </c>
      <c r="S118" s="26" t="s">
        <v>91</v>
      </c>
      <c r="T118" s="26">
        <v>6</v>
      </c>
      <c r="U118" s="27" t="s">
        <v>106</v>
      </c>
    </row>
    <row r="119" spans="18:21" x14ac:dyDescent="0.25">
      <c r="R119" s="26" t="s">
        <v>98</v>
      </c>
      <c r="S119" s="26" t="s">
        <v>92</v>
      </c>
      <c r="T119" s="26">
        <v>6</v>
      </c>
      <c r="U119" s="27" t="s">
        <v>106</v>
      </c>
    </row>
    <row r="120" spans="18:21" x14ac:dyDescent="0.25">
      <c r="R120" s="26" t="s">
        <v>98</v>
      </c>
      <c r="S120" s="26" t="s">
        <v>93</v>
      </c>
      <c r="T120" s="26">
        <v>6</v>
      </c>
      <c r="U120" s="27" t="s">
        <v>106</v>
      </c>
    </row>
    <row r="121" spans="18:21" x14ac:dyDescent="0.25">
      <c r="R121" s="26" t="s">
        <v>98</v>
      </c>
      <c r="S121" s="26" t="s">
        <v>94</v>
      </c>
      <c r="T121" s="26">
        <v>6</v>
      </c>
      <c r="U121" s="27" t="s">
        <v>106</v>
      </c>
    </row>
    <row r="122" spans="18:21" x14ac:dyDescent="0.25">
      <c r="R122" s="26">
        <v>72</v>
      </c>
      <c r="S122" s="26">
        <v>30</v>
      </c>
      <c r="T122" s="26">
        <v>4</v>
      </c>
      <c r="U122" s="27" t="s">
        <v>106</v>
      </c>
    </row>
    <row r="123" spans="18:21" x14ac:dyDescent="0.25">
      <c r="R123" s="26">
        <v>72</v>
      </c>
      <c r="S123" s="26">
        <v>36</v>
      </c>
      <c r="T123" s="26">
        <v>4</v>
      </c>
      <c r="U123" s="27" t="s">
        <v>106</v>
      </c>
    </row>
    <row r="124" spans="18:21" x14ac:dyDescent="0.25">
      <c r="R124" s="26">
        <v>72</v>
      </c>
      <c r="S124" s="26">
        <v>42</v>
      </c>
      <c r="T124" s="26">
        <v>4</v>
      </c>
      <c r="U124" s="27" t="s">
        <v>106</v>
      </c>
    </row>
    <row r="125" spans="18:21" x14ac:dyDescent="0.25">
      <c r="R125" s="26">
        <v>72</v>
      </c>
      <c r="S125" s="26">
        <v>48</v>
      </c>
      <c r="T125" s="26">
        <v>4</v>
      </c>
      <c r="U125" s="27" t="s">
        <v>106</v>
      </c>
    </row>
    <row r="126" spans="18:21" x14ac:dyDescent="0.25">
      <c r="R126" s="26">
        <v>72</v>
      </c>
      <c r="S126" s="26">
        <v>60</v>
      </c>
      <c r="T126" s="26">
        <v>4</v>
      </c>
      <c r="U126" s="27" t="s">
        <v>106</v>
      </c>
    </row>
    <row r="127" spans="18:21" x14ac:dyDescent="0.25">
      <c r="R127" s="26">
        <v>72</v>
      </c>
      <c r="S127" s="26">
        <v>66</v>
      </c>
      <c r="T127" s="26">
        <v>4</v>
      </c>
      <c r="U127" s="27" t="s">
        <v>106</v>
      </c>
    </row>
    <row r="128" spans="18:21" x14ac:dyDescent="0.25">
      <c r="R128" s="26">
        <v>72</v>
      </c>
      <c r="S128" s="26">
        <v>72</v>
      </c>
      <c r="T128" s="26">
        <v>4</v>
      </c>
      <c r="U128" s="27" t="s">
        <v>106</v>
      </c>
    </row>
    <row r="129" spans="18:21" x14ac:dyDescent="0.25">
      <c r="R129" s="26">
        <v>75</v>
      </c>
      <c r="S129" s="26">
        <v>30</v>
      </c>
      <c r="T129" s="26">
        <v>4</v>
      </c>
      <c r="U129" s="27" t="s">
        <v>106</v>
      </c>
    </row>
    <row r="130" spans="18:21" x14ac:dyDescent="0.25">
      <c r="R130" s="26">
        <v>75</v>
      </c>
      <c r="S130" s="26">
        <v>36</v>
      </c>
      <c r="T130" s="26">
        <v>4</v>
      </c>
      <c r="U130" s="27" t="s">
        <v>106</v>
      </c>
    </row>
    <row r="131" spans="18:21" x14ac:dyDescent="0.25">
      <c r="R131" s="26">
        <v>75</v>
      </c>
      <c r="S131" s="26">
        <v>42</v>
      </c>
      <c r="T131" s="26">
        <v>4</v>
      </c>
      <c r="U131" s="27" t="s">
        <v>106</v>
      </c>
    </row>
    <row r="132" spans="18:21" x14ac:dyDescent="0.25">
      <c r="R132" s="26">
        <v>75</v>
      </c>
      <c r="S132" s="26">
        <v>48</v>
      </c>
      <c r="T132" s="26">
        <v>4</v>
      </c>
      <c r="U132" s="27" t="s">
        <v>106</v>
      </c>
    </row>
    <row r="133" spans="18:21" x14ac:dyDescent="0.25">
      <c r="R133" s="26">
        <v>75</v>
      </c>
      <c r="S133" s="26">
        <v>60</v>
      </c>
      <c r="T133" s="26">
        <v>4</v>
      </c>
      <c r="U133" s="27" t="s">
        <v>106</v>
      </c>
    </row>
    <row r="134" spans="18:21" x14ac:dyDescent="0.25">
      <c r="R134" s="26">
        <v>75</v>
      </c>
      <c r="S134" s="26">
        <v>66</v>
      </c>
      <c r="T134" s="26">
        <v>4</v>
      </c>
      <c r="U134" s="27" t="s">
        <v>106</v>
      </c>
    </row>
    <row r="135" spans="18:21" x14ac:dyDescent="0.25">
      <c r="R135" s="26">
        <v>75</v>
      </c>
      <c r="S135" s="26">
        <v>72</v>
      </c>
      <c r="T135" s="26">
        <v>4</v>
      </c>
      <c r="U135" s="27" t="s">
        <v>106</v>
      </c>
    </row>
    <row r="136" spans="18:21" x14ac:dyDescent="0.25">
      <c r="R136" s="26">
        <v>78</v>
      </c>
      <c r="S136" s="26">
        <v>30</v>
      </c>
      <c r="T136" s="26">
        <v>4</v>
      </c>
      <c r="U136" s="27" t="s">
        <v>106</v>
      </c>
    </row>
    <row r="137" spans="18:21" x14ac:dyDescent="0.25">
      <c r="R137" s="26">
        <v>78</v>
      </c>
      <c r="S137" s="26">
        <v>36</v>
      </c>
      <c r="T137" s="26">
        <v>4</v>
      </c>
      <c r="U137" s="27" t="s">
        <v>106</v>
      </c>
    </row>
    <row r="138" spans="18:21" x14ac:dyDescent="0.25">
      <c r="R138" s="26">
        <v>78</v>
      </c>
      <c r="S138" s="26">
        <v>42</v>
      </c>
      <c r="T138" s="26">
        <v>4</v>
      </c>
      <c r="U138" s="27" t="s">
        <v>106</v>
      </c>
    </row>
    <row r="139" spans="18:21" x14ac:dyDescent="0.25">
      <c r="R139" s="26">
        <v>78</v>
      </c>
      <c r="S139" s="26">
        <v>48</v>
      </c>
      <c r="T139" s="26">
        <v>4</v>
      </c>
      <c r="U139" s="27" t="s">
        <v>106</v>
      </c>
    </row>
    <row r="140" spans="18:21" x14ac:dyDescent="0.25">
      <c r="R140" s="26">
        <v>78</v>
      </c>
      <c r="S140" s="26">
        <v>60</v>
      </c>
      <c r="T140" s="26">
        <v>4</v>
      </c>
      <c r="U140" s="27" t="s">
        <v>106</v>
      </c>
    </row>
    <row r="141" spans="18:21" x14ac:dyDescent="0.25">
      <c r="R141" s="26">
        <v>78</v>
      </c>
      <c r="S141" s="26">
        <v>66</v>
      </c>
      <c r="T141" s="26">
        <v>4</v>
      </c>
      <c r="U141" s="27" t="s">
        <v>106</v>
      </c>
    </row>
    <row r="142" spans="18:21" x14ac:dyDescent="0.25">
      <c r="R142" s="26">
        <v>78</v>
      </c>
      <c r="S142" s="26">
        <v>72</v>
      </c>
      <c r="T142" s="26">
        <v>4</v>
      </c>
      <c r="U142" s="27" t="s">
        <v>106</v>
      </c>
    </row>
    <row r="143" spans="18:21" x14ac:dyDescent="0.25">
      <c r="R143" s="26">
        <v>80</v>
      </c>
      <c r="S143" s="26">
        <v>30</v>
      </c>
      <c r="T143" s="26">
        <v>4</v>
      </c>
      <c r="U143" s="27" t="s">
        <v>106</v>
      </c>
    </row>
    <row r="144" spans="18:21" x14ac:dyDescent="0.25">
      <c r="R144" s="26">
        <v>80</v>
      </c>
      <c r="S144" s="26">
        <v>36</v>
      </c>
      <c r="T144" s="26">
        <v>4</v>
      </c>
      <c r="U144" s="27" t="s">
        <v>106</v>
      </c>
    </row>
    <row r="145" spans="18:21" x14ac:dyDescent="0.25">
      <c r="R145" s="26">
        <v>80</v>
      </c>
      <c r="S145" s="26">
        <v>42</v>
      </c>
      <c r="T145" s="26">
        <v>4</v>
      </c>
      <c r="U145" s="27" t="s">
        <v>106</v>
      </c>
    </row>
    <row r="146" spans="18:21" x14ac:dyDescent="0.25">
      <c r="R146" s="26">
        <v>80</v>
      </c>
      <c r="S146" s="26">
        <v>48</v>
      </c>
      <c r="T146" s="26">
        <v>4</v>
      </c>
      <c r="U146" s="27" t="s">
        <v>106</v>
      </c>
    </row>
    <row r="147" spans="18:21" x14ac:dyDescent="0.25">
      <c r="R147" s="26">
        <v>80</v>
      </c>
      <c r="S147" s="26">
        <v>60</v>
      </c>
      <c r="T147" s="26">
        <v>4</v>
      </c>
      <c r="U147" s="27" t="s">
        <v>106</v>
      </c>
    </row>
    <row r="148" spans="18:21" x14ac:dyDescent="0.25">
      <c r="R148" s="26">
        <v>80</v>
      </c>
      <c r="S148" s="26">
        <v>66</v>
      </c>
      <c r="T148" s="26">
        <v>4</v>
      </c>
      <c r="U148" s="27" t="s">
        <v>106</v>
      </c>
    </row>
    <row r="149" spans="18:21" x14ac:dyDescent="0.25">
      <c r="R149" s="26">
        <v>80</v>
      </c>
      <c r="S149" s="26">
        <v>72</v>
      </c>
      <c r="T149" s="26">
        <v>4</v>
      </c>
      <c r="U149" s="27" t="s">
        <v>106</v>
      </c>
    </row>
    <row r="150" spans="18:21" x14ac:dyDescent="0.25">
      <c r="R150" s="26">
        <v>84</v>
      </c>
      <c r="S150" s="26">
        <v>30</v>
      </c>
      <c r="T150" s="26">
        <v>4</v>
      </c>
      <c r="U150" s="27" t="s">
        <v>106</v>
      </c>
    </row>
    <row r="151" spans="18:21" x14ac:dyDescent="0.25">
      <c r="R151" s="26">
        <v>84</v>
      </c>
      <c r="S151" s="26">
        <v>36</v>
      </c>
      <c r="T151" s="26">
        <v>4</v>
      </c>
      <c r="U151" s="27" t="s">
        <v>106</v>
      </c>
    </row>
    <row r="152" spans="18:21" x14ac:dyDescent="0.25">
      <c r="R152" s="26">
        <v>84</v>
      </c>
      <c r="S152" s="26">
        <v>42</v>
      </c>
      <c r="T152" s="26">
        <v>4</v>
      </c>
      <c r="U152" s="27" t="s">
        <v>106</v>
      </c>
    </row>
    <row r="153" spans="18:21" x14ac:dyDescent="0.25">
      <c r="R153" s="26">
        <v>84</v>
      </c>
      <c r="S153" s="26">
        <v>48</v>
      </c>
      <c r="T153" s="26">
        <v>4</v>
      </c>
      <c r="U153" s="27" t="s">
        <v>106</v>
      </c>
    </row>
    <row r="154" spans="18:21" x14ac:dyDescent="0.25">
      <c r="R154" s="26">
        <v>84</v>
      </c>
      <c r="S154" s="26">
        <v>60</v>
      </c>
      <c r="T154" s="26">
        <v>4</v>
      </c>
      <c r="U154" s="27" t="s">
        <v>106</v>
      </c>
    </row>
    <row r="155" spans="18:21" x14ac:dyDescent="0.25">
      <c r="R155" s="26">
        <v>84</v>
      </c>
      <c r="S155" s="26">
        <v>66</v>
      </c>
      <c r="T155" s="26">
        <v>4</v>
      </c>
      <c r="U155" s="27" t="s">
        <v>106</v>
      </c>
    </row>
    <row r="156" spans="18:21" x14ac:dyDescent="0.25">
      <c r="R156" s="26">
        <v>84</v>
      </c>
      <c r="S156" s="26">
        <v>72</v>
      </c>
      <c r="T156" s="26">
        <v>4</v>
      </c>
      <c r="U156" s="27" t="s">
        <v>106</v>
      </c>
    </row>
    <row r="157" spans="18:21" x14ac:dyDescent="0.25">
      <c r="R157" s="26">
        <v>72</v>
      </c>
      <c r="S157" s="26">
        <v>30</v>
      </c>
      <c r="T157" s="26">
        <v>5</v>
      </c>
      <c r="U157" s="27" t="s">
        <v>106</v>
      </c>
    </row>
    <row r="158" spans="18:21" x14ac:dyDescent="0.25">
      <c r="R158" s="26">
        <v>72</v>
      </c>
      <c r="S158" s="26">
        <v>36</v>
      </c>
      <c r="T158" s="26">
        <v>5</v>
      </c>
      <c r="U158" s="27" t="s">
        <v>106</v>
      </c>
    </row>
    <row r="159" spans="18:21" x14ac:dyDescent="0.25">
      <c r="R159" s="26">
        <v>72</v>
      </c>
      <c r="S159" s="26">
        <v>42</v>
      </c>
      <c r="T159" s="26">
        <v>5</v>
      </c>
      <c r="U159" s="27" t="s">
        <v>106</v>
      </c>
    </row>
    <row r="160" spans="18:21" x14ac:dyDescent="0.25">
      <c r="R160" s="26">
        <v>72</v>
      </c>
      <c r="S160" s="26">
        <v>48</v>
      </c>
      <c r="T160" s="26">
        <v>5</v>
      </c>
      <c r="U160" s="27" t="s">
        <v>106</v>
      </c>
    </row>
    <row r="161" spans="18:21" x14ac:dyDescent="0.25">
      <c r="R161" s="26">
        <v>72</v>
      </c>
      <c r="S161" s="26">
        <v>60</v>
      </c>
      <c r="T161" s="26">
        <v>5</v>
      </c>
      <c r="U161" s="27" t="s">
        <v>106</v>
      </c>
    </row>
    <row r="162" spans="18:21" x14ac:dyDescent="0.25">
      <c r="R162" s="26">
        <v>72</v>
      </c>
      <c r="S162" s="26">
        <v>66</v>
      </c>
      <c r="T162" s="26">
        <v>5</v>
      </c>
      <c r="U162" s="27" t="s">
        <v>106</v>
      </c>
    </row>
    <row r="163" spans="18:21" x14ac:dyDescent="0.25">
      <c r="R163" s="26">
        <v>72</v>
      </c>
      <c r="S163" s="26">
        <v>72</v>
      </c>
      <c r="T163" s="26">
        <v>5</v>
      </c>
      <c r="U163" s="27" t="s">
        <v>106</v>
      </c>
    </row>
    <row r="164" spans="18:21" x14ac:dyDescent="0.25">
      <c r="R164" s="26">
        <v>75</v>
      </c>
      <c r="S164" s="26">
        <v>30</v>
      </c>
      <c r="T164" s="26">
        <v>5</v>
      </c>
      <c r="U164" s="27" t="s">
        <v>106</v>
      </c>
    </row>
    <row r="165" spans="18:21" x14ac:dyDescent="0.25">
      <c r="R165" s="26">
        <v>75</v>
      </c>
      <c r="S165" s="26">
        <v>36</v>
      </c>
      <c r="T165" s="26">
        <v>5</v>
      </c>
      <c r="U165" s="27" t="s">
        <v>106</v>
      </c>
    </row>
    <row r="166" spans="18:21" x14ac:dyDescent="0.25">
      <c r="R166" s="26">
        <v>75</v>
      </c>
      <c r="S166" s="26">
        <v>42</v>
      </c>
      <c r="T166" s="26">
        <v>5</v>
      </c>
      <c r="U166" s="27" t="s">
        <v>106</v>
      </c>
    </row>
    <row r="167" spans="18:21" x14ac:dyDescent="0.25">
      <c r="R167" s="26">
        <v>75</v>
      </c>
      <c r="S167" s="26">
        <v>48</v>
      </c>
      <c r="T167" s="26">
        <v>5</v>
      </c>
      <c r="U167" s="27" t="s">
        <v>106</v>
      </c>
    </row>
    <row r="168" spans="18:21" x14ac:dyDescent="0.25">
      <c r="R168" s="26">
        <v>75</v>
      </c>
      <c r="S168" s="26">
        <v>60</v>
      </c>
      <c r="T168" s="26">
        <v>5</v>
      </c>
      <c r="U168" s="27" t="s">
        <v>106</v>
      </c>
    </row>
    <row r="169" spans="18:21" x14ac:dyDescent="0.25">
      <c r="R169" s="26">
        <v>75</v>
      </c>
      <c r="S169" s="26">
        <v>66</v>
      </c>
      <c r="T169" s="26">
        <v>5</v>
      </c>
      <c r="U169" s="27" t="s">
        <v>106</v>
      </c>
    </row>
    <row r="170" spans="18:21" x14ac:dyDescent="0.25">
      <c r="R170" s="26">
        <v>75</v>
      </c>
      <c r="S170" s="26">
        <v>72</v>
      </c>
      <c r="T170" s="26">
        <v>5</v>
      </c>
      <c r="U170" s="27" t="s">
        <v>106</v>
      </c>
    </row>
    <row r="171" spans="18:21" x14ac:dyDescent="0.25">
      <c r="R171" s="26">
        <v>78</v>
      </c>
      <c r="S171" s="26">
        <v>30</v>
      </c>
      <c r="T171" s="26">
        <v>5</v>
      </c>
      <c r="U171" s="27" t="s">
        <v>106</v>
      </c>
    </row>
    <row r="172" spans="18:21" x14ac:dyDescent="0.25">
      <c r="R172" s="26">
        <v>78</v>
      </c>
      <c r="S172" s="26">
        <v>36</v>
      </c>
      <c r="T172" s="26">
        <v>5</v>
      </c>
      <c r="U172" s="27" t="s">
        <v>106</v>
      </c>
    </row>
    <row r="173" spans="18:21" x14ac:dyDescent="0.25">
      <c r="R173" s="26">
        <v>78</v>
      </c>
      <c r="S173" s="26">
        <v>42</v>
      </c>
      <c r="T173" s="26">
        <v>5</v>
      </c>
      <c r="U173" s="27" t="s">
        <v>106</v>
      </c>
    </row>
    <row r="174" spans="18:21" x14ac:dyDescent="0.25">
      <c r="R174" s="26">
        <v>78</v>
      </c>
      <c r="S174" s="26">
        <v>48</v>
      </c>
      <c r="T174" s="26">
        <v>5</v>
      </c>
      <c r="U174" s="27" t="s">
        <v>106</v>
      </c>
    </row>
    <row r="175" spans="18:21" x14ac:dyDescent="0.25">
      <c r="R175" s="26">
        <v>78</v>
      </c>
      <c r="S175" s="26">
        <v>60</v>
      </c>
      <c r="T175" s="26">
        <v>5</v>
      </c>
      <c r="U175" s="27" t="s">
        <v>106</v>
      </c>
    </row>
    <row r="176" spans="18:21" x14ac:dyDescent="0.25">
      <c r="R176" s="26">
        <v>78</v>
      </c>
      <c r="S176" s="26">
        <v>66</v>
      </c>
      <c r="T176" s="26">
        <v>5</v>
      </c>
      <c r="U176" s="27" t="s">
        <v>106</v>
      </c>
    </row>
    <row r="177" spans="18:21" x14ac:dyDescent="0.25">
      <c r="R177" s="26">
        <v>78</v>
      </c>
      <c r="S177" s="26">
        <v>72</v>
      </c>
      <c r="T177" s="26">
        <v>5</v>
      </c>
      <c r="U177" s="27" t="s">
        <v>106</v>
      </c>
    </row>
    <row r="178" spans="18:21" x14ac:dyDescent="0.25">
      <c r="R178" s="26">
        <v>80</v>
      </c>
      <c r="S178" s="26">
        <v>30</v>
      </c>
      <c r="T178" s="26">
        <v>5</v>
      </c>
      <c r="U178" s="27" t="s">
        <v>106</v>
      </c>
    </row>
    <row r="179" spans="18:21" x14ac:dyDescent="0.25">
      <c r="R179" s="26">
        <v>80</v>
      </c>
      <c r="S179" s="26">
        <v>36</v>
      </c>
      <c r="T179" s="26">
        <v>5</v>
      </c>
      <c r="U179" s="27" t="s">
        <v>106</v>
      </c>
    </row>
    <row r="180" spans="18:21" x14ac:dyDescent="0.25">
      <c r="R180" s="26">
        <v>80</v>
      </c>
      <c r="S180" s="26">
        <v>42</v>
      </c>
      <c r="T180" s="26">
        <v>5</v>
      </c>
      <c r="U180" s="27" t="s">
        <v>106</v>
      </c>
    </row>
    <row r="181" spans="18:21" x14ac:dyDescent="0.25">
      <c r="R181" s="26">
        <v>80</v>
      </c>
      <c r="S181" s="26">
        <v>48</v>
      </c>
      <c r="T181" s="26">
        <v>5</v>
      </c>
      <c r="U181" s="27" t="s">
        <v>106</v>
      </c>
    </row>
    <row r="182" spans="18:21" x14ac:dyDescent="0.25">
      <c r="R182" s="26">
        <v>80</v>
      </c>
      <c r="S182" s="26">
        <v>60</v>
      </c>
      <c r="T182" s="26">
        <v>5</v>
      </c>
      <c r="U182" s="27" t="s">
        <v>106</v>
      </c>
    </row>
    <row r="183" spans="18:21" x14ac:dyDescent="0.25">
      <c r="R183" s="26">
        <v>80</v>
      </c>
      <c r="S183" s="26">
        <v>66</v>
      </c>
      <c r="T183" s="26">
        <v>5</v>
      </c>
      <c r="U183" s="27" t="s">
        <v>106</v>
      </c>
    </row>
    <row r="184" spans="18:21" x14ac:dyDescent="0.25">
      <c r="R184" s="26">
        <v>80</v>
      </c>
      <c r="S184" s="26">
        <v>72</v>
      </c>
      <c r="T184" s="26">
        <v>5</v>
      </c>
      <c r="U184" s="27" t="s">
        <v>106</v>
      </c>
    </row>
    <row r="185" spans="18:21" x14ac:dyDescent="0.25">
      <c r="R185" s="26">
        <v>84</v>
      </c>
      <c r="S185" s="26">
        <v>30</v>
      </c>
      <c r="T185" s="26">
        <v>5</v>
      </c>
      <c r="U185" s="27" t="s">
        <v>106</v>
      </c>
    </row>
    <row r="186" spans="18:21" x14ac:dyDescent="0.25">
      <c r="R186" s="26">
        <v>84</v>
      </c>
      <c r="S186" s="26">
        <v>36</v>
      </c>
      <c r="T186" s="26">
        <v>5</v>
      </c>
      <c r="U186" s="27" t="s">
        <v>106</v>
      </c>
    </row>
    <row r="187" spans="18:21" x14ac:dyDescent="0.25">
      <c r="R187" s="26">
        <v>84</v>
      </c>
      <c r="S187" s="26">
        <v>42</v>
      </c>
      <c r="T187" s="26">
        <v>5</v>
      </c>
      <c r="U187" s="27" t="s">
        <v>106</v>
      </c>
    </row>
    <row r="188" spans="18:21" x14ac:dyDescent="0.25">
      <c r="R188" s="26">
        <v>84</v>
      </c>
      <c r="S188" s="26">
        <v>48</v>
      </c>
      <c r="T188" s="26">
        <v>5</v>
      </c>
      <c r="U188" s="27" t="s">
        <v>106</v>
      </c>
    </row>
    <row r="189" spans="18:21" x14ac:dyDescent="0.25">
      <c r="R189" s="26">
        <v>84</v>
      </c>
      <c r="S189" s="26">
        <v>60</v>
      </c>
      <c r="T189" s="26">
        <v>5</v>
      </c>
      <c r="U189" s="27" t="s">
        <v>106</v>
      </c>
    </row>
    <row r="190" spans="18:21" x14ac:dyDescent="0.25">
      <c r="R190" s="26">
        <v>84</v>
      </c>
      <c r="S190" s="26">
        <v>66</v>
      </c>
      <c r="T190" s="26">
        <v>5</v>
      </c>
      <c r="U190" s="27" t="s">
        <v>106</v>
      </c>
    </row>
    <row r="191" spans="18:21" x14ac:dyDescent="0.25">
      <c r="R191" s="26">
        <v>84</v>
      </c>
      <c r="S191" s="26">
        <v>72</v>
      </c>
      <c r="T191" s="26">
        <v>5</v>
      </c>
      <c r="U191" s="27" t="s">
        <v>106</v>
      </c>
    </row>
    <row r="192" spans="18:21" x14ac:dyDescent="0.25">
      <c r="R192" s="26">
        <v>72</v>
      </c>
      <c r="S192" s="26">
        <v>30</v>
      </c>
      <c r="T192" s="26">
        <v>6</v>
      </c>
      <c r="U192" s="27" t="s">
        <v>106</v>
      </c>
    </row>
    <row r="193" spans="18:21" x14ac:dyDescent="0.25">
      <c r="R193" s="26">
        <v>72</v>
      </c>
      <c r="S193" s="26">
        <v>36</v>
      </c>
      <c r="T193" s="26">
        <v>6</v>
      </c>
      <c r="U193" s="27" t="s">
        <v>106</v>
      </c>
    </row>
    <row r="194" spans="18:21" x14ac:dyDescent="0.25">
      <c r="R194" s="26">
        <v>72</v>
      </c>
      <c r="S194" s="26">
        <v>42</v>
      </c>
      <c r="T194" s="26">
        <v>6</v>
      </c>
      <c r="U194" s="27" t="s">
        <v>106</v>
      </c>
    </row>
    <row r="195" spans="18:21" x14ac:dyDescent="0.25">
      <c r="R195" s="26">
        <v>72</v>
      </c>
      <c r="S195" s="26">
        <v>48</v>
      </c>
      <c r="T195" s="26">
        <v>6</v>
      </c>
      <c r="U195" s="27" t="s">
        <v>106</v>
      </c>
    </row>
    <row r="196" spans="18:21" x14ac:dyDescent="0.25">
      <c r="R196" s="26">
        <v>72</v>
      </c>
      <c r="S196" s="26">
        <v>60</v>
      </c>
      <c r="T196" s="26">
        <v>6</v>
      </c>
      <c r="U196" s="27" t="s">
        <v>106</v>
      </c>
    </row>
    <row r="197" spans="18:21" x14ac:dyDescent="0.25">
      <c r="R197" s="26">
        <v>72</v>
      </c>
      <c r="S197" s="26">
        <v>66</v>
      </c>
      <c r="T197" s="26">
        <v>6</v>
      </c>
      <c r="U197" s="27" t="s">
        <v>106</v>
      </c>
    </row>
    <row r="198" spans="18:21" x14ac:dyDescent="0.25">
      <c r="R198" s="26">
        <v>72</v>
      </c>
      <c r="S198" s="26">
        <v>72</v>
      </c>
      <c r="T198" s="26">
        <v>6</v>
      </c>
      <c r="U198" s="27" t="s">
        <v>106</v>
      </c>
    </row>
    <row r="199" spans="18:21" x14ac:dyDescent="0.25">
      <c r="R199" s="26">
        <v>75</v>
      </c>
      <c r="S199" s="26">
        <v>30</v>
      </c>
      <c r="T199" s="26">
        <v>6</v>
      </c>
      <c r="U199" s="27" t="s">
        <v>106</v>
      </c>
    </row>
    <row r="200" spans="18:21" x14ac:dyDescent="0.25">
      <c r="R200" s="26">
        <v>75</v>
      </c>
      <c r="S200" s="26">
        <v>36</v>
      </c>
      <c r="T200" s="26">
        <v>6</v>
      </c>
      <c r="U200" s="27" t="s">
        <v>106</v>
      </c>
    </row>
    <row r="201" spans="18:21" x14ac:dyDescent="0.25">
      <c r="R201" s="26">
        <v>75</v>
      </c>
      <c r="S201" s="26">
        <v>42</v>
      </c>
      <c r="T201" s="26">
        <v>6</v>
      </c>
      <c r="U201" s="27" t="s">
        <v>106</v>
      </c>
    </row>
    <row r="202" spans="18:21" x14ac:dyDescent="0.25">
      <c r="R202" s="26">
        <v>75</v>
      </c>
      <c r="S202" s="26">
        <v>48</v>
      </c>
      <c r="T202" s="26">
        <v>6</v>
      </c>
      <c r="U202" s="27" t="s">
        <v>106</v>
      </c>
    </row>
    <row r="203" spans="18:21" x14ac:dyDescent="0.25">
      <c r="R203" s="26">
        <v>75</v>
      </c>
      <c r="S203" s="26">
        <v>60</v>
      </c>
      <c r="T203" s="26">
        <v>6</v>
      </c>
      <c r="U203" s="27" t="s">
        <v>106</v>
      </c>
    </row>
    <row r="204" spans="18:21" x14ac:dyDescent="0.25">
      <c r="R204" s="26">
        <v>75</v>
      </c>
      <c r="S204" s="26">
        <v>66</v>
      </c>
      <c r="T204" s="26">
        <v>6</v>
      </c>
      <c r="U204" s="27" t="s">
        <v>106</v>
      </c>
    </row>
    <row r="205" spans="18:21" x14ac:dyDescent="0.25">
      <c r="R205" s="26">
        <v>75</v>
      </c>
      <c r="S205" s="26">
        <v>72</v>
      </c>
      <c r="T205" s="26">
        <v>6</v>
      </c>
      <c r="U205" s="27" t="s">
        <v>106</v>
      </c>
    </row>
    <row r="206" spans="18:21" x14ac:dyDescent="0.25">
      <c r="R206" s="26">
        <v>78</v>
      </c>
      <c r="S206" s="26">
        <v>30</v>
      </c>
      <c r="T206" s="26">
        <v>6</v>
      </c>
      <c r="U206" s="27" t="s">
        <v>106</v>
      </c>
    </row>
    <row r="207" spans="18:21" x14ac:dyDescent="0.25">
      <c r="R207" s="26">
        <v>78</v>
      </c>
      <c r="S207" s="26">
        <v>36</v>
      </c>
      <c r="T207" s="26">
        <v>6</v>
      </c>
      <c r="U207" s="27" t="s">
        <v>106</v>
      </c>
    </row>
    <row r="208" spans="18:21" x14ac:dyDescent="0.25">
      <c r="R208" s="26">
        <v>78</v>
      </c>
      <c r="S208" s="26">
        <v>42</v>
      </c>
      <c r="T208" s="26">
        <v>6</v>
      </c>
      <c r="U208" s="27" t="s">
        <v>106</v>
      </c>
    </row>
    <row r="209" spans="18:21" x14ac:dyDescent="0.25">
      <c r="R209" s="26">
        <v>78</v>
      </c>
      <c r="S209" s="26">
        <v>48</v>
      </c>
      <c r="T209" s="26">
        <v>6</v>
      </c>
      <c r="U209" s="27" t="s">
        <v>106</v>
      </c>
    </row>
    <row r="210" spans="18:21" x14ac:dyDescent="0.25">
      <c r="R210" s="26">
        <v>78</v>
      </c>
      <c r="S210" s="26">
        <v>60</v>
      </c>
      <c r="T210" s="26">
        <v>6</v>
      </c>
      <c r="U210" s="27" t="s">
        <v>106</v>
      </c>
    </row>
    <row r="211" spans="18:21" x14ac:dyDescent="0.25">
      <c r="R211" s="26">
        <v>78</v>
      </c>
      <c r="S211" s="26">
        <v>66</v>
      </c>
      <c r="T211" s="26">
        <v>6</v>
      </c>
      <c r="U211" s="27" t="s">
        <v>106</v>
      </c>
    </row>
    <row r="212" spans="18:21" x14ac:dyDescent="0.25">
      <c r="R212" s="26">
        <v>78</v>
      </c>
      <c r="S212" s="26">
        <v>72</v>
      </c>
      <c r="T212" s="26">
        <v>6</v>
      </c>
      <c r="U212" s="27" t="s">
        <v>106</v>
      </c>
    </row>
    <row r="213" spans="18:21" x14ac:dyDescent="0.25">
      <c r="R213" s="26">
        <v>80</v>
      </c>
      <c r="S213" s="26">
        <v>30</v>
      </c>
      <c r="T213" s="26">
        <v>6</v>
      </c>
      <c r="U213" s="27" t="s">
        <v>106</v>
      </c>
    </row>
    <row r="214" spans="18:21" x14ac:dyDescent="0.25">
      <c r="R214" s="26">
        <v>80</v>
      </c>
      <c r="S214" s="26">
        <v>36</v>
      </c>
      <c r="T214" s="26">
        <v>6</v>
      </c>
      <c r="U214" s="27" t="s">
        <v>106</v>
      </c>
    </row>
    <row r="215" spans="18:21" x14ac:dyDescent="0.25">
      <c r="R215" s="26">
        <v>80</v>
      </c>
      <c r="S215" s="26">
        <v>42</v>
      </c>
      <c r="T215" s="26">
        <v>6</v>
      </c>
      <c r="U215" s="27" t="s">
        <v>106</v>
      </c>
    </row>
    <row r="216" spans="18:21" x14ac:dyDescent="0.25">
      <c r="R216" s="26">
        <v>80</v>
      </c>
      <c r="S216" s="26">
        <v>48</v>
      </c>
      <c r="T216" s="26">
        <v>6</v>
      </c>
      <c r="U216" s="27" t="s">
        <v>106</v>
      </c>
    </row>
    <row r="217" spans="18:21" x14ac:dyDescent="0.25">
      <c r="R217" s="26">
        <v>80</v>
      </c>
      <c r="S217" s="26">
        <v>60</v>
      </c>
      <c r="T217" s="26">
        <v>6</v>
      </c>
      <c r="U217" s="27" t="s">
        <v>106</v>
      </c>
    </row>
    <row r="218" spans="18:21" x14ac:dyDescent="0.25">
      <c r="R218" s="26">
        <v>80</v>
      </c>
      <c r="S218" s="26">
        <v>66</v>
      </c>
      <c r="T218" s="26">
        <v>6</v>
      </c>
      <c r="U218" s="27" t="s">
        <v>106</v>
      </c>
    </row>
    <row r="219" spans="18:21" x14ac:dyDescent="0.25">
      <c r="R219" s="26">
        <v>80</v>
      </c>
      <c r="S219" s="26">
        <v>72</v>
      </c>
      <c r="T219" s="26">
        <v>6</v>
      </c>
      <c r="U219" s="27" t="s">
        <v>106</v>
      </c>
    </row>
    <row r="220" spans="18:21" x14ac:dyDescent="0.25">
      <c r="R220" s="26">
        <v>84</v>
      </c>
      <c r="S220" s="26">
        <v>30</v>
      </c>
      <c r="T220" s="26">
        <v>6</v>
      </c>
      <c r="U220" s="27" t="s">
        <v>106</v>
      </c>
    </row>
    <row r="221" spans="18:21" x14ac:dyDescent="0.25">
      <c r="R221" s="26">
        <v>84</v>
      </c>
      <c r="S221" s="26">
        <v>36</v>
      </c>
      <c r="T221" s="26">
        <v>6</v>
      </c>
      <c r="U221" s="27" t="s">
        <v>106</v>
      </c>
    </row>
    <row r="222" spans="18:21" x14ac:dyDescent="0.25">
      <c r="R222" s="26">
        <v>84</v>
      </c>
      <c r="S222" s="26">
        <v>42</v>
      </c>
      <c r="T222" s="26">
        <v>6</v>
      </c>
      <c r="U222" s="27" t="s">
        <v>106</v>
      </c>
    </row>
    <row r="223" spans="18:21" x14ac:dyDescent="0.25">
      <c r="R223" s="26">
        <v>84</v>
      </c>
      <c r="S223" s="26">
        <v>48</v>
      </c>
      <c r="T223" s="26">
        <v>6</v>
      </c>
      <c r="U223" s="27" t="s">
        <v>106</v>
      </c>
    </row>
    <row r="224" spans="18:21" x14ac:dyDescent="0.25">
      <c r="R224" s="26">
        <v>84</v>
      </c>
      <c r="S224" s="26">
        <v>60</v>
      </c>
      <c r="T224" s="26">
        <v>6</v>
      </c>
      <c r="U224" s="27" t="s">
        <v>106</v>
      </c>
    </row>
    <row r="225" spans="18:21" x14ac:dyDescent="0.25">
      <c r="R225" s="26">
        <v>84</v>
      </c>
      <c r="S225" s="26">
        <v>66</v>
      </c>
      <c r="T225" s="26">
        <v>6</v>
      </c>
      <c r="U225" s="27" t="s">
        <v>106</v>
      </c>
    </row>
    <row r="226" spans="18:21" x14ac:dyDescent="0.25">
      <c r="R226" s="26">
        <v>84</v>
      </c>
      <c r="S226" s="26">
        <v>72</v>
      </c>
      <c r="T226" s="26">
        <v>6</v>
      </c>
      <c r="U226" s="27" t="s">
        <v>106</v>
      </c>
    </row>
    <row r="227" spans="18:21" x14ac:dyDescent="0.25">
      <c r="R227" s="26" t="s">
        <v>86</v>
      </c>
      <c r="S227" s="26" t="s">
        <v>87</v>
      </c>
      <c r="T227" s="26">
        <v>4</v>
      </c>
      <c r="U227" s="27" t="s">
        <v>107</v>
      </c>
    </row>
    <row r="228" spans="18:21" x14ac:dyDescent="0.25">
      <c r="R228" s="26" t="s">
        <v>86</v>
      </c>
      <c r="S228" s="26" t="s">
        <v>88</v>
      </c>
      <c r="T228" s="26">
        <v>4</v>
      </c>
      <c r="U228" s="27" t="s">
        <v>107</v>
      </c>
    </row>
    <row r="229" spans="18:21" x14ac:dyDescent="0.25">
      <c r="R229" s="26" t="s">
        <v>86</v>
      </c>
      <c r="S229" s="26" t="s">
        <v>89</v>
      </c>
      <c r="T229" s="26">
        <v>4</v>
      </c>
      <c r="U229" s="27" t="s">
        <v>107</v>
      </c>
    </row>
    <row r="230" spans="18:21" x14ac:dyDescent="0.25">
      <c r="R230" s="26" t="s">
        <v>86</v>
      </c>
      <c r="S230" s="26" t="s">
        <v>90</v>
      </c>
      <c r="T230" s="26">
        <v>4</v>
      </c>
      <c r="U230" s="27" t="s">
        <v>107</v>
      </c>
    </row>
    <row r="231" spans="18:21" x14ac:dyDescent="0.25">
      <c r="R231" s="26" t="s">
        <v>86</v>
      </c>
      <c r="S231" s="26" t="s">
        <v>91</v>
      </c>
      <c r="T231" s="26">
        <v>4</v>
      </c>
      <c r="U231" s="27" t="s">
        <v>107</v>
      </c>
    </row>
    <row r="232" spans="18:21" x14ac:dyDescent="0.25">
      <c r="R232" s="26" t="s">
        <v>86</v>
      </c>
      <c r="S232" s="26" t="s">
        <v>92</v>
      </c>
      <c r="T232" s="26">
        <v>4</v>
      </c>
      <c r="U232" s="27" t="s">
        <v>107</v>
      </c>
    </row>
    <row r="233" spans="18:21" x14ac:dyDescent="0.25">
      <c r="R233" s="26" t="s">
        <v>86</v>
      </c>
      <c r="S233" s="26" t="s">
        <v>93</v>
      </c>
      <c r="T233" s="26">
        <v>4</v>
      </c>
      <c r="U233" s="27" t="s">
        <v>107</v>
      </c>
    </row>
    <row r="234" spans="18:21" x14ac:dyDescent="0.25">
      <c r="R234" s="26" t="s">
        <v>86</v>
      </c>
      <c r="S234" s="26" t="s">
        <v>94</v>
      </c>
      <c r="T234" s="26">
        <v>4</v>
      </c>
      <c r="U234" s="27" t="s">
        <v>107</v>
      </c>
    </row>
    <row r="235" spans="18:21" x14ac:dyDescent="0.25">
      <c r="R235" s="26" t="s">
        <v>95</v>
      </c>
      <c r="S235" s="26" t="s">
        <v>87</v>
      </c>
      <c r="T235" s="26">
        <v>4</v>
      </c>
      <c r="U235" s="27" t="s">
        <v>107</v>
      </c>
    </row>
    <row r="236" spans="18:21" x14ac:dyDescent="0.25">
      <c r="R236" s="26" t="s">
        <v>95</v>
      </c>
      <c r="S236" s="26" t="s">
        <v>88</v>
      </c>
      <c r="T236" s="26">
        <v>4</v>
      </c>
      <c r="U236" s="27" t="s">
        <v>107</v>
      </c>
    </row>
    <row r="237" spans="18:21" x14ac:dyDescent="0.25">
      <c r="R237" s="26" t="s">
        <v>95</v>
      </c>
      <c r="S237" s="26" t="s">
        <v>89</v>
      </c>
      <c r="T237" s="26">
        <v>4</v>
      </c>
      <c r="U237" s="27" t="s">
        <v>107</v>
      </c>
    </row>
    <row r="238" spans="18:21" x14ac:dyDescent="0.25">
      <c r="R238" s="26" t="s">
        <v>95</v>
      </c>
      <c r="S238" s="26" t="s">
        <v>90</v>
      </c>
      <c r="T238" s="26">
        <v>4</v>
      </c>
      <c r="U238" s="27" t="s">
        <v>107</v>
      </c>
    </row>
    <row r="239" spans="18:21" x14ac:dyDescent="0.25">
      <c r="R239" s="26" t="s">
        <v>95</v>
      </c>
      <c r="S239" s="26" t="s">
        <v>91</v>
      </c>
      <c r="T239" s="26">
        <v>4</v>
      </c>
      <c r="U239" s="27" t="s">
        <v>107</v>
      </c>
    </row>
    <row r="240" spans="18:21" x14ac:dyDescent="0.25">
      <c r="R240" s="26" t="s">
        <v>95</v>
      </c>
      <c r="S240" s="26" t="s">
        <v>92</v>
      </c>
      <c r="T240" s="26">
        <v>4</v>
      </c>
      <c r="U240" s="27" t="s">
        <v>107</v>
      </c>
    </row>
    <row r="241" spans="18:21" x14ac:dyDescent="0.25">
      <c r="R241" s="26" t="s">
        <v>95</v>
      </c>
      <c r="S241" s="26" t="s">
        <v>93</v>
      </c>
      <c r="T241" s="26">
        <v>4</v>
      </c>
      <c r="U241" s="27" t="s">
        <v>107</v>
      </c>
    </row>
    <row r="242" spans="18:21" x14ac:dyDescent="0.25">
      <c r="R242" s="26" t="s">
        <v>95</v>
      </c>
      <c r="S242" s="26" t="s">
        <v>94</v>
      </c>
      <c r="T242" s="26">
        <v>4</v>
      </c>
      <c r="U242" s="27" t="s">
        <v>107</v>
      </c>
    </row>
    <row r="243" spans="18:21" x14ac:dyDescent="0.25">
      <c r="R243" s="26" t="s">
        <v>96</v>
      </c>
      <c r="S243" s="26" t="s">
        <v>87</v>
      </c>
      <c r="T243" s="26">
        <v>4</v>
      </c>
      <c r="U243" s="27" t="s">
        <v>107</v>
      </c>
    </row>
    <row r="244" spans="18:21" x14ac:dyDescent="0.25">
      <c r="R244" s="26" t="s">
        <v>96</v>
      </c>
      <c r="S244" s="26" t="s">
        <v>88</v>
      </c>
      <c r="T244" s="26">
        <v>4</v>
      </c>
      <c r="U244" s="27" t="s">
        <v>107</v>
      </c>
    </row>
    <row r="245" spans="18:21" x14ac:dyDescent="0.25">
      <c r="R245" s="26" t="s">
        <v>96</v>
      </c>
      <c r="S245" s="26" t="s">
        <v>89</v>
      </c>
      <c r="T245" s="26">
        <v>4</v>
      </c>
      <c r="U245" s="27" t="s">
        <v>107</v>
      </c>
    </row>
    <row r="246" spans="18:21" x14ac:dyDescent="0.25">
      <c r="R246" s="26" t="s">
        <v>96</v>
      </c>
      <c r="S246" s="26" t="s">
        <v>90</v>
      </c>
      <c r="T246" s="26">
        <v>4</v>
      </c>
      <c r="U246" s="27" t="s">
        <v>107</v>
      </c>
    </row>
    <row r="247" spans="18:21" x14ac:dyDescent="0.25">
      <c r="R247" s="26" t="s">
        <v>96</v>
      </c>
      <c r="S247" s="26" t="s">
        <v>91</v>
      </c>
      <c r="T247" s="26">
        <v>4</v>
      </c>
      <c r="U247" s="27" t="s">
        <v>107</v>
      </c>
    </row>
    <row r="248" spans="18:21" x14ac:dyDescent="0.25">
      <c r="R248" s="26" t="s">
        <v>96</v>
      </c>
      <c r="S248" s="26" t="s">
        <v>92</v>
      </c>
      <c r="T248" s="26">
        <v>4</v>
      </c>
      <c r="U248" s="27" t="s">
        <v>107</v>
      </c>
    </row>
    <row r="249" spans="18:21" x14ac:dyDescent="0.25">
      <c r="R249" s="26" t="s">
        <v>96</v>
      </c>
      <c r="S249" s="26" t="s">
        <v>93</v>
      </c>
      <c r="T249" s="26">
        <v>4</v>
      </c>
      <c r="U249" s="27" t="s">
        <v>107</v>
      </c>
    </row>
    <row r="250" spans="18:21" x14ac:dyDescent="0.25">
      <c r="R250" s="26" t="s">
        <v>96</v>
      </c>
      <c r="S250" s="26" t="s">
        <v>94</v>
      </c>
      <c r="T250" s="26">
        <v>4</v>
      </c>
      <c r="U250" s="27" t="s">
        <v>107</v>
      </c>
    </row>
    <row r="251" spans="18:21" x14ac:dyDescent="0.25">
      <c r="R251" s="26" t="s">
        <v>97</v>
      </c>
      <c r="S251" s="26" t="s">
        <v>87</v>
      </c>
      <c r="T251" s="26">
        <v>4</v>
      </c>
      <c r="U251" s="27" t="s">
        <v>107</v>
      </c>
    </row>
    <row r="252" spans="18:21" x14ac:dyDescent="0.25">
      <c r="R252" s="26" t="s">
        <v>97</v>
      </c>
      <c r="S252" s="26" t="s">
        <v>88</v>
      </c>
      <c r="T252" s="26">
        <v>4</v>
      </c>
      <c r="U252" s="27" t="s">
        <v>107</v>
      </c>
    </row>
    <row r="253" spans="18:21" x14ac:dyDescent="0.25">
      <c r="R253" s="26" t="s">
        <v>97</v>
      </c>
      <c r="S253" s="26" t="s">
        <v>89</v>
      </c>
      <c r="T253" s="26">
        <v>4</v>
      </c>
      <c r="U253" s="27" t="s">
        <v>107</v>
      </c>
    </row>
    <row r="254" spans="18:21" x14ac:dyDescent="0.25">
      <c r="R254" s="26" t="s">
        <v>97</v>
      </c>
      <c r="S254" s="26" t="s">
        <v>90</v>
      </c>
      <c r="T254" s="26">
        <v>4</v>
      </c>
      <c r="U254" s="27" t="s">
        <v>107</v>
      </c>
    </row>
    <row r="255" spans="18:21" x14ac:dyDescent="0.25">
      <c r="R255" s="26" t="s">
        <v>97</v>
      </c>
      <c r="S255" s="26" t="s">
        <v>91</v>
      </c>
      <c r="T255" s="26">
        <v>4</v>
      </c>
      <c r="U255" s="27" t="s">
        <v>107</v>
      </c>
    </row>
    <row r="256" spans="18:21" x14ac:dyDescent="0.25">
      <c r="R256" s="26" t="s">
        <v>97</v>
      </c>
      <c r="S256" s="26" t="s">
        <v>92</v>
      </c>
      <c r="T256" s="26">
        <v>4</v>
      </c>
      <c r="U256" s="27" t="s">
        <v>107</v>
      </c>
    </row>
    <row r="257" spans="18:21" x14ac:dyDescent="0.25">
      <c r="R257" s="26" t="s">
        <v>97</v>
      </c>
      <c r="S257" s="26" t="s">
        <v>93</v>
      </c>
      <c r="T257" s="26">
        <v>4</v>
      </c>
      <c r="U257" s="27" t="s">
        <v>107</v>
      </c>
    </row>
    <row r="258" spans="18:21" x14ac:dyDescent="0.25">
      <c r="R258" s="26" t="s">
        <v>97</v>
      </c>
      <c r="S258" s="26" t="s">
        <v>94</v>
      </c>
      <c r="T258" s="26">
        <v>4</v>
      </c>
      <c r="U258" s="27" t="s">
        <v>107</v>
      </c>
    </row>
    <row r="259" spans="18:21" x14ac:dyDescent="0.25">
      <c r="R259" s="26" t="s">
        <v>98</v>
      </c>
      <c r="S259" s="26" t="s">
        <v>87</v>
      </c>
      <c r="T259" s="26">
        <v>4</v>
      </c>
      <c r="U259" s="27" t="s">
        <v>107</v>
      </c>
    </row>
    <row r="260" spans="18:21" x14ac:dyDescent="0.25">
      <c r="R260" s="26" t="s">
        <v>98</v>
      </c>
      <c r="S260" s="26" t="s">
        <v>88</v>
      </c>
      <c r="T260" s="26">
        <v>4</v>
      </c>
      <c r="U260" s="27" t="s">
        <v>107</v>
      </c>
    </row>
    <row r="261" spans="18:21" x14ac:dyDescent="0.25">
      <c r="R261" s="26" t="s">
        <v>98</v>
      </c>
      <c r="S261" s="26" t="s">
        <v>89</v>
      </c>
      <c r="T261" s="26">
        <v>4</v>
      </c>
      <c r="U261" s="27" t="s">
        <v>107</v>
      </c>
    </row>
    <row r="262" spans="18:21" x14ac:dyDescent="0.25">
      <c r="R262" s="26" t="s">
        <v>98</v>
      </c>
      <c r="S262" s="26" t="s">
        <v>90</v>
      </c>
      <c r="T262" s="26">
        <v>4</v>
      </c>
      <c r="U262" s="27" t="s">
        <v>107</v>
      </c>
    </row>
    <row r="263" spans="18:21" x14ac:dyDescent="0.25">
      <c r="R263" s="26" t="s">
        <v>98</v>
      </c>
      <c r="S263" s="26" t="s">
        <v>91</v>
      </c>
      <c r="T263" s="26">
        <v>4</v>
      </c>
      <c r="U263" s="27" t="s">
        <v>107</v>
      </c>
    </row>
    <row r="264" spans="18:21" x14ac:dyDescent="0.25">
      <c r="R264" s="26" t="s">
        <v>98</v>
      </c>
      <c r="S264" s="26" t="s">
        <v>92</v>
      </c>
      <c r="T264" s="26">
        <v>4</v>
      </c>
      <c r="U264" s="27" t="s">
        <v>107</v>
      </c>
    </row>
    <row r="265" spans="18:21" x14ac:dyDescent="0.25">
      <c r="R265" s="26" t="s">
        <v>98</v>
      </c>
      <c r="S265" s="26" t="s">
        <v>93</v>
      </c>
      <c r="T265" s="26">
        <v>4</v>
      </c>
      <c r="U265" s="27" t="s">
        <v>107</v>
      </c>
    </row>
    <row r="266" spans="18:21" x14ac:dyDescent="0.25">
      <c r="R266" s="26" t="s">
        <v>98</v>
      </c>
      <c r="S266" s="26" t="s">
        <v>94</v>
      </c>
      <c r="T266" s="26">
        <v>4</v>
      </c>
      <c r="U266" s="27" t="s">
        <v>107</v>
      </c>
    </row>
    <row r="267" spans="18:21" x14ac:dyDescent="0.25">
      <c r="R267" s="26" t="s">
        <v>86</v>
      </c>
      <c r="S267" s="26" t="s">
        <v>87</v>
      </c>
      <c r="T267" s="26">
        <v>5</v>
      </c>
      <c r="U267" s="27" t="s">
        <v>107</v>
      </c>
    </row>
    <row r="268" spans="18:21" x14ac:dyDescent="0.25">
      <c r="R268" s="26" t="s">
        <v>86</v>
      </c>
      <c r="S268" s="26" t="s">
        <v>88</v>
      </c>
      <c r="T268" s="26">
        <v>5</v>
      </c>
      <c r="U268" s="27" t="s">
        <v>107</v>
      </c>
    </row>
    <row r="269" spans="18:21" x14ac:dyDescent="0.25">
      <c r="R269" s="26" t="s">
        <v>86</v>
      </c>
      <c r="S269" s="26" t="s">
        <v>89</v>
      </c>
      <c r="T269" s="26">
        <v>5</v>
      </c>
      <c r="U269" s="27" t="s">
        <v>107</v>
      </c>
    </row>
    <row r="270" spans="18:21" x14ac:dyDescent="0.25">
      <c r="R270" s="26" t="s">
        <v>86</v>
      </c>
      <c r="S270" s="26" t="s">
        <v>90</v>
      </c>
      <c r="T270" s="26">
        <v>5</v>
      </c>
      <c r="U270" s="27" t="s">
        <v>107</v>
      </c>
    </row>
    <row r="271" spans="18:21" x14ac:dyDescent="0.25">
      <c r="R271" s="26" t="s">
        <v>86</v>
      </c>
      <c r="S271" s="26" t="s">
        <v>91</v>
      </c>
      <c r="T271" s="26">
        <v>5</v>
      </c>
      <c r="U271" s="27" t="s">
        <v>107</v>
      </c>
    </row>
    <row r="272" spans="18:21" x14ac:dyDescent="0.25">
      <c r="R272" s="26" t="s">
        <v>86</v>
      </c>
      <c r="S272" s="26" t="s">
        <v>92</v>
      </c>
      <c r="T272" s="26">
        <v>5</v>
      </c>
      <c r="U272" s="27" t="s">
        <v>107</v>
      </c>
    </row>
    <row r="273" spans="18:21" x14ac:dyDescent="0.25">
      <c r="R273" s="26" t="s">
        <v>86</v>
      </c>
      <c r="S273" s="26" t="s">
        <v>93</v>
      </c>
      <c r="T273" s="26">
        <v>5</v>
      </c>
      <c r="U273" s="27" t="s">
        <v>107</v>
      </c>
    </row>
    <row r="274" spans="18:21" x14ac:dyDescent="0.25">
      <c r="R274" s="26" t="s">
        <v>86</v>
      </c>
      <c r="S274" s="26" t="s">
        <v>94</v>
      </c>
      <c r="T274" s="26">
        <v>5</v>
      </c>
      <c r="U274" s="27" t="s">
        <v>107</v>
      </c>
    </row>
    <row r="275" spans="18:21" x14ac:dyDescent="0.25">
      <c r="R275" s="26" t="s">
        <v>95</v>
      </c>
      <c r="S275" s="26" t="s">
        <v>87</v>
      </c>
      <c r="T275" s="26">
        <v>5</v>
      </c>
      <c r="U275" s="27" t="s">
        <v>107</v>
      </c>
    </row>
    <row r="276" spans="18:21" x14ac:dyDescent="0.25">
      <c r="R276" s="26" t="s">
        <v>95</v>
      </c>
      <c r="S276" s="26" t="s">
        <v>88</v>
      </c>
      <c r="T276" s="26">
        <v>5</v>
      </c>
      <c r="U276" s="27" t="s">
        <v>107</v>
      </c>
    </row>
    <row r="277" spans="18:21" x14ac:dyDescent="0.25">
      <c r="R277" s="26" t="s">
        <v>95</v>
      </c>
      <c r="S277" s="26" t="s">
        <v>89</v>
      </c>
      <c r="T277" s="26">
        <v>5</v>
      </c>
      <c r="U277" s="27" t="s">
        <v>107</v>
      </c>
    </row>
    <row r="278" spans="18:21" x14ac:dyDescent="0.25">
      <c r="R278" s="26" t="s">
        <v>95</v>
      </c>
      <c r="S278" s="26" t="s">
        <v>90</v>
      </c>
      <c r="T278" s="26">
        <v>5</v>
      </c>
      <c r="U278" s="27" t="s">
        <v>107</v>
      </c>
    </row>
    <row r="279" spans="18:21" x14ac:dyDescent="0.25">
      <c r="R279" s="26" t="s">
        <v>95</v>
      </c>
      <c r="S279" s="26" t="s">
        <v>91</v>
      </c>
      <c r="T279" s="26">
        <v>5</v>
      </c>
      <c r="U279" s="27" t="s">
        <v>107</v>
      </c>
    </row>
    <row r="280" spans="18:21" x14ac:dyDescent="0.25">
      <c r="R280" s="26" t="s">
        <v>95</v>
      </c>
      <c r="S280" s="26" t="s">
        <v>92</v>
      </c>
      <c r="T280" s="26">
        <v>5</v>
      </c>
      <c r="U280" s="27" t="s">
        <v>107</v>
      </c>
    </row>
    <row r="281" spans="18:21" x14ac:dyDescent="0.25">
      <c r="R281" s="26" t="s">
        <v>95</v>
      </c>
      <c r="S281" s="26" t="s">
        <v>93</v>
      </c>
      <c r="T281" s="26">
        <v>5</v>
      </c>
      <c r="U281" s="27" t="s">
        <v>107</v>
      </c>
    </row>
    <row r="282" spans="18:21" x14ac:dyDescent="0.25">
      <c r="R282" s="26" t="s">
        <v>95</v>
      </c>
      <c r="S282" s="26" t="s">
        <v>94</v>
      </c>
      <c r="T282" s="26">
        <v>5</v>
      </c>
      <c r="U282" s="27" t="s">
        <v>107</v>
      </c>
    </row>
    <row r="283" spans="18:21" x14ac:dyDescent="0.25">
      <c r="R283" s="26" t="s">
        <v>96</v>
      </c>
      <c r="S283" s="26" t="s">
        <v>87</v>
      </c>
      <c r="T283" s="26">
        <v>5</v>
      </c>
      <c r="U283" s="27" t="s">
        <v>107</v>
      </c>
    </row>
    <row r="284" spans="18:21" x14ac:dyDescent="0.25">
      <c r="R284" s="26" t="s">
        <v>96</v>
      </c>
      <c r="S284" s="26" t="s">
        <v>88</v>
      </c>
      <c r="T284" s="26">
        <v>5</v>
      </c>
      <c r="U284" s="27" t="s">
        <v>107</v>
      </c>
    </row>
    <row r="285" spans="18:21" x14ac:dyDescent="0.25">
      <c r="R285" s="26" t="s">
        <v>96</v>
      </c>
      <c r="S285" s="26" t="s">
        <v>89</v>
      </c>
      <c r="T285" s="26">
        <v>5</v>
      </c>
      <c r="U285" s="27" t="s">
        <v>107</v>
      </c>
    </row>
    <row r="286" spans="18:21" x14ac:dyDescent="0.25">
      <c r="R286" s="26" t="s">
        <v>96</v>
      </c>
      <c r="S286" s="26" t="s">
        <v>90</v>
      </c>
      <c r="T286" s="26">
        <v>5</v>
      </c>
      <c r="U286" s="27" t="s">
        <v>107</v>
      </c>
    </row>
    <row r="287" spans="18:21" x14ac:dyDescent="0.25">
      <c r="R287" s="26" t="s">
        <v>96</v>
      </c>
      <c r="S287" s="26" t="s">
        <v>91</v>
      </c>
      <c r="T287" s="26">
        <v>5</v>
      </c>
      <c r="U287" s="27" t="s">
        <v>107</v>
      </c>
    </row>
    <row r="288" spans="18:21" x14ac:dyDescent="0.25">
      <c r="R288" s="26" t="s">
        <v>96</v>
      </c>
      <c r="S288" s="26" t="s">
        <v>92</v>
      </c>
      <c r="T288" s="26">
        <v>5</v>
      </c>
      <c r="U288" s="27" t="s">
        <v>107</v>
      </c>
    </row>
    <row r="289" spans="18:21" x14ac:dyDescent="0.25">
      <c r="R289" s="26" t="s">
        <v>96</v>
      </c>
      <c r="S289" s="26" t="s">
        <v>93</v>
      </c>
      <c r="T289" s="26">
        <v>5</v>
      </c>
      <c r="U289" s="27" t="s">
        <v>107</v>
      </c>
    </row>
    <row r="290" spans="18:21" x14ac:dyDescent="0.25">
      <c r="R290" s="26" t="s">
        <v>96</v>
      </c>
      <c r="S290" s="26" t="s">
        <v>94</v>
      </c>
      <c r="T290" s="26">
        <v>5</v>
      </c>
      <c r="U290" s="27" t="s">
        <v>107</v>
      </c>
    </row>
    <row r="291" spans="18:21" x14ac:dyDescent="0.25">
      <c r="R291" s="26" t="s">
        <v>97</v>
      </c>
      <c r="S291" s="26" t="s">
        <v>87</v>
      </c>
      <c r="T291" s="26">
        <v>5</v>
      </c>
      <c r="U291" s="27" t="s">
        <v>107</v>
      </c>
    </row>
    <row r="292" spans="18:21" x14ac:dyDescent="0.25">
      <c r="R292" s="26" t="s">
        <v>97</v>
      </c>
      <c r="S292" s="26" t="s">
        <v>88</v>
      </c>
      <c r="T292" s="26">
        <v>5</v>
      </c>
      <c r="U292" s="27" t="s">
        <v>107</v>
      </c>
    </row>
    <row r="293" spans="18:21" x14ac:dyDescent="0.25">
      <c r="R293" s="26" t="s">
        <v>97</v>
      </c>
      <c r="S293" s="26" t="s">
        <v>89</v>
      </c>
      <c r="T293" s="26">
        <v>5</v>
      </c>
      <c r="U293" s="27" t="s">
        <v>107</v>
      </c>
    </row>
    <row r="294" spans="18:21" x14ac:dyDescent="0.25">
      <c r="R294" s="26" t="s">
        <v>97</v>
      </c>
      <c r="S294" s="26" t="s">
        <v>90</v>
      </c>
      <c r="T294" s="26">
        <v>5</v>
      </c>
      <c r="U294" s="27" t="s">
        <v>107</v>
      </c>
    </row>
    <row r="295" spans="18:21" x14ac:dyDescent="0.25">
      <c r="R295" s="26" t="s">
        <v>97</v>
      </c>
      <c r="S295" s="26" t="s">
        <v>91</v>
      </c>
      <c r="T295" s="26">
        <v>5</v>
      </c>
      <c r="U295" s="27" t="s">
        <v>107</v>
      </c>
    </row>
    <row r="296" spans="18:21" x14ac:dyDescent="0.25">
      <c r="R296" s="26" t="s">
        <v>97</v>
      </c>
      <c r="S296" s="26" t="s">
        <v>92</v>
      </c>
      <c r="T296" s="26">
        <v>5</v>
      </c>
      <c r="U296" s="27" t="s">
        <v>107</v>
      </c>
    </row>
    <row r="297" spans="18:21" x14ac:dyDescent="0.25">
      <c r="R297" s="26" t="s">
        <v>97</v>
      </c>
      <c r="S297" s="26" t="s">
        <v>93</v>
      </c>
      <c r="T297" s="26">
        <v>5</v>
      </c>
      <c r="U297" s="27" t="s">
        <v>107</v>
      </c>
    </row>
    <row r="298" spans="18:21" x14ac:dyDescent="0.25">
      <c r="R298" s="26" t="s">
        <v>97</v>
      </c>
      <c r="S298" s="26" t="s">
        <v>94</v>
      </c>
      <c r="T298" s="26">
        <v>5</v>
      </c>
      <c r="U298" s="27" t="s">
        <v>107</v>
      </c>
    </row>
    <row r="299" spans="18:21" x14ac:dyDescent="0.25">
      <c r="R299" s="26" t="s">
        <v>98</v>
      </c>
      <c r="S299" s="26" t="s">
        <v>87</v>
      </c>
      <c r="T299" s="26">
        <v>5</v>
      </c>
      <c r="U299" s="27" t="s">
        <v>107</v>
      </c>
    </row>
    <row r="300" spans="18:21" x14ac:dyDescent="0.25">
      <c r="R300" s="26" t="s">
        <v>98</v>
      </c>
      <c r="S300" s="26" t="s">
        <v>88</v>
      </c>
      <c r="T300" s="26">
        <v>5</v>
      </c>
      <c r="U300" s="27" t="s">
        <v>107</v>
      </c>
    </row>
    <row r="301" spans="18:21" x14ac:dyDescent="0.25">
      <c r="R301" s="26" t="s">
        <v>98</v>
      </c>
      <c r="S301" s="26" t="s">
        <v>89</v>
      </c>
      <c r="T301" s="26">
        <v>5</v>
      </c>
      <c r="U301" s="27" t="s">
        <v>107</v>
      </c>
    </row>
    <row r="302" spans="18:21" x14ac:dyDescent="0.25">
      <c r="R302" s="26" t="s">
        <v>98</v>
      </c>
      <c r="S302" s="26" t="s">
        <v>90</v>
      </c>
      <c r="T302" s="26">
        <v>5</v>
      </c>
      <c r="U302" s="27" t="s">
        <v>107</v>
      </c>
    </row>
    <row r="303" spans="18:21" x14ac:dyDescent="0.25">
      <c r="R303" s="26" t="s">
        <v>98</v>
      </c>
      <c r="S303" s="26" t="s">
        <v>91</v>
      </c>
      <c r="T303" s="26">
        <v>5</v>
      </c>
      <c r="U303" s="27" t="s">
        <v>107</v>
      </c>
    </row>
    <row r="304" spans="18:21" x14ac:dyDescent="0.25">
      <c r="R304" s="26" t="s">
        <v>98</v>
      </c>
      <c r="S304" s="26" t="s">
        <v>92</v>
      </c>
      <c r="T304" s="26">
        <v>5</v>
      </c>
      <c r="U304" s="27" t="s">
        <v>107</v>
      </c>
    </row>
    <row r="305" spans="18:21" x14ac:dyDescent="0.25">
      <c r="R305" s="26" t="s">
        <v>98</v>
      </c>
      <c r="S305" s="26" t="s">
        <v>93</v>
      </c>
      <c r="T305" s="26">
        <v>5</v>
      </c>
      <c r="U305" s="27" t="s">
        <v>107</v>
      </c>
    </row>
    <row r="306" spans="18:21" x14ac:dyDescent="0.25">
      <c r="R306" s="26" t="s">
        <v>98</v>
      </c>
      <c r="S306" s="26" t="s">
        <v>94</v>
      </c>
      <c r="T306" s="26">
        <v>5</v>
      </c>
      <c r="U306" s="27" t="s">
        <v>107</v>
      </c>
    </row>
    <row r="307" spans="18:21" x14ac:dyDescent="0.25">
      <c r="R307" s="26" t="s">
        <v>86</v>
      </c>
      <c r="S307" s="26" t="s">
        <v>87</v>
      </c>
      <c r="T307" s="26">
        <v>6</v>
      </c>
      <c r="U307" s="27" t="s">
        <v>107</v>
      </c>
    </row>
    <row r="308" spans="18:21" x14ac:dyDescent="0.25">
      <c r="R308" s="26" t="s">
        <v>86</v>
      </c>
      <c r="S308" s="26" t="s">
        <v>88</v>
      </c>
      <c r="T308" s="26">
        <v>6</v>
      </c>
      <c r="U308" s="27" t="s">
        <v>107</v>
      </c>
    </row>
    <row r="309" spans="18:21" x14ac:dyDescent="0.25">
      <c r="R309" s="26" t="s">
        <v>86</v>
      </c>
      <c r="S309" s="26" t="s">
        <v>89</v>
      </c>
      <c r="T309" s="26">
        <v>6</v>
      </c>
      <c r="U309" s="27" t="s">
        <v>107</v>
      </c>
    </row>
    <row r="310" spans="18:21" x14ac:dyDescent="0.25">
      <c r="R310" s="26" t="s">
        <v>86</v>
      </c>
      <c r="S310" s="26" t="s">
        <v>90</v>
      </c>
      <c r="T310" s="26">
        <v>6</v>
      </c>
      <c r="U310" s="27" t="s">
        <v>107</v>
      </c>
    </row>
    <row r="311" spans="18:21" x14ac:dyDescent="0.25">
      <c r="R311" s="26" t="s">
        <v>86</v>
      </c>
      <c r="S311" s="26" t="s">
        <v>91</v>
      </c>
      <c r="T311" s="26">
        <v>6</v>
      </c>
      <c r="U311" s="27" t="s">
        <v>107</v>
      </c>
    </row>
    <row r="312" spans="18:21" x14ac:dyDescent="0.25">
      <c r="R312" s="26" t="s">
        <v>86</v>
      </c>
      <c r="S312" s="26" t="s">
        <v>92</v>
      </c>
      <c r="T312" s="26">
        <v>6</v>
      </c>
      <c r="U312" s="27" t="s">
        <v>107</v>
      </c>
    </row>
    <row r="313" spans="18:21" x14ac:dyDescent="0.25">
      <c r="R313" s="26" t="s">
        <v>86</v>
      </c>
      <c r="S313" s="26" t="s">
        <v>93</v>
      </c>
      <c r="T313" s="26">
        <v>6</v>
      </c>
      <c r="U313" s="27" t="s">
        <v>107</v>
      </c>
    </row>
    <row r="314" spans="18:21" x14ac:dyDescent="0.25">
      <c r="R314" s="26" t="s">
        <v>86</v>
      </c>
      <c r="S314" s="26" t="s">
        <v>94</v>
      </c>
      <c r="T314" s="26">
        <v>6</v>
      </c>
      <c r="U314" s="27" t="s">
        <v>107</v>
      </c>
    </row>
    <row r="315" spans="18:21" x14ac:dyDescent="0.25">
      <c r="R315" s="26" t="s">
        <v>95</v>
      </c>
      <c r="S315" s="26" t="s">
        <v>87</v>
      </c>
      <c r="T315" s="26">
        <v>6</v>
      </c>
      <c r="U315" s="27" t="s">
        <v>107</v>
      </c>
    </row>
    <row r="316" spans="18:21" x14ac:dyDescent="0.25">
      <c r="R316" s="26" t="s">
        <v>95</v>
      </c>
      <c r="S316" s="26" t="s">
        <v>88</v>
      </c>
      <c r="T316" s="26">
        <v>6</v>
      </c>
      <c r="U316" s="27" t="s">
        <v>107</v>
      </c>
    </row>
    <row r="317" spans="18:21" x14ac:dyDescent="0.25">
      <c r="R317" s="26" t="s">
        <v>95</v>
      </c>
      <c r="S317" s="26" t="s">
        <v>89</v>
      </c>
      <c r="T317" s="26">
        <v>6</v>
      </c>
      <c r="U317" s="27" t="s">
        <v>107</v>
      </c>
    </row>
    <row r="318" spans="18:21" x14ac:dyDescent="0.25">
      <c r="R318" s="26" t="s">
        <v>95</v>
      </c>
      <c r="S318" s="26" t="s">
        <v>90</v>
      </c>
      <c r="T318" s="26">
        <v>6</v>
      </c>
      <c r="U318" s="27" t="s">
        <v>107</v>
      </c>
    </row>
    <row r="319" spans="18:21" x14ac:dyDescent="0.25">
      <c r="R319" s="26" t="s">
        <v>95</v>
      </c>
      <c r="S319" s="26" t="s">
        <v>91</v>
      </c>
      <c r="T319" s="26">
        <v>6</v>
      </c>
      <c r="U319" s="27" t="s">
        <v>107</v>
      </c>
    </row>
    <row r="320" spans="18:21" x14ac:dyDescent="0.25">
      <c r="R320" s="26" t="s">
        <v>95</v>
      </c>
      <c r="S320" s="26" t="s">
        <v>92</v>
      </c>
      <c r="T320" s="26">
        <v>6</v>
      </c>
      <c r="U320" s="27" t="s">
        <v>107</v>
      </c>
    </row>
    <row r="321" spans="18:21" x14ac:dyDescent="0.25">
      <c r="R321" s="26" t="s">
        <v>95</v>
      </c>
      <c r="S321" s="26" t="s">
        <v>93</v>
      </c>
      <c r="T321" s="26">
        <v>6</v>
      </c>
      <c r="U321" s="27" t="s">
        <v>107</v>
      </c>
    </row>
    <row r="322" spans="18:21" x14ac:dyDescent="0.25">
      <c r="R322" s="26" t="s">
        <v>95</v>
      </c>
      <c r="S322" s="26" t="s">
        <v>94</v>
      </c>
      <c r="T322" s="26">
        <v>6</v>
      </c>
      <c r="U322" s="27" t="s">
        <v>107</v>
      </c>
    </row>
    <row r="323" spans="18:21" x14ac:dyDescent="0.25">
      <c r="R323" s="26" t="s">
        <v>96</v>
      </c>
      <c r="S323" s="26" t="s">
        <v>87</v>
      </c>
      <c r="T323" s="26">
        <v>6</v>
      </c>
      <c r="U323" s="27" t="s">
        <v>107</v>
      </c>
    </row>
    <row r="324" spans="18:21" x14ac:dyDescent="0.25">
      <c r="R324" s="26" t="s">
        <v>96</v>
      </c>
      <c r="S324" s="26" t="s">
        <v>88</v>
      </c>
      <c r="T324" s="26">
        <v>6</v>
      </c>
      <c r="U324" s="27" t="s">
        <v>107</v>
      </c>
    </row>
    <row r="325" spans="18:21" x14ac:dyDescent="0.25">
      <c r="R325" s="26" t="s">
        <v>96</v>
      </c>
      <c r="S325" s="26" t="s">
        <v>89</v>
      </c>
      <c r="T325" s="26">
        <v>6</v>
      </c>
      <c r="U325" s="27" t="s">
        <v>107</v>
      </c>
    </row>
    <row r="326" spans="18:21" x14ac:dyDescent="0.25">
      <c r="R326" s="26" t="s">
        <v>96</v>
      </c>
      <c r="S326" s="26" t="s">
        <v>90</v>
      </c>
      <c r="T326" s="26">
        <v>6</v>
      </c>
      <c r="U326" s="27" t="s">
        <v>107</v>
      </c>
    </row>
    <row r="327" spans="18:21" x14ac:dyDescent="0.25">
      <c r="R327" s="26" t="s">
        <v>96</v>
      </c>
      <c r="S327" s="26" t="s">
        <v>91</v>
      </c>
      <c r="T327" s="26">
        <v>6</v>
      </c>
      <c r="U327" s="27" t="s">
        <v>107</v>
      </c>
    </row>
    <row r="328" spans="18:21" x14ac:dyDescent="0.25">
      <c r="R328" s="26" t="s">
        <v>96</v>
      </c>
      <c r="S328" s="26" t="s">
        <v>92</v>
      </c>
      <c r="T328" s="26">
        <v>6</v>
      </c>
      <c r="U328" s="27" t="s">
        <v>107</v>
      </c>
    </row>
    <row r="329" spans="18:21" x14ac:dyDescent="0.25">
      <c r="R329" s="26" t="s">
        <v>96</v>
      </c>
      <c r="S329" s="26" t="s">
        <v>93</v>
      </c>
      <c r="T329" s="26">
        <v>6</v>
      </c>
      <c r="U329" s="27" t="s">
        <v>107</v>
      </c>
    </row>
    <row r="330" spans="18:21" x14ac:dyDescent="0.25">
      <c r="R330" s="26" t="s">
        <v>96</v>
      </c>
      <c r="S330" s="26" t="s">
        <v>94</v>
      </c>
      <c r="T330" s="26">
        <v>6</v>
      </c>
      <c r="U330" s="27" t="s">
        <v>107</v>
      </c>
    </row>
    <row r="331" spans="18:21" x14ac:dyDescent="0.25">
      <c r="R331" s="26" t="s">
        <v>97</v>
      </c>
      <c r="S331" s="26" t="s">
        <v>87</v>
      </c>
      <c r="T331" s="26">
        <v>6</v>
      </c>
      <c r="U331" s="27" t="s">
        <v>107</v>
      </c>
    </row>
    <row r="332" spans="18:21" x14ac:dyDescent="0.25">
      <c r="R332" s="26" t="s">
        <v>97</v>
      </c>
      <c r="S332" s="26" t="s">
        <v>88</v>
      </c>
      <c r="T332" s="26">
        <v>6</v>
      </c>
      <c r="U332" s="27" t="s">
        <v>107</v>
      </c>
    </row>
    <row r="333" spans="18:21" x14ac:dyDescent="0.25">
      <c r="R333" s="26" t="s">
        <v>97</v>
      </c>
      <c r="S333" s="26" t="s">
        <v>89</v>
      </c>
      <c r="T333" s="26">
        <v>6</v>
      </c>
      <c r="U333" s="27" t="s">
        <v>107</v>
      </c>
    </row>
    <row r="334" spans="18:21" x14ac:dyDescent="0.25">
      <c r="R334" s="26" t="s">
        <v>97</v>
      </c>
      <c r="S334" s="26" t="s">
        <v>90</v>
      </c>
      <c r="T334" s="26">
        <v>6</v>
      </c>
      <c r="U334" s="27" t="s">
        <v>107</v>
      </c>
    </row>
    <row r="335" spans="18:21" x14ac:dyDescent="0.25">
      <c r="R335" s="26" t="s">
        <v>97</v>
      </c>
      <c r="S335" s="26" t="s">
        <v>91</v>
      </c>
      <c r="T335" s="26">
        <v>6</v>
      </c>
      <c r="U335" s="27" t="s">
        <v>107</v>
      </c>
    </row>
    <row r="336" spans="18:21" x14ac:dyDescent="0.25">
      <c r="R336" s="26" t="s">
        <v>97</v>
      </c>
      <c r="S336" s="26" t="s">
        <v>92</v>
      </c>
      <c r="T336" s="26">
        <v>6</v>
      </c>
      <c r="U336" s="27" t="s">
        <v>107</v>
      </c>
    </row>
    <row r="337" spans="18:21" x14ac:dyDescent="0.25">
      <c r="R337" s="26" t="s">
        <v>97</v>
      </c>
      <c r="S337" s="26" t="s">
        <v>93</v>
      </c>
      <c r="T337" s="26">
        <v>6</v>
      </c>
      <c r="U337" s="27" t="s">
        <v>107</v>
      </c>
    </row>
    <row r="338" spans="18:21" x14ac:dyDescent="0.25">
      <c r="R338" s="26" t="s">
        <v>97</v>
      </c>
      <c r="S338" s="26" t="s">
        <v>94</v>
      </c>
      <c r="T338" s="26">
        <v>6</v>
      </c>
      <c r="U338" s="27" t="s">
        <v>107</v>
      </c>
    </row>
    <row r="339" spans="18:21" x14ac:dyDescent="0.25">
      <c r="R339" s="26" t="s">
        <v>98</v>
      </c>
      <c r="S339" s="26" t="s">
        <v>87</v>
      </c>
      <c r="T339" s="26">
        <v>6</v>
      </c>
      <c r="U339" s="27" t="s">
        <v>107</v>
      </c>
    </row>
    <row r="340" spans="18:21" x14ac:dyDescent="0.25">
      <c r="R340" s="26" t="s">
        <v>98</v>
      </c>
      <c r="S340" s="26" t="s">
        <v>88</v>
      </c>
      <c r="T340" s="26">
        <v>6</v>
      </c>
      <c r="U340" s="27" t="s">
        <v>107</v>
      </c>
    </row>
    <row r="341" spans="18:21" x14ac:dyDescent="0.25">
      <c r="R341" s="26" t="s">
        <v>98</v>
      </c>
      <c r="S341" s="26" t="s">
        <v>89</v>
      </c>
      <c r="T341" s="26">
        <v>6</v>
      </c>
      <c r="U341" s="27" t="s">
        <v>107</v>
      </c>
    </row>
    <row r="342" spans="18:21" x14ac:dyDescent="0.25">
      <c r="R342" s="26" t="s">
        <v>98</v>
      </c>
      <c r="S342" s="26" t="s">
        <v>90</v>
      </c>
      <c r="T342" s="26">
        <v>6</v>
      </c>
      <c r="U342" s="27" t="s">
        <v>107</v>
      </c>
    </row>
    <row r="343" spans="18:21" x14ac:dyDescent="0.25">
      <c r="R343" s="26" t="s">
        <v>98</v>
      </c>
      <c r="S343" s="26" t="s">
        <v>91</v>
      </c>
      <c r="T343" s="26">
        <v>6</v>
      </c>
      <c r="U343" s="27" t="s">
        <v>107</v>
      </c>
    </row>
    <row r="344" spans="18:21" x14ac:dyDescent="0.25">
      <c r="R344" s="26" t="s">
        <v>98</v>
      </c>
      <c r="S344" s="26" t="s">
        <v>92</v>
      </c>
      <c r="T344" s="26">
        <v>6</v>
      </c>
      <c r="U344" s="27" t="s">
        <v>107</v>
      </c>
    </row>
    <row r="345" spans="18:21" x14ac:dyDescent="0.25">
      <c r="R345" s="26" t="s">
        <v>98</v>
      </c>
      <c r="S345" s="26" t="s">
        <v>93</v>
      </c>
      <c r="T345" s="26">
        <v>6</v>
      </c>
      <c r="U345" s="27" t="s">
        <v>107</v>
      </c>
    </row>
    <row r="346" spans="18:21" x14ac:dyDescent="0.25">
      <c r="R346" s="26" t="s">
        <v>98</v>
      </c>
      <c r="S346" s="26" t="s">
        <v>94</v>
      </c>
      <c r="T346" s="26">
        <v>6</v>
      </c>
      <c r="U346" s="27" t="s">
        <v>107</v>
      </c>
    </row>
    <row r="347" spans="18:21" x14ac:dyDescent="0.25">
      <c r="R347" s="26">
        <v>72</v>
      </c>
      <c r="S347" s="26">
        <v>30</v>
      </c>
      <c r="T347" s="26">
        <v>4</v>
      </c>
      <c r="U347" s="27" t="s">
        <v>107</v>
      </c>
    </row>
    <row r="348" spans="18:21" x14ac:dyDescent="0.25">
      <c r="R348" s="26">
        <v>72</v>
      </c>
      <c r="S348" s="26">
        <v>36</v>
      </c>
      <c r="T348" s="26">
        <v>4</v>
      </c>
      <c r="U348" s="27" t="s">
        <v>107</v>
      </c>
    </row>
    <row r="349" spans="18:21" x14ac:dyDescent="0.25">
      <c r="R349" s="26">
        <v>72</v>
      </c>
      <c r="S349" s="26">
        <v>42</v>
      </c>
      <c r="T349" s="26">
        <v>4</v>
      </c>
      <c r="U349" s="27" t="s">
        <v>107</v>
      </c>
    </row>
    <row r="350" spans="18:21" x14ac:dyDescent="0.25">
      <c r="R350" s="26">
        <v>72</v>
      </c>
      <c r="S350" s="26">
        <v>48</v>
      </c>
      <c r="T350" s="26">
        <v>4</v>
      </c>
      <c r="U350" s="27" t="s">
        <v>107</v>
      </c>
    </row>
    <row r="351" spans="18:21" x14ac:dyDescent="0.25">
      <c r="R351" s="26">
        <v>72</v>
      </c>
      <c r="S351" s="26">
        <v>60</v>
      </c>
      <c r="T351" s="26">
        <v>4</v>
      </c>
      <c r="U351" s="27" t="s">
        <v>107</v>
      </c>
    </row>
    <row r="352" spans="18:21" x14ac:dyDescent="0.25">
      <c r="R352" s="26">
        <v>72</v>
      </c>
      <c r="S352" s="26">
        <v>66</v>
      </c>
      <c r="T352" s="26">
        <v>4</v>
      </c>
      <c r="U352" s="27" t="s">
        <v>107</v>
      </c>
    </row>
    <row r="353" spans="18:21" x14ac:dyDescent="0.25">
      <c r="R353" s="26">
        <v>72</v>
      </c>
      <c r="S353" s="26">
        <v>72</v>
      </c>
      <c r="T353" s="26">
        <v>4</v>
      </c>
      <c r="U353" s="27" t="s">
        <v>107</v>
      </c>
    </row>
    <row r="354" spans="18:21" x14ac:dyDescent="0.25">
      <c r="R354" s="26">
        <v>75</v>
      </c>
      <c r="S354" s="26">
        <v>30</v>
      </c>
      <c r="T354" s="26">
        <v>4</v>
      </c>
      <c r="U354" s="27" t="s">
        <v>107</v>
      </c>
    </row>
    <row r="355" spans="18:21" x14ac:dyDescent="0.25">
      <c r="R355" s="26">
        <v>75</v>
      </c>
      <c r="S355" s="26">
        <v>36</v>
      </c>
      <c r="T355" s="26">
        <v>4</v>
      </c>
      <c r="U355" s="27" t="s">
        <v>107</v>
      </c>
    </row>
    <row r="356" spans="18:21" x14ac:dyDescent="0.25">
      <c r="R356" s="26">
        <v>75</v>
      </c>
      <c r="S356" s="26">
        <v>42</v>
      </c>
      <c r="T356" s="26">
        <v>4</v>
      </c>
      <c r="U356" s="27" t="s">
        <v>107</v>
      </c>
    </row>
    <row r="357" spans="18:21" x14ac:dyDescent="0.25">
      <c r="R357" s="26">
        <v>75</v>
      </c>
      <c r="S357" s="26">
        <v>48</v>
      </c>
      <c r="T357" s="26">
        <v>4</v>
      </c>
      <c r="U357" s="27" t="s">
        <v>107</v>
      </c>
    </row>
    <row r="358" spans="18:21" x14ac:dyDescent="0.25">
      <c r="R358" s="26">
        <v>75</v>
      </c>
      <c r="S358" s="26">
        <v>60</v>
      </c>
      <c r="T358" s="26">
        <v>4</v>
      </c>
      <c r="U358" s="27" t="s">
        <v>107</v>
      </c>
    </row>
    <row r="359" spans="18:21" x14ac:dyDescent="0.25">
      <c r="R359" s="26">
        <v>75</v>
      </c>
      <c r="S359" s="26">
        <v>66</v>
      </c>
      <c r="T359" s="26">
        <v>4</v>
      </c>
      <c r="U359" s="27" t="s">
        <v>107</v>
      </c>
    </row>
    <row r="360" spans="18:21" x14ac:dyDescent="0.25">
      <c r="R360" s="26">
        <v>75</v>
      </c>
      <c r="S360" s="26">
        <v>72</v>
      </c>
      <c r="T360" s="26">
        <v>4</v>
      </c>
      <c r="U360" s="27" t="s">
        <v>107</v>
      </c>
    </row>
    <row r="361" spans="18:21" x14ac:dyDescent="0.25">
      <c r="R361" s="26">
        <v>78</v>
      </c>
      <c r="S361" s="26">
        <v>30</v>
      </c>
      <c r="T361" s="26">
        <v>4</v>
      </c>
      <c r="U361" s="27" t="s">
        <v>107</v>
      </c>
    </row>
    <row r="362" spans="18:21" x14ac:dyDescent="0.25">
      <c r="R362" s="26">
        <v>78</v>
      </c>
      <c r="S362" s="26">
        <v>36</v>
      </c>
      <c r="T362" s="26">
        <v>4</v>
      </c>
      <c r="U362" s="27" t="s">
        <v>107</v>
      </c>
    </row>
    <row r="363" spans="18:21" x14ac:dyDescent="0.25">
      <c r="R363" s="26">
        <v>78</v>
      </c>
      <c r="S363" s="26">
        <v>42</v>
      </c>
      <c r="T363" s="26">
        <v>4</v>
      </c>
      <c r="U363" s="27" t="s">
        <v>107</v>
      </c>
    </row>
    <row r="364" spans="18:21" x14ac:dyDescent="0.25">
      <c r="R364" s="26">
        <v>78</v>
      </c>
      <c r="S364" s="26">
        <v>48</v>
      </c>
      <c r="T364" s="26">
        <v>4</v>
      </c>
      <c r="U364" s="27" t="s">
        <v>107</v>
      </c>
    </row>
    <row r="365" spans="18:21" x14ac:dyDescent="0.25">
      <c r="R365" s="26">
        <v>78</v>
      </c>
      <c r="S365" s="26">
        <v>60</v>
      </c>
      <c r="T365" s="26">
        <v>4</v>
      </c>
      <c r="U365" s="27" t="s">
        <v>107</v>
      </c>
    </row>
    <row r="366" spans="18:21" x14ac:dyDescent="0.25">
      <c r="R366" s="26">
        <v>78</v>
      </c>
      <c r="S366" s="26">
        <v>66</v>
      </c>
      <c r="T366" s="26">
        <v>4</v>
      </c>
      <c r="U366" s="27" t="s">
        <v>107</v>
      </c>
    </row>
    <row r="367" spans="18:21" x14ac:dyDescent="0.25">
      <c r="R367" s="26">
        <v>78</v>
      </c>
      <c r="S367" s="26">
        <v>72</v>
      </c>
      <c r="T367" s="26">
        <v>4</v>
      </c>
      <c r="U367" s="27" t="s">
        <v>107</v>
      </c>
    </row>
    <row r="368" spans="18:21" x14ac:dyDescent="0.25">
      <c r="R368" s="26">
        <v>80</v>
      </c>
      <c r="S368" s="26">
        <v>30</v>
      </c>
      <c r="T368" s="26">
        <v>4</v>
      </c>
      <c r="U368" s="27" t="s">
        <v>107</v>
      </c>
    </row>
    <row r="369" spans="18:21" x14ac:dyDescent="0.25">
      <c r="R369" s="26">
        <v>80</v>
      </c>
      <c r="S369" s="26">
        <v>36</v>
      </c>
      <c r="T369" s="26">
        <v>4</v>
      </c>
      <c r="U369" s="27" t="s">
        <v>107</v>
      </c>
    </row>
    <row r="370" spans="18:21" x14ac:dyDescent="0.25">
      <c r="R370" s="26">
        <v>80</v>
      </c>
      <c r="S370" s="26">
        <v>42</v>
      </c>
      <c r="T370" s="26">
        <v>4</v>
      </c>
      <c r="U370" s="27" t="s">
        <v>107</v>
      </c>
    </row>
    <row r="371" spans="18:21" x14ac:dyDescent="0.25">
      <c r="R371" s="26">
        <v>80</v>
      </c>
      <c r="S371" s="26">
        <v>48</v>
      </c>
      <c r="T371" s="26">
        <v>4</v>
      </c>
      <c r="U371" s="27" t="s">
        <v>107</v>
      </c>
    </row>
    <row r="372" spans="18:21" x14ac:dyDescent="0.25">
      <c r="R372" s="26">
        <v>80</v>
      </c>
      <c r="S372" s="26">
        <v>60</v>
      </c>
      <c r="T372" s="26">
        <v>4</v>
      </c>
      <c r="U372" s="27" t="s">
        <v>107</v>
      </c>
    </row>
    <row r="373" spans="18:21" x14ac:dyDescent="0.25">
      <c r="R373" s="26">
        <v>80</v>
      </c>
      <c r="S373" s="26">
        <v>66</v>
      </c>
      <c r="T373" s="26">
        <v>4</v>
      </c>
      <c r="U373" s="27" t="s">
        <v>107</v>
      </c>
    </row>
    <row r="374" spans="18:21" x14ac:dyDescent="0.25">
      <c r="R374" s="26">
        <v>80</v>
      </c>
      <c r="S374" s="26">
        <v>72</v>
      </c>
      <c r="T374" s="26">
        <v>4</v>
      </c>
      <c r="U374" s="27" t="s">
        <v>107</v>
      </c>
    </row>
    <row r="375" spans="18:21" x14ac:dyDescent="0.25">
      <c r="R375" s="26">
        <v>84</v>
      </c>
      <c r="S375" s="26">
        <v>30</v>
      </c>
      <c r="T375" s="26">
        <v>4</v>
      </c>
      <c r="U375" s="27" t="s">
        <v>107</v>
      </c>
    </row>
    <row r="376" spans="18:21" x14ac:dyDescent="0.25">
      <c r="R376" s="26">
        <v>84</v>
      </c>
      <c r="S376" s="26">
        <v>36</v>
      </c>
      <c r="T376" s="26">
        <v>4</v>
      </c>
      <c r="U376" s="27" t="s">
        <v>107</v>
      </c>
    </row>
    <row r="377" spans="18:21" x14ac:dyDescent="0.25">
      <c r="R377" s="26">
        <v>84</v>
      </c>
      <c r="S377" s="26">
        <v>42</v>
      </c>
      <c r="T377" s="26">
        <v>4</v>
      </c>
      <c r="U377" s="27" t="s">
        <v>107</v>
      </c>
    </row>
    <row r="378" spans="18:21" x14ac:dyDescent="0.25">
      <c r="R378" s="26">
        <v>84</v>
      </c>
      <c r="S378" s="26">
        <v>48</v>
      </c>
      <c r="T378" s="26">
        <v>4</v>
      </c>
      <c r="U378" s="27" t="s">
        <v>107</v>
      </c>
    </row>
    <row r="379" spans="18:21" x14ac:dyDescent="0.25">
      <c r="R379" s="26">
        <v>84</v>
      </c>
      <c r="S379" s="26">
        <v>60</v>
      </c>
      <c r="T379" s="26">
        <v>4</v>
      </c>
      <c r="U379" s="27" t="s">
        <v>107</v>
      </c>
    </row>
    <row r="380" spans="18:21" x14ac:dyDescent="0.25">
      <c r="R380" s="26">
        <v>84</v>
      </c>
      <c r="S380" s="26">
        <v>66</v>
      </c>
      <c r="T380" s="26">
        <v>4</v>
      </c>
      <c r="U380" s="27" t="s">
        <v>107</v>
      </c>
    </row>
    <row r="381" spans="18:21" x14ac:dyDescent="0.25">
      <c r="R381" s="26">
        <v>84</v>
      </c>
      <c r="S381" s="26">
        <v>72</v>
      </c>
      <c r="T381" s="26">
        <v>4</v>
      </c>
      <c r="U381" s="27" t="s">
        <v>107</v>
      </c>
    </row>
    <row r="382" spans="18:21" x14ac:dyDescent="0.25">
      <c r="R382" s="26">
        <v>72</v>
      </c>
      <c r="S382" s="26">
        <v>30</v>
      </c>
      <c r="T382" s="26">
        <v>5</v>
      </c>
      <c r="U382" s="27" t="s">
        <v>107</v>
      </c>
    </row>
    <row r="383" spans="18:21" x14ac:dyDescent="0.25">
      <c r="R383" s="26">
        <v>72</v>
      </c>
      <c r="S383" s="26">
        <v>36</v>
      </c>
      <c r="T383" s="26">
        <v>5</v>
      </c>
      <c r="U383" s="27" t="s">
        <v>107</v>
      </c>
    </row>
    <row r="384" spans="18:21" x14ac:dyDescent="0.25">
      <c r="R384" s="26">
        <v>72</v>
      </c>
      <c r="S384" s="26">
        <v>42</v>
      </c>
      <c r="T384" s="26">
        <v>5</v>
      </c>
      <c r="U384" s="27" t="s">
        <v>107</v>
      </c>
    </row>
    <row r="385" spans="18:21" x14ac:dyDescent="0.25">
      <c r="R385" s="26">
        <v>72</v>
      </c>
      <c r="S385" s="26">
        <v>48</v>
      </c>
      <c r="T385" s="26">
        <v>5</v>
      </c>
      <c r="U385" s="27" t="s">
        <v>107</v>
      </c>
    </row>
    <row r="386" spans="18:21" x14ac:dyDescent="0.25">
      <c r="R386" s="26">
        <v>72</v>
      </c>
      <c r="S386" s="26">
        <v>60</v>
      </c>
      <c r="T386" s="26">
        <v>5</v>
      </c>
      <c r="U386" s="27" t="s">
        <v>107</v>
      </c>
    </row>
    <row r="387" spans="18:21" x14ac:dyDescent="0.25">
      <c r="R387" s="26">
        <v>72</v>
      </c>
      <c r="S387" s="26">
        <v>66</v>
      </c>
      <c r="T387" s="26">
        <v>5</v>
      </c>
      <c r="U387" s="27" t="s">
        <v>107</v>
      </c>
    </row>
    <row r="388" spans="18:21" x14ac:dyDescent="0.25">
      <c r="R388" s="26">
        <v>72</v>
      </c>
      <c r="S388" s="26">
        <v>72</v>
      </c>
      <c r="T388" s="26">
        <v>5</v>
      </c>
      <c r="U388" s="27" t="s">
        <v>107</v>
      </c>
    </row>
    <row r="389" spans="18:21" x14ac:dyDescent="0.25">
      <c r="R389" s="26">
        <v>75</v>
      </c>
      <c r="S389" s="26">
        <v>30</v>
      </c>
      <c r="T389" s="26">
        <v>5</v>
      </c>
      <c r="U389" s="27" t="s">
        <v>107</v>
      </c>
    </row>
    <row r="390" spans="18:21" x14ac:dyDescent="0.25">
      <c r="R390" s="26">
        <v>75</v>
      </c>
      <c r="S390" s="26">
        <v>36</v>
      </c>
      <c r="T390" s="26">
        <v>5</v>
      </c>
      <c r="U390" s="27" t="s">
        <v>107</v>
      </c>
    </row>
    <row r="391" spans="18:21" x14ac:dyDescent="0.25">
      <c r="R391" s="26">
        <v>75</v>
      </c>
      <c r="S391" s="26">
        <v>42</v>
      </c>
      <c r="T391" s="26">
        <v>5</v>
      </c>
      <c r="U391" s="27" t="s">
        <v>107</v>
      </c>
    </row>
    <row r="392" spans="18:21" x14ac:dyDescent="0.25">
      <c r="R392" s="26">
        <v>75</v>
      </c>
      <c r="S392" s="26">
        <v>48</v>
      </c>
      <c r="T392" s="26">
        <v>5</v>
      </c>
      <c r="U392" s="27" t="s">
        <v>107</v>
      </c>
    </row>
    <row r="393" spans="18:21" x14ac:dyDescent="0.25">
      <c r="R393" s="26">
        <v>75</v>
      </c>
      <c r="S393" s="26">
        <v>60</v>
      </c>
      <c r="T393" s="26">
        <v>5</v>
      </c>
      <c r="U393" s="27" t="s">
        <v>107</v>
      </c>
    </row>
    <row r="394" spans="18:21" x14ac:dyDescent="0.25">
      <c r="R394" s="26">
        <v>75</v>
      </c>
      <c r="S394" s="26">
        <v>66</v>
      </c>
      <c r="T394" s="26">
        <v>5</v>
      </c>
      <c r="U394" s="27" t="s">
        <v>107</v>
      </c>
    </row>
    <row r="395" spans="18:21" x14ac:dyDescent="0.25">
      <c r="R395" s="26">
        <v>75</v>
      </c>
      <c r="S395" s="26">
        <v>72</v>
      </c>
      <c r="T395" s="26">
        <v>5</v>
      </c>
      <c r="U395" s="27" t="s">
        <v>107</v>
      </c>
    </row>
    <row r="396" spans="18:21" x14ac:dyDescent="0.25">
      <c r="R396" s="26">
        <v>78</v>
      </c>
      <c r="S396" s="26">
        <v>30</v>
      </c>
      <c r="T396" s="26">
        <v>5</v>
      </c>
      <c r="U396" s="27" t="s">
        <v>107</v>
      </c>
    </row>
    <row r="397" spans="18:21" x14ac:dyDescent="0.25">
      <c r="R397" s="26">
        <v>78</v>
      </c>
      <c r="S397" s="26">
        <v>36</v>
      </c>
      <c r="T397" s="26">
        <v>5</v>
      </c>
      <c r="U397" s="27" t="s">
        <v>107</v>
      </c>
    </row>
    <row r="398" spans="18:21" x14ac:dyDescent="0.25">
      <c r="R398" s="26">
        <v>78</v>
      </c>
      <c r="S398" s="26">
        <v>42</v>
      </c>
      <c r="T398" s="26">
        <v>5</v>
      </c>
      <c r="U398" s="27" t="s">
        <v>107</v>
      </c>
    </row>
    <row r="399" spans="18:21" x14ac:dyDescent="0.25">
      <c r="R399" s="26">
        <v>78</v>
      </c>
      <c r="S399" s="26">
        <v>48</v>
      </c>
      <c r="T399" s="26">
        <v>5</v>
      </c>
      <c r="U399" s="27" t="s">
        <v>107</v>
      </c>
    </row>
    <row r="400" spans="18:21" x14ac:dyDescent="0.25">
      <c r="R400" s="26">
        <v>78</v>
      </c>
      <c r="S400" s="26">
        <v>60</v>
      </c>
      <c r="T400" s="26">
        <v>5</v>
      </c>
      <c r="U400" s="27" t="s">
        <v>107</v>
      </c>
    </row>
    <row r="401" spans="18:21" x14ac:dyDescent="0.25">
      <c r="R401" s="26">
        <v>78</v>
      </c>
      <c r="S401" s="26">
        <v>66</v>
      </c>
      <c r="T401" s="26">
        <v>5</v>
      </c>
      <c r="U401" s="27" t="s">
        <v>107</v>
      </c>
    </row>
    <row r="402" spans="18:21" x14ac:dyDescent="0.25">
      <c r="R402" s="26">
        <v>78</v>
      </c>
      <c r="S402" s="26">
        <v>72</v>
      </c>
      <c r="T402" s="26">
        <v>5</v>
      </c>
      <c r="U402" s="27" t="s">
        <v>107</v>
      </c>
    </row>
    <row r="403" spans="18:21" x14ac:dyDescent="0.25">
      <c r="R403" s="26">
        <v>80</v>
      </c>
      <c r="S403" s="26">
        <v>30</v>
      </c>
      <c r="T403" s="26">
        <v>5</v>
      </c>
      <c r="U403" s="27" t="s">
        <v>107</v>
      </c>
    </row>
    <row r="404" spans="18:21" x14ac:dyDescent="0.25">
      <c r="R404" s="26">
        <v>80</v>
      </c>
      <c r="S404" s="26">
        <v>36</v>
      </c>
      <c r="T404" s="26">
        <v>5</v>
      </c>
      <c r="U404" s="27" t="s">
        <v>107</v>
      </c>
    </row>
    <row r="405" spans="18:21" x14ac:dyDescent="0.25">
      <c r="R405" s="26">
        <v>80</v>
      </c>
      <c r="S405" s="26">
        <v>42</v>
      </c>
      <c r="T405" s="26">
        <v>5</v>
      </c>
      <c r="U405" s="27" t="s">
        <v>107</v>
      </c>
    </row>
    <row r="406" spans="18:21" x14ac:dyDescent="0.25">
      <c r="R406" s="26">
        <v>80</v>
      </c>
      <c r="S406" s="26">
        <v>48</v>
      </c>
      <c r="T406" s="26">
        <v>5</v>
      </c>
      <c r="U406" s="27" t="s">
        <v>107</v>
      </c>
    </row>
    <row r="407" spans="18:21" x14ac:dyDescent="0.25">
      <c r="R407" s="26">
        <v>80</v>
      </c>
      <c r="S407" s="26">
        <v>60</v>
      </c>
      <c r="T407" s="26">
        <v>5</v>
      </c>
      <c r="U407" s="27" t="s">
        <v>107</v>
      </c>
    </row>
    <row r="408" spans="18:21" x14ac:dyDescent="0.25">
      <c r="R408" s="26">
        <v>80</v>
      </c>
      <c r="S408" s="26">
        <v>66</v>
      </c>
      <c r="T408" s="26">
        <v>5</v>
      </c>
      <c r="U408" s="27" t="s">
        <v>107</v>
      </c>
    </row>
    <row r="409" spans="18:21" x14ac:dyDescent="0.25">
      <c r="R409" s="26">
        <v>80</v>
      </c>
      <c r="S409" s="26">
        <v>72</v>
      </c>
      <c r="T409" s="26">
        <v>5</v>
      </c>
      <c r="U409" s="27" t="s">
        <v>107</v>
      </c>
    </row>
    <row r="410" spans="18:21" x14ac:dyDescent="0.25">
      <c r="R410" s="26">
        <v>84</v>
      </c>
      <c r="S410" s="26">
        <v>30</v>
      </c>
      <c r="T410" s="26">
        <v>5</v>
      </c>
      <c r="U410" s="27" t="s">
        <v>107</v>
      </c>
    </row>
    <row r="411" spans="18:21" x14ac:dyDescent="0.25">
      <c r="R411" s="26">
        <v>84</v>
      </c>
      <c r="S411" s="26">
        <v>36</v>
      </c>
      <c r="T411" s="26">
        <v>5</v>
      </c>
      <c r="U411" s="27" t="s">
        <v>107</v>
      </c>
    </row>
    <row r="412" spans="18:21" x14ac:dyDescent="0.25">
      <c r="R412" s="26">
        <v>84</v>
      </c>
      <c r="S412" s="26">
        <v>42</v>
      </c>
      <c r="T412" s="26">
        <v>5</v>
      </c>
      <c r="U412" s="27" t="s">
        <v>107</v>
      </c>
    </row>
    <row r="413" spans="18:21" x14ac:dyDescent="0.25">
      <c r="R413" s="26">
        <v>84</v>
      </c>
      <c r="S413" s="26">
        <v>48</v>
      </c>
      <c r="T413" s="26">
        <v>5</v>
      </c>
      <c r="U413" s="27" t="s">
        <v>107</v>
      </c>
    </row>
    <row r="414" spans="18:21" x14ac:dyDescent="0.25">
      <c r="R414" s="26">
        <v>84</v>
      </c>
      <c r="S414" s="26">
        <v>60</v>
      </c>
      <c r="T414" s="26">
        <v>5</v>
      </c>
      <c r="U414" s="27" t="s">
        <v>107</v>
      </c>
    </row>
    <row r="415" spans="18:21" x14ac:dyDescent="0.25">
      <c r="R415" s="26">
        <v>84</v>
      </c>
      <c r="S415" s="26">
        <v>66</v>
      </c>
      <c r="T415" s="26">
        <v>5</v>
      </c>
      <c r="U415" s="27" t="s">
        <v>107</v>
      </c>
    </row>
    <row r="416" spans="18:21" x14ac:dyDescent="0.25">
      <c r="R416" s="26">
        <v>84</v>
      </c>
      <c r="S416" s="26">
        <v>72</v>
      </c>
      <c r="T416" s="26">
        <v>5</v>
      </c>
      <c r="U416" s="27" t="s">
        <v>107</v>
      </c>
    </row>
    <row r="417" spans="18:21" x14ac:dyDescent="0.25">
      <c r="R417" s="26">
        <v>72</v>
      </c>
      <c r="S417" s="26">
        <v>30</v>
      </c>
      <c r="T417" s="26">
        <v>6</v>
      </c>
      <c r="U417" s="27" t="s">
        <v>107</v>
      </c>
    </row>
    <row r="418" spans="18:21" x14ac:dyDescent="0.25">
      <c r="R418" s="26">
        <v>72</v>
      </c>
      <c r="S418" s="26">
        <v>36</v>
      </c>
      <c r="T418" s="26">
        <v>6</v>
      </c>
      <c r="U418" s="27" t="s">
        <v>107</v>
      </c>
    </row>
    <row r="419" spans="18:21" x14ac:dyDescent="0.25">
      <c r="R419" s="26">
        <v>72</v>
      </c>
      <c r="S419" s="26">
        <v>42</v>
      </c>
      <c r="T419" s="26">
        <v>6</v>
      </c>
      <c r="U419" s="27" t="s">
        <v>107</v>
      </c>
    </row>
    <row r="420" spans="18:21" x14ac:dyDescent="0.25">
      <c r="R420" s="26">
        <v>72</v>
      </c>
      <c r="S420" s="26">
        <v>48</v>
      </c>
      <c r="T420" s="26">
        <v>6</v>
      </c>
      <c r="U420" s="27" t="s">
        <v>107</v>
      </c>
    </row>
    <row r="421" spans="18:21" x14ac:dyDescent="0.25">
      <c r="R421" s="26">
        <v>72</v>
      </c>
      <c r="S421" s="26">
        <v>60</v>
      </c>
      <c r="T421" s="26">
        <v>6</v>
      </c>
      <c r="U421" s="27" t="s">
        <v>107</v>
      </c>
    </row>
    <row r="422" spans="18:21" x14ac:dyDescent="0.25">
      <c r="R422" s="26">
        <v>72</v>
      </c>
      <c r="S422" s="26">
        <v>66</v>
      </c>
      <c r="T422" s="26">
        <v>6</v>
      </c>
      <c r="U422" s="27" t="s">
        <v>107</v>
      </c>
    </row>
    <row r="423" spans="18:21" x14ac:dyDescent="0.25">
      <c r="R423" s="26">
        <v>72</v>
      </c>
      <c r="S423" s="26">
        <v>72</v>
      </c>
      <c r="T423" s="26">
        <v>6</v>
      </c>
      <c r="U423" s="27" t="s">
        <v>107</v>
      </c>
    </row>
    <row r="424" spans="18:21" x14ac:dyDescent="0.25">
      <c r="R424" s="26">
        <v>75</v>
      </c>
      <c r="S424" s="26">
        <v>30</v>
      </c>
      <c r="T424" s="26">
        <v>6</v>
      </c>
      <c r="U424" s="27" t="s">
        <v>107</v>
      </c>
    </row>
    <row r="425" spans="18:21" x14ac:dyDescent="0.25">
      <c r="R425" s="26">
        <v>75</v>
      </c>
      <c r="S425" s="26">
        <v>36</v>
      </c>
      <c r="T425" s="26">
        <v>6</v>
      </c>
      <c r="U425" s="27" t="s">
        <v>107</v>
      </c>
    </row>
    <row r="426" spans="18:21" x14ac:dyDescent="0.25">
      <c r="R426" s="26">
        <v>75</v>
      </c>
      <c r="S426" s="26">
        <v>42</v>
      </c>
      <c r="T426" s="26">
        <v>6</v>
      </c>
      <c r="U426" s="27" t="s">
        <v>107</v>
      </c>
    </row>
    <row r="427" spans="18:21" x14ac:dyDescent="0.25">
      <c r="R427" s="26">
        <v>75</v>
      </c>
      <c r="S427" s="26">
        <v>48</v>
      </c>
      <c r="T427" s="26">
        <v>6</v>
      </c>
      <c r="U427" s="27" t="s">
        <v>107</v>
      </c>
    </row>
    <row r="428" spans="18:21" x14ac:dyDescent="0.25">
      <c r="R428" s="26">
        <v>75</v>
      </c>
      <c r="S428" s="26">
        <v>60</v>
      </c>
      <c r="T428" s="26">
        <v>6</v>
      </c>
      <c r="U428" s="27" t="s">
        <v>107</v>
      </c>
    </row>
    <row r="429" spans="18:21" x14ac:dyDescent="0.25">
      <c r="R429" s="26">
        <v>75</v>
      </c>
      <c r="S429" s="26">
        <v>66</v>
      </c>
      <c r="T429" s="26">
        <v>6</v>
      </c>
      <c r="U429" s="27" t="s">
        <v>107</v>
      </c>
    </row>
    <row r="430" spans="18:21" x14ac:dyDescent="0.25">
      <c r="R430" s="26">
        <v>75</v>
      </c>
      <c r="S430" s="26">
        <v>72</v>
      </c>
      <c r="T430" s="26">
        <v>6</v>
      </c>
      <c r="U430" s="27" t="s">
        <v>107</v>
      </c>
    </row>
    <row r="431" spans="18:21" x14ac:dyDescent="0.25">
      <c r="R431" s="26">
        <v>78</v>
      </c>
      <c r="S431" s="26">
        <v>30</v>
      </c>
      <c r="T431" s="26">
        <v>6</v>
      </c>
      <c r="U431" s="27" t="s">
        <v>107</v>
      </c>
    </row>
    <row r="432" spans="18:21" x14ac:dyDescent="0.25">
      <c r="R432" s="26">
        <v>78</v>
      </c>
      <c r="S432" s="26">
        <v>36</v>
      </c>
      <c r="T432" s="26">
        <v>6</v>
      </c>
      <c r="U432" s="27" t="s">
        <v>107</v>
      </c>
    </row>
    <row r="433" spans="18:21" x14ac:dyDescent="0.25">
      <c r="R433" s="26">
        <v>78</v>
      </c>
      <c r="S433" s="26">
        <v>42</v>
      </c>
      <c r="T433" s="26">
        <v>6</v>
      </c>
      <c r="U433" s="27" t="s">
        <v>107</v>
      </c>
    </row>
    <row r="434" spans="18:21" x14ac:dyDescent="0.25">
      <c r="R434" s="26">
        <v>78</v>
      </c>
      <c r="S434" s="26">
        <v>48</v>
      </c>
      <c r="T434" s="26">
        <v>6</v>
      </c>
      <c r="U434" s="27" t="s">
        <v>107</v>
      </c>
    </row>
    <row r="435" spans="18:21" x14ac:dyDescent="0.25">
      <c r="R435" s="26">
        <v>78</v>
      </c>
      <c r="S435" s="26">
        <v>60</v>
      </c>
      <c r="T435" s="26">
        <v>6</v>
      </c>
      <c r="U435" s="27" t="s">
        <v>107</v>
      </c>
    </row>
    <row r="436" spans="18:21" x14ac:dyDescent="0.25">
      <c r="R436" s="26">
        <v>78</v>
      </c>
      <c r="S436" s="26">
        <v>66</v>
      </c>
      <c r="T436" s="26">
        <v>6</v>
      </c>
      <c r="U436" s="27" t="s">
        <v>107</v>
      </c>
    </row>
    <row r="437" spans="18:21" x14ac:dyDescent="0.25">
      <c r="R437" s="26">
        <v>78</v>
      </c>
      <c r="S437" s="26">
        <v>72</v>
      </c>
      <c r="T437" s="26">
        <v>6</v>
      </c>
      <c r="U437" s="27" t="s">
        <v>107</v>
      </c>
    </row>
    <row r="438" spans="18:21" x14ac:dyDescent="0.25">
      <c r="R438" s="26">
        <v>80</v>
      </c>
      <c r="S438" s="26">
        <v>30</v>
      </c>
      <c r="T438" s="26">
        <v>6</v>
      </c>
      <c r="U438" s="27" t="s">
        <v>107</v>
      </c>
    </row>
    <row r="439" spans="18:21" x14ac:dyDescent="0.25">
      <c r="R439" s="26">
        <v>80</v>
      </c>
      <c r="S439" s="26">
        <v>36</v>
      </c>
      <c r="T439" s="26">
        <v>6</v>
      </c>
      <c r="U439" s="27" t="s">
        <v>107</v>
      </c>
    </row>
    <row r="440" spans="18:21" x14ac:dyDescent="0.25">
      <c r="R440" s="26">
        <v>80</v>
      </c>
      <c r="S440" s="26">
        <v>42</v>
      </c>
      <c r="T440" s="26">
        <v>6</v>
      </c>
      <c r="U440" s="27" t="s">
        <v>107</v>
      </c>
    </row>
    <row r="441" spans="18:21" x14ac:dyDescent="0.25">
      <c r="R441" s="26">
        <v>80</v>
      </c>
      <c r="S441" s="26">
        <v>48</v>
      </c>
      <c r="T441" s="26">
        <v>6</v>
      </c>
      <c r="U441" s="27" t="s">
        <v>107</v>
      </c>
    </row>
    <row r="442" spans="18:21" x14ac:dyDescent="0.25">
      <c r="R442" s="26">
        <v>80</v>
      </c>
      <c r="S442" s="26">
        <v>60</v>
      </c>
      <c r="T442" s="26">
        <v>6</v>
      </c>
      <c r="U442" s="27" t="s">
        <v>107</v>
      </c>
    </row>
    <row r="443" spans="18:21" x14ac:dyDescent="0.25">
      <c r="R443" s="26">
        <v>80</v>
      </c>
      <c r="S443" s="26">
        <v>66</v>
      </c>
      <c r="T443" s="26">
        <v>6</v>
      </c>
      <c r="U443" s="27" t="s">
        <v>107</v>
      </c>
    </row>
    <row r="444" spans="18:21" x14ac:dyDescent="0.25">
      <c r="R444" s="26">
        <v>80</v>
      </c>
      <c r="S444" s="26">
        <v>72</v>
      </c>
      <c r="T444" s="26">
        <v>6</v>
      </c>
      <c r="U444" s="27" t="s">
        <v>107</v>
      </c>
    </row>
    <row r="445" spans="18:21" x14ac:dyDescent="0.25">
      <c r="R445" s="26">
        <v>84</v>
      </c>
      <c r="S445" s="26">
        <v>30</v>
      </c>
      <c r="T445" s="26">
        <v>6</v>
      </c>
      <c r="U445" s="27" t="s">
        <v>107</v>
      </c>
    </row>
    <row r="446" spans="18:21" x14ac:dyDescent="0.25">
      <c r="R446" s="26">
        <v>84</v>
      </c>
      <c r="S446" s="26">
        <v>36</v>
      </c>
      <c r="T446" s="26">
        <v>6</v>
      </c>
      <c r="U446" s="27" t="s">
        <v>107</v>
      </c>
    </row>
    <row r="447" spans="18:21" x14ac:dyDescent="0.25">
      <c r="R447" s="26">
        <v>84</v>
      </c>
      <c r="S447" s="26">
        <v>42</v>
      </c>
      <c r="T447" s="26">
        <v>6</v>
      </c>
      <c r="U447" s="27" t="s">
        <v>107</v>
      </c>
    </row>
    <row r="448" spans="18:21" x14ac:dyDescent="0.25">
      <c r="R448" s="26">
        <v>84</v>
      </c>
      <c r="S448" s="26">
        <v>48</v>
      </c>
      <c r="T448" s="26">
        <v>6</v>
      </c>
      <c r="U448" s="27" t="s">
        <v>107</v>
      </c>
    </row>
    <row r="449" spans="18:21" x14ac:dyDescent="0.25">
      <c r="R449" s="26">
        <v>84</v>
      </c>
      <c r="S449" s="26">
        <v>60</v>
      </c>
      <c r="T449" s="26">
        <v>6</v>
      </c>
      <c r="U449" s="27" t="s">
        <v>107</v>
      </c>
    </row>
    <row r="450" spans="18:21" x14ac:dyDescent="0.25">
      <c r="R450" s="26">
        <v>84</v>
      </c>
      <c r="S450" s="26">
        <v>66</v>
      </c>
      <c r="T450" s="26">
        <v>6</v>
      </c>
      <c r="U450" s="27" t="s">
        <v>107</v>
      </c>
    </row>
    <row r="451" spans="18:21" x14ac:dyDescent="0.25">
      <c r="R451" s="26">
        <v>84</v>
      </c>
      <c r="S451" s="26">
        <v>72</v>
      </c>
      <c r="T451" s="26">
        <v>6</v>
      </c>
      <c r="U451" s="27" t="s">
        <v>107</v>
      </c>
    </row>
    <row r="452" spans="18:21" x14ac:dyDescent="0.25">
      <c r="R452" s="26" t="s">
        <v>86</v>
      </c>
      <c r="S452" s="26" t="s">
        <v>87</v>
      </c>
      <c r="T452" s="26">
        <v>4</v>
      </c>
      <c r="U452" s="27" t="s">
        <v>109</v>
      </c>
    </row>
    <row r="453" spans="18:21" x14ac:dyDescent="0.25">
      <c r="R453" s="26" t="s">
        <v>86</v>
      </c>
      <c r="S453" s="26" t="s">
        <v>88</v>
      </c>
      <c r="T453" s="26">
        <v>4</v>
      </c>
      <c r="U453" s="27" t="s">
        <v>109</v>
      </c>
    </row>
    <row r="454" spans="18:21" x14ac:dyDescent="0.25">
      <c r="R454" s="26" t="s">
        <v>86</v>
      </c>
      <c r="S454" s="26" t="s">
        <v>89</v>
      </c>
      <c r="T454" s="26">
        <v>4</v>
      </c>
      <c r="U454" s="27" t="s">
        <v>109</v>
      </c>
    </row>
    <row r="455" spans="18:21" x14ac:dyDescent="0.25">
      <c r="R455" s="26" t="s">
        <v>86</v>
      </c>
      <c r="S455" s="26" t="s">
        <v>90</v>
      </c>
      <c r="T455" s="26">
        <v>4</v>
      </c>
      <c r="U455" s="27" t="s">
        <v>109</v>
      </c>
    </row>
    <row r="456" spans="18:21" x14ac:dyDescent="0.25">
      <c r="R456" s="26" t="s">
        <v>86</v>
      </c>
      <c r="S456" s="26" t="s">
        <v>91</v>
      </c>
      <c r="T456" s="26">
        <v>4</v>
      </c>
      <c r="U456" s="27" t="s">
        <v>109</v>
      </c>
    </row>
    <row r="457" spans="18:21" x14ac:dyDescent="0.25">
      <c r="R457" s="26" t="s">
        <v>86</v>
      </c>
      <c r="S457" s="26" t="s">
        <v>92</v>
      </c>
      <c r="T457" s="26">
        <v>4</v>
      </c>
      <c r="U457" s="27" t="s">
        <v>109</v>
      </c>
    </row>
    <row r="458" spans="18:21" x14ac:dyDescent="0.25">
      <c r="R458" s="26" t="s">
        <v>86</v>
      </c>
      <c r="S458" s="26" t="s">
        <v>93</v>
      </c>
      <c r="T458" s="26">
        <v>4</v>
      </c>
      <c r="U458" s="27" t="s">
        <v>109</v>
      </c>
    </row>
    <row r="459" spans="18:21" x14ac:dyDescent="0.25">
      <c r="R459" s="26" t="s">
        <v>86</v>
      </c>
      <c r="S459" s="26" t="s">
        <v>94</v>
      </c>
      <c r="T459" s="26">
        <v>4</v>
      </c>
      <c r="U459" s="27" t="s">
        <v>109</v>
      </c>
    </row>
    <row r="460" spans="18:21" x14ac:dyDescent="0.25">
      <c r="R460" s="26" t="s">
        <v>95</v>
      </c>
      <c r="S460" s="26" t="s">
        <v>87</v>
      </c>
      <c r="T460" s="26">
        <v>4</v>
      </c>
      <c r="U460" s="27" t="s">
        <v>109</v>
      </c>
    </row>
    <row r="461" spans="18:21" x14ac:dyDescent="0.25">
      <c r="R461" s="26" t="s">
        <v>95</v>
      </c>
      <c r="S461" s="26" t="s">
        <v>88</v>
      </c>
      <c r="T461" s="26">
        <v>4</v>
      </c>
      <c r="U461" s="27" t="s">
        <v>109</v>
      </c>
    </row>
    <row r="462" spans="18:21" x14ac:dyDescent="0.25">
      <c r="R462" s="26" t="s">
        <v>95</v>
      </c>
      <c r="S462" s="26" t="s">
        <v>89</v>
      </c>
      <c r="T462" s="26">
        <v>4</v>
      </c>
      <c r="U462" s="27" t="s">
        <v>109</v>
      </c>
    </row>
    <row r="463" spans="18:21" x14ac:dyDescent="0.25">
      <c r="R463" s="26" t="s">
        <v>95</v>
      </c>
      <c r="S463" s="26" t="s">
        <v>90</v>
      </c>
      <c r="T463" s="26">
        <v>4</v>
      </c>
      <c r="U463" s="27" t="s">
        <v>109</v>
      </c>
    </row>
    <row r="464" spans="18:21" x14ac:dyDescent="0.25">
      <c r="R464" s="26" t="s">
        <v>95</v>
      </c>
      <c r="S464" s="26" t="s">
        <v>91</v>
      </c>
      <c r="T464" s="26">
        <v>4</v>
      </c>
      <c r="U464" s="27" t="s">
        <v>109</v>
      </c>
    </row>
    <row r="465" spans="18:21" x14ac:dyDescent="0.25">
      <c r="R465" s="26" t="s">
        <v>95</v>
      </c>
      <c r="S465" s="26" t="s">
        <v>92</v>
      </c>
      <c r="T465" s="26">
        <v>4</v>
      </c>
      <c r="U465" s="27" t="s">
        <v>109</v>
      </c>
    </row>
    <row r="466" spans="18:21" x14ac:dyDescent="0.25">
      <c r="R466" s="26" t="s">
        <v>95</v>
      </c>
      <c r="S466" s="26" t="s">
        <v>93</v>
      </c>
      <c r="T466" s="26">
        <v>4</v>
      </c>
      <c r="U466" s="27" t="s">
        <v>109</v>
      </c>
    </row>
    <row r="467" spans="18:21" x14ac:dyDescent="0.25">
      <c r="R467" s="26" t="s">
        <v>95</v>
      </c>
      <c r="S467" s="26" t="s">
        <v>94</v>
      </c>
      <c r="T467" s="26">
        <v>4</v>
      </c>
      <c r="U467" s="27" t="s">
        <v>109</v>
      </c>
    </row>
    <row r="468" spans="18:21" x14ac:dyDescent="0.25">
      <c r="R468" s="26" t="s">
        <v>96</v>
      </c>
      <c r="S468" s="26" t="s">
        <v>87</v>
      </c>
      <c r="T468" s="26">
        <v>4</v>
      </c>
      <c r="U468" s="27" t="s">
        <v>109</v>
      </c>
    </row>
    <row r="469" spans="18:21" x14ac:dyDescent="0.25">
      <c r="R469" s="26" t="s">
        <v>96</v>
      </c>
      <c r="S469" s="26" t="s">
        <v>88</v>
      </c>
      <c r="T469" s="26">
        <v>4</v>
      </c>
      <c r="U469" s="27" t="s">
        <v>109</v>
      </c>
    </row>
    <row r="470" spans="18:21" x14ac:dyDescent="0.25">
      <c r="R470" s="26" t="s">
        <v>96</v>
      </c>
      <c r="S470" s="26" t="s">
        <v>89</v>
      </c>
      <c r="T470" s="26">
        <v>4</v>
      </c>
      <c r="U470" s="27" t="s">
        <v>109</v>
      </c>
    </row>
    <row r="471" spans="18:21" x14ac:dyDescent="0.25">
      <c r="R471" s="26" t="s">
        <v>96</v>
      </c>
      <c r="S471" s="26" t="s">
        <v>90</v>
      </c>
      <c r="T471" s="26">
        <v>4</v>
      </c>
      <c r="U471" s="27" t="s">
        <v>109</v>
      </c>
    </row>
    <row r="472" spans="18:21" x14ac:dyDescent="0.25">
      <c r="R472" s="26" t="s">
        <v>96</v>
      </c>
      <c r="S472" s="26" t="s">
        <v>91</v>
      </c>
      <c r="T472" s="26">
        <v>4</v>
      </c>
      <c r="U472" s="27" t="s">
        <v>109</v>
      </c>
    </row>
    <row r="473" spans="18:21" x14ac:dyDescent="0.25">
      <c r="R473" s="26" t="s">
        <v>96</v>
      </c>
      <c r="S473" s="26" t="s">
        <v>92</v>
      </c>
      <c r="T473" s="26">
        <v>4</v>
      </c>
      <c r="U473" s="27" t="s">
        <v>109</v>
      </c>
    </row>
    <row r="474" spans="18:21" x14ac:dyDescent="0.25">
      <c r="R474" s="26" t="s">
        <v>96</v>
      </c>
      <c r="S474" s="26" t="s">
        <v>93</v>
      </c>
      <c r="T474" s="26">
        <v>4</v>
      </c>
      <c r="U474" s="27" t="s">
        <v>109</v>
      </c>
    </row>
    <row r="475" spans="18:21" x14ac:dyDescent="0.25">
      <c r="R475" s="26" t="s">
        <v>96</v>
      </c>
      <c r="S475" s="26" t="s">
        <v>94</v>
      </c>
      <c r="T475" s="26">
        <v>4</v>
      </c>
      <c r="U475" s="27" t="s">
        <v>109</v>
      </c>
    </row>
    <row r="476" spans="18:21" x14ac:dyDescent="0.25">
      <c r="R476" s="26" t="s">
        <v>97</v>
      </c>
      <c r="S476" s="26" t="s">
        <v>87</v>
      </c>
      <c r="T476" s="26">
        <v>4</v>
      </c>
      <c r="U476" s="27" t="s">
        <v>109</v>
      </c>
    </row>
    <row r="477" spans="18:21" x14ac:dyDescent="0.25">
      <c r="R477" s="26" t="s">
        <v>97</v>
      </c>
      <c r="S477" s="26" t="s">
        <v>88</v>
      </c>
      <c r="T477" s="26">
        <v>4</v>
      </c>
      <c r="U477" s="27" t="s">
        <v>109</v>
      </c>
    </row>
    <row r="478" spans="18:21" x14ac:dyDescent="0.25">
      <c r="R478" s="26" t="s">
        <v>97</v>
      </c>
      <c r="S478" s="26" t="s">
        <v>89</v>
      </c>
      <c r="T478" s="26">
        <v>4</v>
      </c>
      <c r="U478" s="27" t="s">
        <v>109</v>
      </c>
    </row>
    <row r="479" spans="18:21" x14ac:dyDescent="0.25">
      <c r="R479" s="26" t="s">
        <v>97</v>
      </c>
      <c r="S479" s="26" t="s">
        <v>90</v>
      </c>
      <c r="T479" s="26">
        <v>4</v>
      </c>
      <c r="U479" s="27" t="s">
        <v>109</v>
      </c>
    </row>
    <row r="480" spans="18:21" x14ac:dyDescent="0.25">
      <c r="R480" s="26" t="s">
        <v>97</v>
      </c>
      <c r="S480" s="26" t="s">
        <v>91</v>
      </c>
      <c r="T480" s="26">
        <v>4</v>
      </c>
      <c r="U480" s="27" t="s">
        <v>109</v>
      </c>
    </row>
    <row r="481" spans="18:21" x14ac:dyDescent="0.25">
      <c r="R481" s="26" t="s">
        <v>97</v>
      </c>
      <c r="S481" s="26" t="s">
        <v>92</v>
      </c>
      <c r="T481" s="26">
        <v>4</v>
      </c>
      <c r="U481" s="27" t="s">
        <v>109</v>
      </c>
    </row>
    <row r="482" spans="18:21" x14ac:dyDescent="0.25">
      <c r="R482" s="26" t="s">
        <v>97</v>
      </c>
      <c r="S482" s="26" t="s">
        <v>93</v>
      </c>
      <c r="T482" s="26">
        <v>4</v>
      </c>
      <c r="U482" s="27" t="s">
        <v>109</v>
      </c>
    </row>
    <row r="483" spans="18:21" x14ac:dyDescent="0.25">
      <c r="R483" s="26" t="s">
        <v>97</v>
      </c>
      <c r="S483" s="26" t="s">
        <v>94</v>
      </c>
      <c r="T483" s="26">
        <v>4</v>
      </c>
      <c r="U483" s="27" t="s">
        <v>109</v>
      </c>
    </row>
    <row r="484" spans="18:21" x14ac:dyDescent="0.25">
      <c r="R484" s="26" t="s">
        <v>98</v>
      </c>
      <c r="S484" s="26" t="s">
        <v>87</v>
      </c>
      <c r="T484" s="26">
        <v>4</v>
      </c>
      <c r="U484" s="27" t="s">
        <v>109</v>
      </c>
    </row>
    <row r="485" spans="18:21" x14ac:dyDescent="0.25">
      <c r="R485" s="26" t="s">
        <v>98</v>
      </c>
      <c r="S485" s="26" t="s">
        <v>88</v>
      </c>
      <c r="T485" s="26">
        <v>4</v>
      </c>
      <c r="U485" s="27" t="s">
        <v>109</v>
      </c>
    </row>
    <row r="486" spans="18:21" x14ac:dyDescent="0.25">
      <c r="R486" s="26" t="s">
        <v>98</v>
      </c>
      <c r="S486" s="26" t="s">
        <v>89</v>
      </c>
      <c r="T486" s="26">
        <v>4</v>
      </c>
      <c r="U486" s="27" t="s">
        <v>109</v>
      </c>
    </row>
    <row r="487" spans="18:21" x14ac:dyDescent="0.25">
      <c r="R487" s="26" t="s">
        <v>98</v>
      </c>
      <c r="S487" s="26" t="s">
        <v>90</v>
      </c>
      <c r="T487" s="26">
        <v>4</v>
      </c>
      <c r="U487" s="27" t="s">
        <v>109</v>
      </c>
    </row>
    <row r="488" spans="18:21" x14ac:dyDescent="0.25">
      <c r="R488" s="26" t="s">
        <v>98</v>
      </c>
      <c r="S488" s="26" t="s">
        <v>91</v>
      </c>
      <c r="T488" s="26">
        <v>4</v>
      </c>
      <c r="U488" s="27" t="s">
        <v>109</v>
      </c>
    </row>
    <row r="489" spans="18:21" x14ac:dyDescent="0.25">
      <c r="R489" s="26" t="s">
        <v>98</v>
      </c>
      <c r="S489" s="26" t="s">
        <v>92</v>
      </c>
      <c r="T489" s="26">
        <v>4</v>
      </c>
      <c r="U489" s="27" t="s">
        <v>109</v>
      </c>
    </row>
    <row r="490" spans="18:21" x14ac:dyDescent="0.25">
      <c r="R490" s="26" t="s">
        <v>98</v>
      </c>
      <c r="S490" s="26" t="s">
        <v>93</v>
      </c>
      <c r="T490" s="26">
        <v>4</v>
      </c>
      <c r="U490" s="27" t="s">
        <v>109</v>
      </c>
    </row>
    <row r="491" spans="18:21" x14ac:dyDescent="0.25">
      <c r="R491" s="26" t="s">
        <v>98</v>
      </c>
      <c r="S491" s="26" t="s">
        <v>94</v>
      </c>
      <c r="T491" s="26">
        <v>4</v>
      </c>
      <c r="U491" s="27" t="s">
        <v>109</v>
      </c>
    </row>
    <row r="492" spans="18:21" x14ac:dyDescent="0.25">
      <c r="R492" s="26" t="s">
        <v>86</v>
      </c>
      <c r="S492" s="26" t="s">
        <v>87</v>
      </c>
      <c r="T492" s="26">
        <v>5</v>
      </c>
      <c r="U492" s="27" t="s">
        <v>109</v>
      </c>
    </row>
    <row r="493" spans="18:21" x14ac:dyDescent="0.25">
      <c r="R493" s="26" t="s">
        <v>86</v>
      </c>
      <c r="S493" s="26" t="s">
        <v>88</v>
      </c>
      <c r="T493" s="26">
        <v>5</v>
      </c>
      <c r="U493" s="27" t="s">
        <v>109</v>
      </c>
    </row>
    <row r="494" spans="18:21" x14ac:dyDescent="0.25">
      <c r="R494" s="26" t="s">
        <v>86</v>
      </c>
      <c r="S494" s="26" t="s">
        <v>89</v>
      </c>
      <c r="T494" s="26">
        <v>5</v>
      </c>
      <c r="U494" s="27" t="s">
        <v>109</v>
      </c>
    </row>
    <row r="495" spans="18:21" x14ac:dyDescent="0.25">
      <c r="R495" s="26" t="s">
        <v>86</v>
      </c>
      <c r="S495" s="26" t="s">
        <v>90</v>
      </c>
      <c r="T495" s="26">
        <v>5</v>
      </c>
      <c r="U495" s="27" t="s">
        <v>109</v>
      </c>
    </row>
    <row r="496" spans="18:21" x14ac:dyDescent="0.25">
      <c r="R496" s="26" t="s">
        <v>86</v>
      </c>
      <c r="S496" s="26" t="s">
        <v>91</v>
      </c>
      <c r="T496" s="26">
        <v>5</v>
      </c>
      <c r="U496" s="27" t="s">
        <v>109</v>
      </c>
    </row>
    <row r="497" spans="18:21" x14ac:dyDescent="0.25">
      <c r="R497" s="26" t="s">
        <v>86</v>
      </c>
      <c r="S497" s="26" t="s">
        <v>92</v>
      </c>
      <c r="T497" s="26">
        <v>5</v>
      </c>
      <c r="U497" s="27" t="s">
        <v>109</v>
      </c>
    </row>
    <row r="498" spans="18:21" x14ac:dyDescent="0.25">
      <c r="R498" s="26" t="s">
        <v>86</v>
      </c>
      <c r="S498" s="26" t="s">
        <v>93</v>
      </c>
      <c r="T498" s="26">
        <v>5</v>
      </c>
      <c r="U498" s="27" t="s">
        <v>109</v>
      </c>
    </row>
    <row r="499" spans="18:21" x14ac:dyDescent="0.25">
      <c r="R499" s="26" t="s">
        <v>86</v>
      </c>
      <c r="S499" s="26" t="s">
        <v>94</v>
      </c>
      <c r="T499" s="26">
        <v>5</v>
      </c>
      <c r="U499" s="27" t="s">
        <v>109</v>
      </c>
    </row>
    <row r="500" spans="18:21" x14ac:dyDescent="0.25">
      <c r="R500" s="26" t="s">
        <v>95</v>
      </c>
      <c r="S500" s="26" t="s">
        <v>87</v>
      </c>
      <c r="T500" s="26">
        <v>5</v>
      </c>
      <c r="U500" s="27" t="s">
        <v>109</v>
      </c>
    </row>
    <row r="501" spans="18:21" x14ac:dyDescent="0.25">
      <c r="R501" s="26" t="s">
        <v>95</v>
      </c>
      <c r="S501" s="26" t="s">
        <v>88</v>
      </c>
      <c r="T501" s="26">
        <v>5</v>
      </c>
      <c r="U501" s="27" t="s">
        <v>109</v>
      </c>
    </row>
    <row r="502" spans="18:21" x14ac:dyDescent="0.25">
      <c r="R502" s="26" t="s">
        <v>95</v>
      </c>
      <c r="S502" s="26" t="s">
        <v>89</v>
      </c>
      <c r="T502" s="26">
        <v>5</v>
      </c>
      <c r="U502" s="27" t="s">
        <v>109</v>
      </c>
    </row>
    <row r="503" spans="18:21" x14ac:dyDescent="0.25">
      <c r="R503" s="26" t="s">
        <v>95</v>
      </c>
      <c r="S503" s="26" t="s">
        <v>90</v>
      </c>
      <c r="T503" s="26">
        <v>5</v>
      </c>
      <c r="U503" s="27" t="s">
        <v>109</v>
      </c>
    </row>
    <row r="504" spans="18:21" x14ac:dyDescent="0.25">
      <c r="R504" s="26" t="s">
        <v>95</v>
      </c>
      <c r="S504" s="26" t="s">
        <v>91</v>
      </c>
      <c r="T504" s="26">
        <v>5</v>
      </c>
      <c r="U504" s="27" t="s">
        <v>109</v>
      </c>
    </row>
    <row r="505" spans="18:21" x14ac:dyDescent="0.25">
      <c r="R505" s="26" t="s">
        <v>95</v>
      </c>
      <c r="S505" s="26" t="s">
        <v>92</v>
      </c>
      <c r="T505" s="26">
        <v>5</v>
      </c>
      <c r="U505" s="27" t="s">
        <v>109</v>
      </c>
    </row>
    <row r="506" spans="18:21" x14ac:dyDescent="0.25">
      <c r="R506" s="26" t="s">
        <v>95</v>
      </c>
      <c r="S506" s="26" t="s">
        <v>93</v>
      </c>
      <c r="T506" s="26">
        <v>5</v>
      </c>
      <c r="U506" s="27" t="s">
        <v>109</v>
      </c>
    </row>
    <row r="507" spans="18:21" x14ac:dyDescent="0.25">
      <c r="R507" s="26" t="s">
        <v>95</v>
      </c>
      <c r="S507" s="26" t="s">
        <v>94</v>
      </c>
      <c r="T507" s="26">
        <v>5</v>
      </c>
      <c r="U507" s="27" t="s">
        <v>109</v>
      </c>
    </row>
    <row r="508" spans="18:21" x14ac:dyDescent="0.25">
      <c r="R508" s="26" t="s">
        <v>96</v>
      </c>
      <c r="S508" s="26" t="s">
        <v>87</v>
      </c>
      <c r="T508" s="26">
        <v>5</v>
      </c>
      <c r="U508" s="27" t="s">
        <v>109</v>
      </c>
    </row>
    <row r="509" spans="18:21" x14ac:dyDescent="0.25">
      <c r="R509" s="26" t="s">
        <v>96</v>
      </c>
      <c r="S509" s="26" t="s">
        <v>88</v>
      </c>
      <c r="T509" s="26">
        <v>5</v>
      </c>
      <c r="U509" s="27" t="s">
        <v>109</v>
      </c>
    </row>
    <row r="510" spans="18:21" x14ac:dyDescent="0.25">
      <c r="R510" s="26" t="s">
        <v>96</v>
      </c>
      <c r="S510" s="26" t="s">
        <v>89</v>
      </c>
      <c r="T510" s="26">
        <v>5</v>
      </c>
      <c r="U510" s="27" t="s">
        <v>109</v>
      </c>
    </row>
    <row r="511" spans="18:21" x14ac:dyDescent="0.25">
      <c r="R511" s="26" t="s">
        <v>96</v>
      </c>
      <c r="S511" s="26" t="s">
        <v>90</v>
      </c>
      <c r="T511" s="26">
        <v>5</v>
      </c>
      <c r="U511" s="27" t="s">
        <v>109</v>
      </c>
    </row>
    <row r="512" spans="18:21" x14ac:dyDescent="0.25">
      <c r="R512" s="26" t="s">
        <v>96</v>
      </c>
      <c r="S512" s="26" t="s">
        <v>91</v>
      </c>
      <c r="T512" s="26">
        <v>5</v>
      </c>
      <c r="U512" s="27" t="s">
        <v>109</v>
      </c>
    </row>
    <row r="513" spans="18:21" x14ac:dyDescent="0.25">
      <c r="R513" s="26" t="s">
        <v>96</v>
      </c>
      <c r="S513" s="26" t="s">
        <v>92</v>
      </c>
      <c r="T513" s="26">
        <v>5</v>
      </c>
      <c r="U513" s="27" t="s">
        <v>109</v>
      </c>
    </row>
    <row r="514" spans="18:21" x14ac:dyDescent="0.25">
      <c r="R514" s="26" t="s">
        <v>96</v>
      </c>
      <c r="S514" s="26" t="s">
        <v>93</v>
      </c>
      <c r="T514" s="26">
        <v>5</v>
      </c>
      <c r="U514" s="27" t="s">
        <v>109</v>
      </c>
    </row>
    <row r="515" spans="18:21" x14ac:dyDescent="0.25">
      <c r="R515" s="26" t="s">
        <v>96</v>
      </c>
      <c r="S515" s="26" t="s">
        <v>94</v>
      </c>
      <c r="T515" s="26">
        <v>5</v>
      </c>
      <c r="U515" s="27" t="s">
        <v>109</v>
      </c>
    </row>
    <row r="516" spans="18:21" x14ac:dyDescent="0.25">
      <c r="R516" s="26" t="s">
        <v>97</v>
      </c>
      <c r="S516" s="26" t="s">
        <v>87</v>
      </c>
      <c r="T516" s="26">
        <v>5</v>
      </c>
      <c r="U516" s="27" t="s">
        <v>109</v>
      </c>
    </row>
    <row r="517" spans="18:21" x14ac:dyDescent="0.25">
      <c r="R517" s="26" t="s">
        <v>97</v>
      </c>
      <c r="S517" s="26" t="s">
        <v>88</v>
      </c>
      <c r="T517" s="26">
        <v>5</v>
      </c>
      <c r="U517" s="27" t="s">
        <v>109</v>
      </c>
    </row>
    <row r="518" spans="18:21" x14ac:dyDescent="0.25">
      <c r="R518" s="26" t="s">
        <v>97</v>
      </c>
      <c r="S518" s="26" t="s">
        <v>89</v>
      </c>
      <c r="T518" s="26">
        <v>5</v>
      </c>
      <c r="U518" s="27" t="s">
        <v>109</v>
      </c>
    </row>
    <row r="519" spans="18:21" x14ac:dyDescent="0.25">
      <c r="R519" s="26" t="s">
        <v>97</v>
      </c>
      <c r="S519" s="26" t="s">
        <v>90</v>
      </c>
      <c r="T519" s="26">
        <v>5</v>
      </c>
      <c r="U519" s="27" t="s">
        <v>109</v>
      </c>
    </row>
    <row r="520" spans="18:21" x14ac:dyDescent="0.25">
      <c r="R520" s="26" t="s">
        <v>97</v>
      </c>
      <c r="S520" s="26" t="s">
        <v>91</v>
      </c>
      <c r="T520" s="26">
        <v>5</v>
      </c>
      <c r="U520" s="27" t="s">
        <v>109</v>
      </c>
    </row>
    <row r="521" spans="18:21" x14ac:dyDescent="0.25">
      <c r="R521" s="26" t="s">
        <v>97</v>
      </c>
      <c r="S521" s="26" t="s">
        <v>92</v>
      </c>
      <c r="T521" s="26">
        <v>5</v>
      </c>
      <c r="U521" s="27" t="s">
        <v>109</v>
      </c>
    </row>
    <row r="522" spans="18:21" x14ac:dyDescent="0.25">
      <c r="R522" s="26" t="s">
        <v>97</v>
      </c>
      <c r="S522" s="26" t="s">
        <v>93</v>
      </c>
      <c r="T522" s="26">
        <v>5</v>
      </c>
      <c r="U522" s="27" t="s">
        <v>109</v>
      </c>
    </row>
    <row r="523" spans="18:21" x14ac:dyDescent="0.25">
      <c r="R523" s="26" t="s">
        <v>97</v>
      </c>
      <c r="S523" s="26" t="s">
        <v>94</v>
      </c>
      <c r="T523" s="26">
        <v>5</v>
      </c>
      <c r="U523" s="27" t="s">
        <v>109</v>
      </c>
    </row>
    <row r="524" spans="18:21" x14ac:dyDescent="0.25">
      <c r="R524" s="26" t="s">
        <v>98</v>
      </c>
      <c r="S524" s="26" t="s">
        <v>87</v>
      </c>
      <c r="T524" s="26">
        <v>5</v>
      </c>
      <c r="U524" s="27" t="s">
        <v>109</v>
      </c>
    </row>
    <row r="525" spans="18:21" x14ac:dyDescent="0.25">
      <c r="R525" s="26" t="s">
        <v>98</v>
      </c>
      <c r="S525" s="26" t="s">
        <v>88</v>
      </c>
      <c r="T525" s="26">
        <v>5</v>
      </c>
      <c r="U525" s="27" t="s">
        <v>109</v>
      </c>
    </row>
    <row r="526" spans="18:21" x14ac:dyDescent="0.25">
      <c r="R526" s="26" t="s">
        <v>98</v>
      </c>
      <c r="S526" s="26" t="s">
        <v>89</v>
      </c>
      <c r="T526" s="26">
        <v>5</v>
      </c>
      <c r="U526" s="27" t="s">
        <v>109</v>
      </c>
    </row>
    <row r="527" spans="18:21" x14ac:dyDescent="0.25">
      <c r="R527" s="26" t="s">
        <v>98</v>
      </c>
      <c r="S527" s="26" t="s">
        <v>90</v>
      </c>
      <c r="T527" s="26">
        <v>5</v>
      </c>
      <c r="U527" s="27" t="s">
        <v>109</v>
      </c>
    </row>
    <row r="528" spans="18:21" x14ac:dyDescent="0.25">
      <c r="R528" s="26" t="s">
        <v>98</v>
      </c>
      <c r="S528" s="26" t="s">
        <v>91</v>
      </c>
      <c r="T528" s="26">
        <v>5</v>
      </c>
      <c r="U528" s="27" t="s">
        <v>109</v>
      </c>
    </row>
    <row r="529" spans="18:21" x14ac:dyDescent="0.25">
      <c r="R529" s="26" t="s">
        <v>98</v>
      </c>
      <c r="S529" s="26" t="s">
        <v>92</v>
      </c>
      <c r="T529" s="26">
        <v>5</v>
      </c>
      <c r="U529" s="27" t="s">
        <v>109</v>
      </c>
    </row>
    <row r="530" spans="18:21" x14ac:dyDescent="0.25">
      <c r="R530" s="26" t="s">
        <v>98</v>
      </c>
      <c r="S530" s="26" t="s">
        <v>93</v>
      </c>
      <c r="T530" s="26">
        <v>5</v>
      </c>
      <c r="U530" s="27" t="s">
        <v>109</v>
      </c>
    </row>
    <row r="531" spans="18:21" x14ac:dyDescent="0.25">
      <c r="R531" s="26" t="s">
        <v>98</v>
      </c>
      <c r="S531" s="26" t="s">
        <v>94</v>
      </c>
      <c r="T531" s="26">
        <v>5</v>
      </c>
      <c r="U531" s="27" t="s">
        <v>109</v>
      </c>
    </row>
    <row r="532" spans="18:21" x14ac:dyDescent="0.25">
      <c r="R532" s="26" t="s">
        <v>86</v>
      </c>
      <c r="S532" s="26" t="s">
        <v>87</v>
      </c>
      <c r="T532" s="26">
        <v>6</v>
      </c>
      <c r="U532" s="27" t="s">
        <v>109</v>
      </c>
    </row>
    <row r="533" spans="18:21" x14ac:dyDescent="0.25">
      <c r="R533" s="26" t="s">
        <v>86</v>
      </c>
      <c r="S533" s="26" t="s">
        <v>88</v>
      </c>
      <c r="T533" s="26">
        <v>6</v>
      </c>
      <c r="U533" s="27" t="s">
        <v>109</v>
      </c>
    </row>
    <row r="534" spans="18:21" x14ac:dyDescent="0.25">
      <c r="R534" s="26" t="s">
        <v>86</v>
      </c>
      <c r="S534" s="26" t="s">
        <v>89</v>
      </c>
      <c r="T534" s="26">
        <v>6</v>
      </c>
      <c r="U534" s="27" t="s">
        <v>109</v>
      </c>
    </row>
    <row r="535" spans="18:21" x14ac:dyDescent="0.25">
      <c r="R535" s="26" t="s">
        <v>86</v>
      </c>
      <c r="S535" s="26" t="s">
        <v>90</v>
      </c>
      <c r="T535" s="26">
        <v>6</v>
      </c>
      <c r="U535" s="27" t="s">
        <v>109</v>
      </c>
    </row>
    <row r="536" spans="18:21" x14ac:dyDescent="0.25">
      <c r="R536" s="26" t="s">
        <v>86</v>
      </c>
      <c r="S536" s="26" t="s">
        <v>91</v>
      </c>
      <c r="T536" s="26">
        <v>6</v>
      </c>
      <c r="U536" s="27" t="s">
        <v>109</v>
      </c>
    </row>
    <row r="537" spans="18:21" x14ac:dyDescent="0.25">
      <c r="R537" s="26" t="s">
        <v>86</v>
      </c>
      <c r="S537" s="26" t="s">
        <v>92</v>
      </c>
      <c r="T537" s="26">
        <v>6</v>
      </c>
      <c r="U537" s="27" t="s">
        <v>109</v>
      </c>
    </row>
    <row r="538" spans="18:21" x14ac:dyDescent="0.25">
      <c r="R538" s="26" t="s">
        <v>86</v>
      </c>
      <c r="S538" s="26" t="s">
        <v>93</v>
      </c>
      <c r="T538" s="26">
        <v>6</v>
      </c>
      <c r="U538" s="27" t="s">
        <v>109</v>
      </c>
    </row>
    <row r="539" spans="18:21" x14ac:dyDescent="0.25">
      <c r="R539" s="26" t="s">
        <v>86</v>
      </c>
      <c r="S539" s="26" t="s">
        <v>94</v>
      </c>
      <c r="T539" s="26">
        <v>6</v>
      </c>
      <c r="U539" s="27" t="s">
        <v>109</v>
      </c>
    </row>
    <row r="540" spans="18:21" x14ac:dyDescent="0.25">
      <c r="R540" s="26" t="s">
        <v>95</v>
      </c>
      <c r="S540" s="26" t="s">
        <v>87</v>
      </c>
      <c r="T540" s="26">
        <v>6</v>
      </c>
      <c r="U540" s="27" t="s">
        <v>109</v>
      </c>
    </row>
    <row r="541" spans="18:21" x14ac:dyDescent="0.25">
      <c r="R541" s="26" t="s">
        <v>95</v>
      </c>
      <c r="S541" s="26" t="s">
        <v>88</v>
      </c>
      <c r="T541" s="26">
        <v>6</v>
      </c>
      <c r="U541" s="27" t="s">
        <v>109</v>
      </c>
    </row>
    <row r="542" spans="18:21" x14ac:dyDescent="0.25">
      <c r="R542" s="26" t="s">
        <v>95</v>
      </c>
      <c r="S542" s="26" t="s">
        <v>89</v>
      </c>
      <c r="T542" s="26">
        <v>6</v>
      </c>
      <c r="U542" s="27" t="s">
        <v>109</v>
      </c>
    </row>
    <row r="543" spans="18:21" x14ac:dyDescent="0.25">
      <c r="R543" s="26" t="s">
        <v>95</v>
      </c>
      <c r="S543" s="26" t="s">
        <v>90</v>
      </c>
      <c r="T543" s="26">
        <v>6</v>
      </c>
      <c r="U543" s="27" t="s">
        <v>109</v>
      </c>
    </row>
    <row r="544" spans="18:21" x14ac:dyDescent="0.25">
      <c r="R544" s="26" t="s">
        <v>95</v>
      </c>
      <c r="S544" s="26" t="s">
        <v>91</v>
      </c>
      <c r="T544" s="26">
        <v>6</v>
      </c>
      <c r="U544" s="27" t="s">
        <v>109</v>
      </c>
    </row>
    <row r="545" spans="18:21" x14ac:dyDescent="0.25">
      <c r="R545" s="26" t="s">
        <v>95</v>
      </c>
      <c r="S545" s="26" t="s">
        <v>92</v>
      </c>
      <c r="T545" s="26">
        <v>6</v>
      </c>
      <c r="U545" s="27" t="s">
        <v>109</v>
      </c>
    </row>
    <row r="546" spans="18:21" x14ac:dyDescent="0.25">
      <c r="R546" s="26" t="s">
        <v>95</v>
      </c>
      <c r="S546" s="26" t="s">
        <v>93</v>
      </c>
      <c r="T546" s="26">
        <v>6</v>
      </c>
      <c r="U546" s="27" t="s">
        <v>109</v>
      </c>
    </row>
    <row r="547" spans="18:21" x14ac:dyDescent="0.25">
      <c r="R547" s="26" t="s">
        <v>95</v>
      </c>
      <c r="S547" s="26" t="s">
        <v>94</v>
      </c>
      <c r="T547" s="26">
        <v>6</v>
      </c>
      <c r="U547" s="27" t="s">
        <v>109</v>
      </c>
    </row>
    <row r="548" spans="18:21" x14ac:dyDescent="0.25">
      <c r="R548" s="26" t="s">
        <v>96</v>
      </c>
      <c r="S548" s="26" t="s">
        <v>87</v>
      </c>
      <c r="T548" s="26">
        <v>6</v>
      </c>
      <c r="U548" s="27" t="s">
        <v>109</v>
      </c>
    </row>
    <row r="549" spans="18:21" x14ac:dyDescent="0.25">
      <c r="R549" s="26" t="s">
        <v>96</v>
      </c>
      <c r="S549" s="26" t="s">
        <v>88</v>
      </c>
      <c r="T549" s="26">
        <v>6</v>
      </c>
      <c r="U549" s="27" t="s">
        <v>109</v>
      </c>
    </row>
    <row r="550" spans="18:21" x14ac:dyDescent="0.25">
      <c r="R550" s="26" t="s">
        <v>96</v>
      </c>
      <c r="S550" s="26" t="s">
        <v>89</v>
      </c>
      <c r="T550" s="26">
        <v>6</v>
      </c>
      <c r="U550" s="27" t="s">
        <v>109</v>
      </c>
    </row>
    <row r="551" spans="18:21" x14ac:dyDescent="0.25">
      <c r="R551" s="26" t="s">
        <v>96</v>
      </c>
      <c r="S551" s="26" t="s">
        <v>90</v>
      </c>
      <c r="T551" s="26">
        <v>6</v>
      </c>
      <c r="U551" s="27" t="s">
        <v>109</v>
      </c>
    </row>
    <row r="552" spans="18:21" x14ac:dyDescent="0.25">
      <c r="R552" s="26" t="s">
        <v>96</v>
      </c>
      <c r="S552" s="26" t="s">
        <v>91</v>
      </c>
      <c r="T552" s="26">
        <v>6</v>
      </c>
      <c r="U552" s="27" t="s">
        <v>109</v>
      </c>
    </row>
    <row r="553" spans="18:21" x14ac:dyDescent="0.25">
      <c r="R553" s="26" t="s">
        <v>96</v>
      </c>
      <c r="S553" s="26" t="s">
        <v>92</v>
      </c>
      <c r="T553" s="26">
        <v>6</v>
      </c>
      <c r="U553" s="27" t="s">
        <v>109</v>
      </c>
    </row>
    <row r="554" spans="18:21" x14ac:dyDescent="0.25">
      <c r="R554" s="26" t="s">
        <v>96</v>
      </c>
      <c r="S554" s="26" t="s">
        <v>93</v>
      </c>
      <c r="T554" s="26">
        <v>6</v>
      </c>
      <c r="U554" s="27" t="s">
        <v>109</v>
      </c>
    </row>
    <row r="555" spans="18:21" x14ac:dyDescent="0.25">
      <c r="R555" s="26" t="s">
        <v>96</v>
      </c>
      <c r="S555" s="26" t="s">
        <v>94</v>
      </c>
      <c r="T555" s="26">
        <v>6</v>
      </c>
      <c r="U555" s="27" t="s">
        <v>109</v>
      </c>
    </row>
    <row r="556" spans="18:21" x14ac:dyDescent="0.25">
      <c r="R556" s="26" t="s">
        <v>97</v>
      </c>
      <c r="S556" s="26" t="s">
        <v>87</v>
      </c>
      <c r="T556" s="26">
        <v>6</v>
      </c>
      <c r="U556" s="27" t="s">
        <v>109</v>
      </c>
    </row>
    <row r="557" spans="18:21" x14ac:dyDescent="0.25">
      <c r="R557" s="26" t="s">
        <v>97</v>
      </c>
      <c r="S557" s="26" t="s">
        <v>88</v>
      </c>
      <c r="T557" s="26">
        <v>6</v>
      </c>
      <c r="U557" s="27" t="s">
        <v>109</v>
      </c>
    </row>
    <row r="558" spans="18:21" x14ac:dyDescent="0.25">
      <c r="R558" s="26" t="s">
        <v>97</v>
      </c>
      <c r="S558" s="26" t="s">
        <v>89</v>
      </c>
      <c r="T558" s="26">
        <v>6</v>
      </c>
      <c r="U558" s="27" t="s">
        <v>109</v>
      </c>
    </row>
    <row r="559" spans="18:21" x14ac:dyDescent="0.25">
      <c r="R559" s="26" t="s">
        <v>97</v>
      </c>
      <c r="S559" s="26" t="s">
        <v>90</v>
      </c>
      <c r="T559" s="26">
        <v>6</v>
      </c>
      <c r="U559" s="27" t="s">
        <v>109</v>
      </c>
    </row>
    <row r="560" spans="18:21" x14ac:dyDescent="0.25">
      <c r="R560" s="26" t="s">
        <v>97</v>
      </c>
      <c r="S560" s="26" t="s">
        <v>91</v>
      </c>
      <c r="T560" s="26">
        <v>6</v>
      </c>
      <c r="U560" s="27" t="s">
        <v>109</v>
      </c>
    </row>
    <row r="561" spans="18:21" x14ac:dyDescent="0.25">
      <c r="R561" s="26" t="s">
        <v>97</v>
      </c>
      <c r="S561" s="26" t="s">
        <v>92</v>
      </c>
      <c r="T561" s="26">
        <v>6</v>
      </c>
      <c r="U561" s="27" t="s">
        <v>109</v>
      </c>
    </row>
    <row r="562" spans="18:21" x14ac:dyDescent="0.25">
      <c r="R562" s="26" t="s">
        <v>97</v>
      </c>
      <c r="S562" s="26" t="s">
        <v>93</v>
      </c>
      <c r="T562" s="26">
        <v>6</v>
      </c>
      <c r="U562" s="27" t="s">
        <v>109</v>
      </c>
    </row>
    <row r="563" spans="18:21" x14ac:dyDescent="0.25">
      <c r="R563" s="26" t="s">
        <v>97</v>
      </c>
      <c r="S563" s="26" t="s">
        <v>94</v>
      </c>
      <c r="T563" s="26">
        <v>6</v>
      </c>
      <c r="U563" s="27" t="s">
        <v>109</v>
      </c>
    </row>
    <row r="564" spans="18:21" x14ac:dyDescent="0.25">
      <c r="R564" s="26" t="s">
        <v>98</v>
      </c>
      <c r="S564" s="26" t="s">
        <v>87</v>
      </c>
      <c r="T564" s="26">
        <v>6</v>
      </c>
      <c r="U564" s="27" t="s">
        <v>109</v>
      </c>
    </row>
    <row r="565" spans="18:21" x14ac:dyDescent="0.25">
      <c r="R565" s="26" t="s">
        <v>98</v>
      </c>
      <c r="S565" s="26" t="s">
        <v>88</v>
      </c>
      <c r="T565" s="26">
        <v>6</v>
      </c>
      <c r="U565" s="27" t="s">
        <v>109</v>
      </c>
    </row>
    <row r="566" spans="18:21" x14ac:dyDescent="0.25">
      <c r="R566" s="26" t="s">
        <v>98</v>
      </c>
      <c r="S566" s="26" t="s">
        <v>89</v>
      </c>
      <c r="T566" s="26">
        <v>6</v>
      </c>
      <c r="U566" s="27" t="s">
        <v>109</v>
      </c>
    </row>
    <row r="567" spans="18:21" x14ac:dyDescent="0.25">
      <c r="R567" s="26" t="s">
        <v>98</v>
      </c>
      <c r="S567" s="26" t="s">
        <v>90</v>
      </c>
      <c r="T567" s="26">
        <v>6</v>
      </c>
      <c r="U567" s="27" t="s">
        <v>109</v>
      </c>
    </row>
    <row r="568" spans="18:21" x14ac:dyDescent="0.25">
      <c r="R568" s="26" t="s">
        <v>98</v>
      </c>
      <c r="S568" s="26" t="s">
        <v>91</v>
      </c>
      <c r="T568" s="26">
        <v>6</v>
      </c>
      <c r="U568" s="27" t="s">
        <v>109</v>
      </c>
    </row>
    <row r="569" spans="18:21" x14ac:dyDescent="0.25">
      <c r="R569" s="26" t="s">
        <v>98</v>
      </c>
      <c r="S569" s="26" t="s">
        <v>92</v>
      </c>
      <c r="T569" s="26">
        <v>6</v>
      </c>
      <c r="U569" s="27" t="s">
        <v>109</v>
      </c>
    </row>
    <row r="570" spans="18:21" x14ac:dyDescent="0.25">
      <c r="R570" s="26" t="s">
        <v>98</v>
      </c>
      <c r="S570" s="26" t="s">
        <v>93</v>
      </c>
      <c r="T570" s="26">
        <v>6</v>
      </c>
      <c r="U570" s="27" t="s">
        <v>109</v>
      </c>
    </row>
    <row r="571" spans="18:21" x14ac:dyDescent="0.25">
      <c r="R571" s="26" t="s">
        <v>98</v>
      </c>
      <c r="S571" s="26" t="s">
        <v>94</v>
      </c>
      <c r="T571" s="26">
        <v>6</v>
      </c>
      <c r="U571" s="27" t="s">
        <v>109</v>
      </c>
    </row>
    <row r="572" spans="18:21" x14ac:dyDescent="0.25">
      <c r="R572" s="26">
        <v>72</v>
      </c>
      <c r="S572" s="26">
        <v>30</v>
      </c>
      <c r="T572" s="26">
        <v>4</v>
      </c>
      <c r="U572" s="27" t="s">
        <v>109</v>
      </c>
    </row>
    <row r="573" spans="18:21" x14ac:dyDescent="0.25">
      <c r="R573" s="26">
        <v>72</v>
      </c>
      <c r="S573" s="26">
        <v>36</v>
      </c>
      <c r="T573" s="26">
        <v>4</v>
      </c>
      <c r="U573" s="27" t="s">
        <v>109</v>
      </c>
    </row>
    <row r="574" spans="18:21" x14ac:dyDescent="0.25">
      <c r="R574" s="26">
        <v>72</v>
      </c>
      <c r="S574" s="26">
        <v>42</v>
      </c>
      <c r="T574" s="26">
        <v>4</v>
      </c>
      <c r="U574" s="27" t="s">
        <v>109</v>
      </c>
    </row>
    <row r="575" spans="18:21" x14ac:dyDescent="0.25">
      <c r="R575" s="26">
        <v>72</v>
      </c>
      <c r="S575" s="26">
        <v>48</v>
      </c>
      <c r="T575" s="26">
        <v>4</v>
      </c>
      <c r="U575" s="27" t="s">
        <v>109</v>
      </c>
    </row>
    <row r="576" spans="18:21" x14ac:dyDescent="0.25">
      <c r="R576" s="26">
        <v>72</v>
      </c>
      <c r="S576" s="26">
        <v>60</v>
      </c>
      <c r="T576" s="26">
        <v>4</v>
      </c>
      <c r="U576" s="27" t="s">
        <v>109</v>
      </c>
    </row>
    <row r="577" spans="18:21" x14ac:dyDescent="0.25">
      <c r="R577" s="26">
        <v>72</v>
      </c>
      <c r="S577" s="26">
        <v>66</v>
      </c>
      <c r="T577" s="26">
        <v>4</v>
      </c>
      <c r="U577" s="27" t="s">
        <v>109</v>
      </c>
    </row>
    <row r="578" spans="18:21" x14ac:dyDescent="0.25">
      <c r="R578" s="26">
        <v>72</v>
      </c>
      <c r="S578" s="26">
        <v>72</v>
      </c>
      <c r="T578" s="26">
        <v>4</v>
      </c>
      <c r="U578" s="27" t="s">
        <v>109</v>
      </c>
    </row>
    <row r="579" spans="18:21" x14ac:dyDescent="0.25">
      <c r="R579" s="26">
        <v>75</v>
      </c>
      <c r="S579" s="26">
        <v>30</v>
      </c>
      <c r="T579" s="26">
        <v>4</v>
      </c>
      <c r="U579" s="27" t="s">
        <v>109</v>
      </c>
    </row>
    <row r="580" spans="18:21" x14ac:dyDescent="0.25">
      <c r="R580" s="26">
        <v>75</v>
      </c>
      <c r="S580" s="26">
        <v>36</v>
      </c>
      <c r="T580" s="26">
        <v>4</v>
      </c>
      <c r="U580" s="27" t="s">
        <v>109</v>
      </c>
    </row>
    <row r="581" spans="18:21" x14ac:dyDescent="0.25">
      <c r="R581" s="26">
        <v>75</v>
      </c>
      <c r="S581" s="26">
        <v>42</v>
      </c>
      <c r="T581" s="26">
        <v>4</v>
      </c>
      <c r="U581" s="27" t="s">
        <v>109</v>
      </c>
    </row>
    <row r="582" spans="18:21" x14ac:dyDescent="0.25">
      <c r="R582" s="26">
        <v>75</v>
      </c>
      <c r="S582" s="26">
        <v>48</v>
      </c>
      <c r="T582" s="26">
        <v>4</v>
      </c>
      <c r="U582" s="27" t="s">
        <v>109</v>
      </c>
    </row>
    <row r="583" spans="18:21" x14ac:dyDescent="0.25">
      <c r="R583" s="26">
        <v>75</v>
      </c>
      <c r="S583" s="26">
        <v>60</v>
      </c>
      <c r="T583" s="26">
        <v>4</v>
      </c>
      <c r="U583" s="27" t="s">
        <v>109</v>
      </c>
    </row>
    <row r="584" spans="18:21" x14ac:dyDescent="0.25">
      <c r="R584" s="26">
        <v>75</v>
      </c>
      <c r="S584" s="26">
        <v>66</v>
      </c>
      <c r="T584" s="26">
        <v>4</v>
      </c>
      <c r="U584" s="27" t="s">
        <v>109</v>
      </c>
    </row>
    <row r="585" spans="18:21" x14ac:dyDescent="0.25">
      <c r="R585" s="26">
        <v>75</v>
      </c>
      <c r="S585" s="26">
        <v>72</v>
      </c>
      <c r="T585" s="26">
        <v>4</v>
      </c>
      <c r="U585" s="27" t="s">
        <v>109</v>
      </c>
    </row>
    <row r="586" spans="18:21" x14ac:dyDescent="0.25">
      <c r="R586" s="26">
        <v>78</v>
      </c>
      <c r="S586" s="26">
        <v>30</v>
      </c>
      <c r="T586" s="26">
        <v>4</v>
      </c>
      <c r="U586" s="27" t="s">
        <v>109</v>
      </c>
    </row>
    <row r="587" spans="18:21" x14ac:dyDescent="0.25">
      <c r="R587" s="26">
        <v>78</v>
      </c>
      <c r="S587" s="26">
        <v>36</v>
      </c>
      <c r="T587" s="26">
        <v>4</v>
      </c>
      <c r="U587" s="27" t="s">
        <v>109</v>
      </c>
    </row>
    <row r="588" spans="18:21" x14ac:dyDescent="0.25">
      <c r="R588" s="26">
        <v>78</v>
      </c>
      <c r="S588" s="26">
        <v>42</v>
      </c>
      <c r="T588" s="26">
        <v>4</v>
      </c>
      <c r="U588" s="27" t="s">
        <v>109</v>
      </c>
    </row>
    <row r="589" spans="18:21" x14ac:dyDescent="0.25">
      <c r="R589" s="26">
        <v>78</v>
      </c>
      <c r="S589" s="26">
        <v>48</v>
      </c>
      <c r="T589" s="26">
        <v>4</v>
      </c>
      <c r="U589" s="27" t="s">
        <v>109</v>
      </c>
    </row>
    <row r="590" spans="18:21" x14ac:dyDescent="0.25">
      <c r="R590" s="26">
        <v>78</v>
      </c>
      <c r="S590" s="26">
        <v>60</v>
      </c>
      <c r="T590" s="26">
        <v>4</v>
      </c>
      <c r="U590" s="27" t="s">
        <v>109</v>
      </c>
    </row>
    <row r="591" spans="18:21" x14ac:dyDescent="0.25">
      <c r="R591" s="26">
        <v>78</v>
      </c>
      <c r="S591" s="26">
        <v>66</v>
      </c>
      <c r="T591" s="26">
        <v>4</v>
      </c>
      <c r="U591" s="27" t="s">
        <v>109</v>
      </c>
    </row>
    <row r="592" spans="18:21" x14ac:dyDescent="0.25">
      <c r="R592" s="26">
        <v>78</v>
      </c>
      <c r="S592" s="26">
        <v>72</v>
      </c>
      <c r="T592" s="26">
        <v>4</v>
      </c>
      <c r="U592" s="27" t="s">
        <v>109</v>
      </c>
    </row>
    <row r="593" spans="18:21" x14ac:dyDescent="0.25">
      <c r="R593" s="26">
        <v>80</v>
      </c>
      <c r="S593" s="26">
        <v>30</v>
      </c>
      <c r="T593" s="26">
        <v>4</v>
      </c>
      <c r="U593" s="27" t="s">
        <v>109</v>
      </c>
    </row>
    <row r="594" spans="18:21" x14ac:dyDescent="0.25">
      <c r="R594" s="26">
        <v>80</v>
      </c>
      <c r="S594" s="26">
        <v>36</v>
      </c>
      <c r="T594" s="26">
        <v>4</v>
      </c>
      <c r="U594" s="27" t="s">
        <v>109</v>
      </c>
    </row>
    <row r="595" spans="18:21" x14ac:dyDescent="0.25">
      <c r="R595" s="26">
        <v>80</v>
      </c>
      <c r="S595" s="26">
        <v>42</v>
      </c>
      <c r="T595" s="26">
        <v>4</v>
      </c>
      <c r="U595" s="27" t="s">
        <v>109</v>
      </c>
    </row>
    <row r="596" spans="18:21" x14ac:dyDescent="0.25">
      <c r="R596" s="26">
        <v>80</v>
      </c>
      <c r="S596" s="26">
        <v>48</v>
      </c>
      <c r="T596" s="26">
        <v>4</v>
      </c>
      <c r="U596" s="27" t="s">
        <v>109</v>
      </c>
    </row>
    <row r="597" spans="18:21" x14ac:dyDescent="0.25">
      <c r="R597" s="26">
        <v>80</v>
      </c>
      <c r="S597" s="26">
        <v>60</v>
      </c>
      <c r="T597" s="26">
        <v>4</v>
      </c>
      <c r="U597" s="27" t="s">
        <v>109</v>
      </c>
    </row>
    <row r="598" spans="18:21" x14ac:dyDescent="0.25">
      <c r="R598" s="26">
        <v>80</v>
      </c>
      <c r="S598" s="26">
        <v>66</v>
      </c>
      <c r="T598" s="26">
        <v>4</v>
      </c>
      <c r="U598" s="27" t="s">
        <v>109</v>
      </c>
    </row>
    <row r="599" spans="18:21" x14ac:dyDescent="0.25">
      <c r="R599" s="26">
        <v>80</v>
      </c>
      <c r="S599" s="26">
        <v>72</v>
      </c>
      <c r="T599" s="26">
        <v>4</v>
      </c>
      <c r="U599" s="27" t="s">
        <v>109</v>
      </c>
    </row>
    <row r="600" spans="18:21" x14ac:dyDescent="0.25">
      <c r="R600" s="26">
        <v>84</v>
      </c>
      <c r="S600" s="26">
        <v>30</v>
      </c>
      <c r="T600" s="26">
        <v>4</v>
      </c>
      <c r="U600" s="27" t="s">
        <v>109</v>
      </c>
    </row>
    <row r="601" spans="18:21" x14ac:dyDescent="0.25">
      <c r="R601" s="26">
        <v>84</v>
      </c>
      <c r="S601" s="26">
        <v>36</v>
      </c>
      <c r="T601" s="26">
        <v>4</v>
      </c>
      <c r="U601" s="27" t="s">
        <v>109</v>
      </c>
    </row>
    <row r="602" spans="18:21" x14ac:dyDescent="0.25">
      <c r="R602" s="26">
        <v>84</v>
      </c>
      <c r="S602" s="26">
        <v>42</v>
      </c>
      <c r="T602" s="26">
        <v>4</v>
      </c>
      <c r="U602" s="27" t="s">
        <v>109</v>
      </c>
    </row>
    <row r="603" spans="18:21" x14ac:dyDescent="0.25">
      <c r="R603" s="26">
        <v>84</v>
      </c>
      <c r="S603" s="26">
        <v>48</v>
      </c>
      <c r="T603" s="26">
        <v>4</v>
      </c>
      <c r="U603" s="27" t="s">
        <v>109</v>
      </c>
    </row>
    <row r="604" spans="18:21" x14ac:dyDescent="0.25">
      <c r="R604" s="26">
        <v>84</v>
      </c>
      <c r="S604" s="26">
        <v>60</v>
      </c>
      <c r="T604" s="26">
        <v>4</v>
      </c>
      <c r="U604" s="27" t="s">
        <v>109</v>
      </c>
    </row>
    <row r="605" spans="18:21" x14ac:dyDescent="0.25">
      <c r="R605" s="26">
        <v>84</v>
      </c>
      <c r="S605" s="26">
        <v>66</v>
      </c>
      <c r="T605" s="26">
        <v>4</v>
      </c>
      <c r="U605" s="27" t="s">
        <v>109</v>
      </c>
    </row>
    <row r="606" spans="18:21" x14ac:dyDescent="0.25">
      <c r="R606" s="26">
        <v>84</v>
      </c>
      <c r="S606" s="26">
        <v>72</v>
      </c>
      <c r="T606" s="26">
        <v>4</v>
      </c>
      <c r="U606" s="27" t="s">
        <v>109</v>
      </c>
    </row>
    <row r="607" spans="18:21" x14ac:dyDescent="0.25">
      <c r="R607" s="26">
        <v>72</v>
      </c>
      <c r="S607" s="26">
        <v>30</v>
      </c>
      <c r="T607" s="26">
        <v>5</v>
      </c>
      <c r="U607" s="27" t="s">
        <v>109</v>
      </c>
    </row>
    <row r="608" spans="18:21" x14ac:dyDescent="0.25">
      <c r="R608" s="26">
        <v>72</v>
      </c>
      <c r="S608" s="26">
        <v>36</v>
      </c>
      <c r="T608" s="26">
        <v>5</v>
      </c>
      <c r="U608" s="27" t="s">
        <v>109</v>
      </c>
    </row>
    <row r="609" spans="18:21" x14ac:dyDescent="0.25">
      <c r="R609" s="26">
        <v>72</v>
      </c>
      <c r="S609" s="26">
        <v>42</v>
      </c>
      <c r="T609" s="26">
        <v>5</v>
      </c>
      <c r="U609" s="27" t="s">
        <v>109</v>
      </c>
    </row>
    <row r="610" spans="18:21" x14ac:dyDescent="0.25">
      <c r="R610" s="26">
        <v>72</v>
      </c>
      <c r="S610" s="26">
        <v>48</v>
      </c>
      <c r="T610" s="26">
        <v>5</v>
      </c>
      <c r="U610" s="27" t="s">
        <v>109</v>
      </c>
    </row>
    <row r="611" spans="18:21" x14ac:dyDescent="0.25">
      <c r="R611" s="26">
        <v>72</v>
      </c>
      <c r="S611" s="26">
        <v>60</v>
      </c>
      <c r="T611" s="26">
        <v>5</v>
      </c>
      <c r="U611" s="27" t="s">
        <v>109</v>
      </c>
    </row>
    <row r="612" spans="18:21" x14ac:dyDescent="0.25">
      <c r="R612" s="26">
        <v>72</v>
      </c>
      <c r="S612" s="26">
        <v>66</v>
      </c>
      <c r="T612" s="26">
        <v>5</v>
      </c>
      <c r="U612" s="27" t="s">
        <v>109</v>
      </c>
    </row>
    <row r="613" spans="18:21" x14ac:dyDescent="0.25">
      <c r="R613" s="26">
        <v>72</v>
      </c>
      <c r="S613" s="26">
        <v>72</v>
      </c>
      <c r="T613" s="26">
        <v>5</v>
      </c>
      <c r="U613" s="27" t="s">
        <v>109</v>
      </c>
    </row>
    <row r="614" spans="18:21" x14ac:dyDescent="0.25">
      <c r="R614" s="26">
        <v>75</v>
      </c>
      <c r="S614" s="26">
        <v>30</v>
      </c>
      <c r="T614" s="26">
        <v>5</v>
      </c>
      <c r="U614" s="27" t="s">
        <v>109</v>
      </c>
    </row>
    <row r="615" spans="18:21" x14ac:dyDescent="0.25">
      <c r="R615" s="26">
        <v>75</v>
      </c>
      <c r="S615" s="26">
        <v>36</v>
      </c>
      <c r="T615" s="26">
        <v>5</v>
      </c>
      <c r="U615" s="27" t="s">
        <v>109</v>
      </c>
    </row>
    <row r="616" spans="18:21" x14ac:dyDescent="0.25">
      <c r="R616" s="26">
        <v>75</v>
      </c>
      <c r="S616" s="26">
        <v>42</v>
      </c>
      <c r="T616" s="26">
        <v>5</v>
      </c>
      <c r="U616" s="27" t="s">
        <v>109</v>
      </c>
    </row>
    <row r="617" spans="18:21" x14ac:dyDescent="0.25">
      <c r="R617" s="26">
        <v>75</v>
      </c>
      <c r="S617" s="26">
        <v>48</v>
      </c>
      <c r="T617" s="26">
        <v>5</v>
      </c>
      <c r="U617" s="27" t="s">
        <v>109</v>
      </c>
    </row>
    <row r="618" spans="18:21" x14ac:dyDescent="0.25">
      <c r="R618" s="26">
        <v>75</v>
      </c>
      <c r="S618" s="26">
        <v>60</v>
      </c>
      <c r="T618" s="26">
        <v>5</v>
      </c>
      <c r="U618" s="27" t="s">
        <v>109</v>
      </c>
    </row>
    <row r="619" spans="18:21" x14ac:dyDescent="0.25">
      <c r="R619" s="26">
        <v>75</v>
      </c>
      <c r="S619" s="26">
        <v>66</v>
      </c>
      <c r="T619" s="26">
        <v>5</v>
      </c>
      <c r="U619" s="27" t="s">
        <v>109</v>
      </c>
    </row>
    <row r="620" spans="18:21" x14ac:dyDescent="0.25">
      <c r="R620" s="26">
        <v>75</v>
      </c>
      <c r="S620" s="26">
        <v>72</v>
      </c>
      <c r="T620" s="26">
        <v>5</v>
      </c>
      <c r="U620" s="27" t="s">
        <v>109</v>
      </c>
    </row>
    <row r="621" spans="18:21" x14ac:dyDescent="0.25">
      <c r="R621" s="26">
        <v>78</v>
      </c>
      <c r="S621" s="26">
        <v>30</v>
      </c>
      <c r="T621" s="26">
        <v>5</v>
      </c>
      <c r="U621" s="27" t="s">
        <v>109</v>
      </c>
    </row>
    <row r="622" spans="18:21" x14ac:dyDescent="0.25">
      <c r="R622" s="26">
        <v>78</v>
      </c>
      <c r="S622" s="26">
        <v>36</v>
      </c>
      <c r="T622" s="26">
        <v>5</v>
      </c>
      <c r="U622" s="27" t="s">
        <v>109</v>
      </c>
    </row>
    <row r="623" spans="18:21" x14ac:dyDescent="0.25">
      <c r="R623" s="26">
        <v>78</v>
      </c>
      <c r="S623" s="26">
        <v>42</v>
      </c>
      <c r="T623" s="26">
        <v>5</v>
      </c>
      <c r="U623" s="27" t="s">
        <v>109</v>
      </c>
    </row>
    <row r="624" spans="18:21" x14ac:dyDescent="0.25">
      <c r="R624" s="26">
        <v>78</v>
      </c>
      <c r="S624" s="26">
        <v>48</v>
      </c>
      <c r="T624" s="26">
        <v>5</v>
      </c>
      <c r="U624" s="27" t="s">
        <v>109</v>
      </c>
    </row>
    <row r="625" spans="18:21" x14ac:dyDescent="0.25">
      <c r="R625" s="26">
        <v>78</v>
      </c>
      <c r="S625" s="26">
        <v>60</v>
      </c>
      <c r="T625" s="26">
        <v>5</v>
      </c>
      <c r="U625" s="27" t="s">
        <v>109</v>
      </c>
    </row>
    <row r="626" spans="18:21" x14ac:dyDescent="0.25">
      <c r="R626" s="26">
        <v>78</v>
      </c>
      <c r="S626" s="26">
        <v>66</v>
      </c>
      <c r="T626" s="26">
        <v>5</v>
      </c>
      <c r="U626" s="27" t="s">
        <v>109</v>
      </c>
    </row>
    <row r="627" spans="18:21" x14ac:dyDescent="0.25">
      <c r="R627" s="26">
        <v>78</v>
      </c>
      <c r="S627" s="26">
        <v>72</v>
      </c>
      <c r="T627" s="26">
        <v>5</v>
      </c>
      <c r="U627" s="27" t="s">
        <v>109</v>
      </c>
    </row>
    <row r="628" spans="18:21" x14ac:dyDescent="0.25">
      <c r="R628" s="26">
        <v>80</v>
      </c>
      <c r="S628" s="26">
        <v>30</v>
      </c>
      <c r="T628" s="26">
        <v>5</v>
      </c>
      <c r="U628" s="27" t="s">
        <v>109</v>
      </c>
    </row>
    <row r="629" spans="18:21" x14ac:dyDescent="0.25">
      <c r="R629" s="26">
        <v>80</v>
      </c>
      <c r="S629" s="26">
        <v>36</v>
      </c>
      <c r="T629" s="26">
        <v>5</v>
      </c>
      <c r="U629" s="27" t="s">
        <v>109</v>
      </c>
    </row>
    <row r="630" spans="18:21" x14ac:dyDescent="0.25">
      <c r="R630" s="26">
        <v>80</v>
      </c>
      <c r="S630" s="26">
        <v>42</v>
      </c>
      <c r="T630" s="26">
        <v>5</v>
      </c>
      <c r="U630" s="27" t="s">
        <v>109</v>
      </c>
    </row>
    <row r="631" spans="18:21" x14ac:dyDescent="0.25">
      <c r="R631" s="26">
        <v>80</v>
      </c>
      <c r="S631" s="26">
        <v>48</v>
      </c>
      <c r="T631" s="26">
        <v>5</v>
      </c>
      <c r="U631" s="27" t="s">
        <v>109</v>
      </c>
    </row>
    <row r="632" spans="18:21" x14ac:dyDescent="0.25">
      <c r="R632" s="26">
        <v>80</v>
      </c>
      <c r="S632" s="26">
        <v>60</v>
      </c>
      <c r="T632" s="26">
        <v>5</v>
      </c>
      <c r="U632" s="27" t="s">
        <v>109</v>
      </c>
    </row>
    <row r="633" spans="18:21" x14ac:dyDescent="0.25">
      <c r="R633" s="26">
        <v>80</v>
      </c>
      <c r="S633" s="26">
        <v>66</v>
      </c>
      <c r="T633" s="26">
        <v>5</v>
      </c>
      <c r="U633" s="27" t="s">
        <v>109</v>
      </c>
    </row>
    <row r="634" spans="18:21" x14ac:dyDescent="0.25">
      <c r="R634" s="26">
        <v>80</v>
      </c>
      <c r="S634" s="26">
        <v>72</v>
      </c>
      <c r="T634" s="26">
        <v>5</v>
      </c>
      <c r="U634" s="27" t="s">
        <v>109</v>
      </c>
    </row>
    <row r="635" spans="18:21" x14ac:dyDescent="0.25">
      <c r="R635" s="26">
        <v>84</v>
      </c>
      <c r="S635" s="26">
        <v>30</v>
      </c>
      <c r="T635" s="26">
        <v>5</v>
      </c>
      <c r="U635" s="27" t="s">
        <v>109</v>
      </c>
    </row>
    <row r="636" spans="18:21" x14ac:dyDescent="0.25">
      <c r="R636" s="26">
        <v>84</v>
      </c>
      <c r="S636" s="26">
        <v>36</v>
      </c>
      <c r="T636" s="26">
        <v>5</v>
      </c>
      <c r="U636" s="27" t="s">
        <v>109</v>
      </c>
    </row>
    <row r="637" spans="18:21" x14ac:dyDescent="0.25">
      <c r="R637" s="26">
        <v>84</v>
      </c>
      <c r="S637" s="26">
        <v>42</v>
      </c>
      <c r="T637" s="26">
        <v>5</v>
      </c>
      <c r="U637" s="27" t="s">
        <v>109</v>
      </c>
    </row>
    <row r="638" spans="18:21" x14ac:dyDescent="0.25">
      <c r="R638" s="26">
        <v>84</v>
      </c>
      <c r="S638" s="26">
        <v>48</v>
      </c>
      <c r="T638" s="26">
        <v>5</v>
      </c>
      <c r="U638" s="27" t="s">
        <v>109</v>
      </c>
    </row>
    <row r="639" spans="18:21" x14ac:dyDescent="0.25">
      <c r="R639" s="26">
        <v>84</v>
      </c>
      <c r="S639" s="26">
        <v>60</v>
      </c>
      <c r="T639" s="26">
        <v>5</v>
      </c>
      <c r="U639" s="27" t="s">
        <v>109</v>
      </c>
    </row>
    <row r="640" spans="18:21" x14ac:dyDescent="0.25">
      <c r="R640" s="26">
        <v>84</v>
      </c>
      <c r="S640" s="26">
        <v>66</v>
      </c>
      <c r="T640" s="26">
        <v>5</v>
      </c>
      <c r="U640" s="27" t="s">
        <v>109</v>
      </c>
    </row>
    <row r="641" spans="18:21" x14ac:dyDescent="0.25">
      <c r="R641" s="26">
        <v>84</v>
      </c>
      <c r="S641" s="26">
        <v>72</v>
      </c>
      <c r="T641" s="26">
        <v>5</v>
      </c>
      <c r="U641" s="27" t="s">
        <v>109</v>
      </c>
    </row>
    <row r="642" spans="18:21" x14ac:dyDescent="0.25">
      <c r="R642" s="26">
        <v>72</v>
      </c>
      <c r="S642" s="26">
        <v>30</v>
      </c>
      <c r="T642" s="26">
        <v>6</v>
      </c>
      <c r="U642" s="27" t="s">
        <v>109</v>
      </c>
    </row>
    <row r="643" spans="18:21" x14ac:dyDescent="0.25">
      <c r="R643" s="26">
        <v>72</v>
      </c>
      <c r="S643" s="26">
        <v>36</v>
      </c>
      <c r="T643" s="26">
        <v>6</v>
      </c>
      <c r="U643" s="27" t="s">
        <v>109</v>
      </c>
    </row>
    <row r="644" spans="18:21" x14ac:dyDescent="0.25">
      <c r="R644" s="26">
        <v>72</v>
      </c>
      <c r="S644" s="26">
        <v>42</v>
      </c>
      <c r="T644" s="26">
        <v>6</v>
      </c>
      <c r="U644" s="27" t="s">
        <v>109</v>
      </c>
    </row>
    <row r="645" spans="18:21" x14ac:dyDescent="0.25">
      <c r="R645" s="26">
        <v>72</v>
      </c>
      <c r="S645" s="26">
        <v>48</v>
      </c>
      <c r="T645" s="26">
        <v>6</v>
      </c>
      <c r="U645" s="27" t="s">
        <v>109</v>
      </c>
    </row>
    <row r="646" spans="18:21" x14ac:dyDescent="0.25">
      <c r="R646" s="26">
        <v>72</v>
      </c>
      <c r="S646" s="26">
        <v>60</v>
      </c>
      <c r="T646" s="26">
        <v>6</v>
      </c>
      <c r="U646" s="27" t="s">
        <v>109</v>
      </c>
    </row>
    <row r="647" spans="18:21" x14ac:dyDescent="0.25">
      <c r="R647" s="26">
        <v>72</v>
      </c>
      <c r="S647" s="26">
        <v>66</v>
      </c>
      <c r="T647" s="26">
        <v>6</v>
      </c>
      <c r="U647" s="27" t="s">
        <v>109</v>
      </c>
    </row>
    <row r="648" spans="18:21" x14ac:dyDescent="0.25">
      <c r="R648" s="26">
        <v>72</v>
      </c>
      <c r="S648" s="26">
        <v>72</v>
      </c>
      <c r="T648" s="26">
        <v>6</v>
      </c>
      <c r="U648" s="27" t="s">
        <v>109</v>
      </c>
    </row>
    <row r="649" spans="18:21" x14ac:dyDescent="0.25">
      <c r="R649" s="26">
        <v>75</v>
      </c>
      <c r="S649" s="26">
        <v>30</v>
      </c>
      <c r="T649" s="26">
        <v>6</v>
      </c>
      <c r="U649" s="27" t="s">
        <v>109</v>
      </c>
    </row>
    <row r="650" spans="18:21" x14ac:dyDescent="0.25">
      <c r="R650" s="26">
        <v>75</v>
      </c>
      <c r="S650" s="26">
        <v>36</v>
      </c>
      <c r="T650" s="26">
        <v>6</v>
      </c>
      <c r="U650" s="27" t="s">
        <v>109</v>
      </c>
    </row>
    <row r="651" spans="18:21" x14ac:dyDescent="0.25">
      <c r="R651" s="26">
        <v>75</v>
      </c>
      <c r="S651" s="26">
        <v>42</v>
      </c>
      <c r="T651" s="26">
        <v>6</v>
      </c>
      <c r="U651" s="27" t="s">
        <v>109</v>
      </c>
    </row>
    <row r="652" spans="18:21" x14ac:dyDescent="0.25">
      <c r="R652" s="26">
        <v>75</v>
      </c>
      <c r="S652" s="26">
        <v>48</v>
      </c>
      <c r="T652" s="26">
        <v>6</v>
      </c>
      <c r="U652" s="27" t="s">
        <v>109</v>
      </c>
    </row>
    <row r="653" spans="18:21" x14ac:dyDescent="0.25">
      <c r="R653" s="26">
        <v>75</v>
      </c>
      <c r="S653" s="26">
        <v>60</v>
      </c>
      <c r="T653" s="26">
        <v>6</v>
      </c>
      <c r="U653" s="27" t="s">
        <v>109</v>
      </c>
    </row>
    <row r="654" spans="18:21" x14ac:dyDescent="0.25">
      <c r="R654" s="26">
        <v>75</v>
      </c>
      <c r="S654" s="26">
        <v>66</v>
      </c>
      <c r="T654" s="26">
        <v>6</v>
      </c>
      <c r="U654" s="27" t="s">
        <v>109</v>
      </c>
    </row>
    <row r="655" spans="18:21" x14ac:dyDescent="0.25">
      <c r="R655" s="26">
        <v>75</v>
      </c>
      <c r="S655" s="26">
        <v>72</v>
      </c>
      <c r="T655" s="26">
        <v>6</v>
      </c>
      <c r="U655" s="27" t="s">
        <v>109</v>
      </c>
    </row>
    <row r="656" spans="18:21" x14ac:dyDescent="0.25">
      <c r="R656" s="26">
        <v>78</v>
      </c>
      <c r="S656" s="26">
        <v>30</v>
      </c>
      <c r="T656" s="26">
        <v>6</v>
      </c>
      <c r="U656" s="27" t="s">
        <v>109</v>
      </c>
    </row>
    <row r="657" spans="18:21" x14ac:dyDescent="0.25">
      <c r="R657" s="26">
        <v>78</v>
      </c>
      <c r="S657" s="26">
        <v>36</v>
      </c>
      <c r="T657" s="26">
        <v>6</v>
      </c>
      <c r="U657" s="27" t="s">
        <v>109</v>
      </c>
    </row>
    <row r="658" spans="18:21" x14ac:dyDescent="0.25">
      <c r="R658" s="26">
        <v>78</v>
      </c>
      <c r="S658" s="26">
        <v>42</v>
      </c>
      <c r="T658" s="26">
        <v>6</v>
      </c>
      <c r="U658" s="27" t="s">
        <v>109</v>
      </c>
    </row>
    <row r="659" spans="18:21" x14ac:dyDescent="0.25">
      <c r="R659" s="26">
        <v>78</v>
      </c>
      <c r="S659" s="26">
        <v>48</v>
      </c>
      <c r="T659" s="26">
        <v>6</v>
      </c>
      <c r="U659" s="27" t="s">
        <v>109</v>
      </c>
    </row>
    <row r="660" spans="18:21" x14ac:dyDescent="0.25">
      <c r="R660" s="26">
        <v>78</v>
      </c>
      <c r="S660" s="26">
        <v>60</v>
      </c>
      <c r="T660" s="26">
        <v>6</v>
      </c>
      <c r="U660" s="27" t="s">
        <v>109</v>
      </c>
    </row>
    <row r="661" spans="18:21" x14ac:dyDescent="0.25">
      <c r="R661" s="26">
        <v>78</v>
      </c>
      <c r="S661" s="26">
        <v>66</v>
      </c>
      <c r="T661" s="26">
        <v>6</v>
      </c>
      <c r="U661" s="27" t="s">
        <v>109</v>
      </c>
    </row>
    <row r="662" spans="18:21" x14ac:dyDescent="0.25">
      <c r="R662" s="26">
        <v>78</v>
      </c>
      <c r="S662" s="26">
        <v>72</v>
      </c>
      <c r="T662" s="26">
        <v>6</v>
      </c>
      <c r="U662" s="27" t="s">
        <v>109</v>
      </c>
    </row>
    <row r="663" spans="18:21" x14ac:dyDescent="0.25">
      <c r="R663" s="26">
        <v>80</v>
      </c>
      <c r="S663" s="26">
        <v>30</v>
      </c>
      <c r="T663" s="26">
        <v>6</v>
      </c>
      <c r="U663" s="27" t="s">
        <v>109</v>
      </c>
    </row>
    <row r="664" spans="18:21" x14ac:dyDescent="0.25">
      <c r="R664" s="26">
        <v>80</v>
      </c>
      <c r="S664" s="26">
        <v>36</v>
      </c>
      <c r="T664" s="26">
        <v>6</v>
      </c>
      <c r="U664" s="27" t="s">
        <v>109</v>
      </c>
    </row>
    <row r="665" spans="18:21" x14ac:dyDescent="0.25">
      <c r="R665" s="26">
        <v>80</v>
      </c>
      <c r="S665" s="26">
        <v>42</v>
      </c>
      <c r="T665" s="26">
        <v>6</v>
      </c>
      <c r="U665" s="27" t="s">
        <v>109</v>
      </c>
    </row>
    <row r="666" spans="18:21" x14ac:dyDescent="0.25">
      <c r="R666" s="26">
        <v>80</v>
      </c>
      <c r="S666" s="26">
        <v>48</v>
      </c>
      <c r="T666" s="26">
        <v>6</v>
      </c>
      <c r="U666" s="27" t="s">
        <v>109</v>
      </c>
    </row>
    <row r="667" spans="18:21" x14ac:dyDescent="0.25">
      <c r="R667" s="26">
        <v>80</v>
      </c>
      <c r="S667" s="26">
        <v>60</v>
      </c>
      <c r="T667" s="26">
        <v>6</v>
      </c>
      <c r="U667" s="27" t="s">
        <v>109</v>
      </c>
    </row>
    <row r="668" spans="18:21" x14ac:dyDescent="0.25">
      <c r="R668" s="26">
        <v>80</v>
      </c>
      <c r="S668" s="26">
        <v>66</v>
      </c>
      <c r="T668" s="26">
        <v>6</v>
      </c>
      <c r="U668" s="27" t="s">
        <v>109</v>
      </c>
    </row>
    <row r="669" spans="18:21" x14ac:dyDescent="0.25">
      <c r="R669" s="26">
        <v>80</v>
      </c>
      <c r="S669" s="26">
        <v>72</v>
      </c>
      <c r="T669" s="26">
        <v>6</v>
      </c>
      <c r="U669" s="27" t="s">
        <v>109</v>
      </c>
    </row>
    <row r="670" spans="18:21" x14ac:dyDescent="0.25">
      <c r="R670" s="26">
        <v>84</v>
      </c>
      <c r="S670" s="26">
        <v>30</v>
      </c>
      <c r="T670" s="26">
        <v>6</v>
      </c>
      <c r="U670" s="27" t="s">
        <v>109</v>
      </c>
    </row>
    <row r="671" spans="18:21" x14ac:dyDescent="0.25">
      <c r="R671" s="26">
        <v>84</v>
      </c>
      <c r="S671" s="26">
        <v>36</v>
      </c>
      <c r="T671" s="26">
        <v>6</v>
      </c>
      <c r="U671" s="27" t="s">
        <v>109</v>
      </c>
    </row>
    <row r="672" spans="18:21" x14ac:dyDescent="0.25">
      <c r="R672" s="26">
        <v>84</v>
      </c>
      <c r="S672" s="26">
        <v>42</v>
      </c>
      <c r="T672" s="26">
        <v>6</v>
      </c>
      <c r="U672" s="27" t="s">
        <v>109</v>
      </c>
    </row>
    <row r="673" spans="18:21" x14ac:dyDescent="0.25">
      <c r="R673" s="26">
        <v>84</v>
      </c>
      <c r="S673" s="26">
        <v>48</v>
      </c>
      <c r="T673" s="26">
        <v>6</v>
      </c>
      <c r="U673" s="27" t="s">
        <v>109</v>
      </c>
    </row>
    <row r="674" spans="18:21" x14ac:dyDescent="0.25">
      <c r="R674" s="26">
        <v>84</v>
      </c>
      <c r="S674" s="26">
        <v>60</v>
      </c>
      <c r="T674" s="26">
        <v>6</v>
      </c>
      <c r="U674" s="27" t="s">
        <v>109</v>
      </c>
    </row>
    <row r="675" spans="18:21" x14ac:dyDescent="0.25">
      <c r="R675" s="26">
        <v>84</v>
      </c>
      <c r="S675" s="26">
        <v>66</v>
      </c>
      <c r="T675" s="26">
        <v>6</v>
      </c>
      <c r="U675" s="27" t="s">
        <v>109</v>
      </c>
    </row>
    <row r="676" spans="18:21" x14ac:dyDescent="0.25">
      <c r="R676" s="26">
        <v>84</v>
      </c>
      <c r="S676" s="26">
        <v>72</v>
      </c>
      <c r="T676" s="26">
        <v>6</v>
      </c>
      <c r="U676" s="27" t="s">
        <v>109</v>
      </c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"/>
  <sheetViews>
    <sheetView workbookViewId="0">
      <selection activeCell="F18" sqref="F18"/>
    </sheetView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77</v>
      </c>
      <c r="B1" s="23" t="s">
        <v>78</v>
      </c>
      <c r="C1" s="24" t="s">
        <v>79</v>
      </c>
      <c r="D1" s="23" t="s">
        <v>80</v>
      </c>
      <c r="E1" s="23" t="s">
        <v>4</v>
      </c>
      <c r="F1" s="23" t="s">
        <v>81</v>
      </c>
      <c r="G1" s="24" t="s">
        <v>82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929"/>
  <sheetViews>
    <sheetView zoomScale="85" zoomScaleNormal="85" workbookViewId="0">
      <selection activeCell="L17" sqref="L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23</v>
      </c>
      <c r="B1" s="50" t="s">
        <v>24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38" t="s">
        <v>26</v>
      </c>
      <c r="C2" s="38" t="s">
        <v>27</v>
      </c>
      <c r="D2" s="38" t="s">
        <v>28</v>
      </c>
      <c r="E2" s="38" t="s">
        <v>27</v>
      </c>
      <c r="F2" s="38" t="s">
        <v>28</v>
      </c>
      <c r="G2" s="38" t="s">
        <v>26</v>
      </c>
      <c r="H2" s="38" t="s">
        <v>28</v>
      </c>
      <c r="I2" s="38" t="s">
        <v>28</v>
      </c>
      <c r="J2" s="38" t="s">
        <v>28</v>
      </c>
      <c r="K2" s="38" t="s">
        <v>28</v>
      </c>
      <c r="L2" s="38" t="s">
        <v>26</v>
      </c>
      <c r="M2" s="39" t="s">
        <v>29</v>
      </c>
      <c r="N2" s="19" t="s">
        <v>29</v>
      </c>
      <c r="O2" s="39" t="s">
        <v>29</v>
      </c>
      <c r="P2" s="39" t="s">
        <v>30</v>
      </c>
      <c r="Q2" s="39" t="s">
        <v>29</v>
      </c>
      <c r="R2" s="39" t="s">
        <v>30</v>
      </c>
      <c r="S2" s="39" t="s">
        <v>29</v>
      </c>
      <c r="T2" s="39" t="s">
        <v>29</v>
      </c>
      <c r="U2" s="39" t="s">
        <v>30</v>
      </c>
      <c r="V2" s="39" t="s">
        <v>29</v>
      </c>
      <c r="W2" s="39" t="s">
        <v>29</v>
      </c>
      <c r="X2" s="39" t="s">
        <v>29</v>
      </c>
      <c r="Y2" s="39" t="s">
        <v>30</v>
      </c>
      <c r="Z2" s="39" t="s">
        <v>31</v>
      </c>
      <c r="AA2" s="39" t="s">
        <v>29</v>
      </c>
      <c r="AB2" s="39" t="s">
        <v>29</v>
      </c>
      <c r="AC2" s="39" t="s">
        <v>29</v>
      </c>
      <c r="AD2" s="39" t="s">
        <v>29</v>
      </c>
      <c r="AE2" s="39" t="s">
        <v>29</v>
      </c>
      <c r="AF2" s="39" t="s">
        <v>29</v>
      </c>
      <c r="AG2" s="39" t="s">
        <v>31</v>
      </c>
      <c r="AH2" s="39" t="s">
        <v>31</v>
      </c>
      <c r="AI2" s="39" t="s">
        <v>31</v>
      </c>
      <c r="AJ2" s="39" t="s">
        <v>29</v>
      </c>
      <c r="AK2" s="39" t="s">
        <v>29</v>
      </c>
      <c r="AL2" s="39" t="s">
        <v>29</v>
      </c>
    </row>
    <row r="3" spans="1:38" x14ac:dyDescent="0.25">
      <c r="A3" s="49"/>
      <c r="B3" s="38" t="s">
        <v>32</v>
      </c>
      <c r="C3" s="38" t="s">
        <v>33</v>
      </c>
      <c r="D3" s="38" t="s">
        <v>34</v>
      </c>
      <c r="E3" s="38" t="s">
        <v>33</v>
      </c>
      <c r="F3" s="38" t="s">
        <v>35</v>
      </c>
      <c r="G3" s="38" t="s">
        <v>36</v>
      </c>
      <c r="H3" s="38" t="s">
        <v>37</v>
      </c>
      <c r="I3" s="38" t="s">
        <v>38</v>
      </c>
      <c r="J3" s="38" t="s">
        <v>33</v>
      </c>
      <c r="K3" s="38" t="s">
        <v>33</v>
      </c>
      <c r="L3" s="38" t="s">
        <v>39</v>
      </c>
      <c r="M3" s="39" t="s">
        <v>40</v>
      </c>
      <c r="N3" s="19" t="s">
        <v>33</v>
      </c>
      <c r="O3" s="39" t="s">
        <v>35</v>
      </c>
      <c r="P3" s="39" t="s">
        <v>41</v>
      </c>
      <c r="Q3" s="39" t="s">
        <v>38</v>
      </c>
      <c r="R3" s="39" t="s">
        <v>37</v>
      </c>
      <c r="S3" s="39" t="s">
        <v>42</v>
      </c>
      <c r="T3" s="39" t="s">
        <v>40</v>
      </c>
      <c r="U3" s="39" t="s">
        <v>43</v>
      </c>
      <c r="V3" s="39" t="s">
        <v>37</v>
      </c>
      <c r="W3" s="39" t="s">
        <v>38</v>
      </c>
      <c r="X3" s="39" t="s">
        <v>38</v>
      </c>
      <c r="Y3" s="39" t="s">
        <v>32</v>
      </c>
      <c r="Z3" s="39" t="s">
        <v>39</v>
      </c>
      <c r="AA3" s="39" t="s">
        <v>44</v>
      </c>
      <c r="AB3" s="39" t="s">
        <v>44</v>
      </c>
      <c r="AC3" s="39" t="s">
        <v>38</v>
      </c>
      <c r="AD3" s="39" t="s">
        <v>38</v>
      </c>
      <c r="AE3" s="39" t="s">
        <v>43</v>
      </c>
      <c r="AF3" s="39" t="s">
        <v>42</v>
      </c>
      <c r="AG3" s="39" t="s">
        <v>32</v>
      </c>
      <c r="AH3" s="39" t="s">
        <v>39</v>
      </c>
      <c r="AI3" s="39" t="s">
        <v>39</v>
      </c>
      <c r="AJ3" s="39" t="s">
        <v>33</v>
      </c>
      <c r="AK3" s="39" t="s">
        <v>35</v>
      </c>
      <c r="AL3" s="39" t="s">
        <v>45</v>
      </c>
    </row>
    <row r="4" spans="1:38" x14ac:dyDescent="0.25">
      <c r="A4" s="49"/>
      <c r="B4" s="20" t="s">
        <v>46</v>
      </c>
      <c r="C4" s="20" t="s">
        <v>47</v>
      </c>
      <c r="D4" s="38" t="s">
        <v>48</v>
      </c>
      <c r="E4" s="20" t="s">
        <v>3</v>
      </c>
      <c r="F4" s="38" t="s">
        <v>49</v>
      </c>
      <c r="G4" s="20" t="s">
        <v>50</v>
      </c>
      <c r="H4" s="20" t="s">
        <v>6</v>
      </c>
      <c r="I4" s="20" t="s">
        <v>51</v>
      </c>
      <c r="J4" s="38" t="s">
        <v>52</v>
      </c>
      <c r="K4" s="38" t="s">
        <v>53</v>
      </c>
      <c r="L4" s="38" t="s">
        <v>54</v>
      </c>
      <c r="M4" s="21" t="s">
        <v>55</v>
      </c>
      <c r="N4" s="22" t="s">
        <v>3</v>
      </c>
      <c r="O4" s="39" t="s">
        <v>49</v>
      </c>
      <c r="P4" s="39" t="s">
        <v>56</v>
      </c>
      <c r="Q4" s="39" t="s">
        <v>57</v>
      </c>
      <c r="R4" s="39" t="s">
        <v>4</v>
      </c>
      <c r="S4" s="39" t="s">
        <v>58</v>
      </c>
      <c r="T4" s="39" t="s">
        <v>59</v>
      </c>
      <c r="U4" s="39" t="s">
        <v>60</v>
      </c>
      <c r="V4" s="39" t="s">
        <v>6</v>
      </c>
      <c r="W4" s="39" t="s">
        <v>61</v>
      </c>
      <c r="X4" s="39" t="s">
        <v>62</v>
      </c>
      <c r="Y4" s="39" t="s">
        <v>63</v>
      </c>
      <c r="Z4" s="39" t="s">
        <v>64</v>
      </c>
      <c r="AA4" s="39" t="s">
        <v>65</v>
      </c>
      <c r="AB4" s="39" t="s">
        <v>66</v>
      </c>
      <c r="AC4" s="39" t="s">
        <v>67</v>
      </c>
      <c r="AD4" s="39" t="s">
        <v>68</v>
      </c>
      <c r="AE4" s="39" t="s">
        <v>69</v>
      </c>
      <c r="AF4" s="39" t="s">
        <v>70</v>
      </c>
      <c r="AG4" s="39" t="s">
        <v>71</v>
      </c>
      <c r="AH4" s="39" t="s">
        <v>72</v>
      </c>
      <c r="AI4" s="39" t="s">
        <v>73</v>
      </c>
      <c r="AJ4" s="39" t="s">
        <v>74</v>
      </c>
      <c r="AK4" s="39" t="s">
        <v>75</v>
      </c>
      <c r="AL4" s="39" t="s">
        <v>76</v>
      </c>
    </row>
    <row r="5" spans="1:38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/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/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/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/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/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/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/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/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/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/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/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/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/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/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/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/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/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/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/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/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/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/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/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/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/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/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/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/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/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/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/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/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/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/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/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/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/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/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/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/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/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/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/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/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/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/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/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/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/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/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/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/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/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/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/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/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/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/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/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/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/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/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/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/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/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/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/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/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/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/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/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/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/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/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/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/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/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/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/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/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/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/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/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/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/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/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/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/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/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/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/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/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/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/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/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/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/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/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/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/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/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/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/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/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/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/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/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/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/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/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/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/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/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/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/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/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/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/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/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/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/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/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/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/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/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/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/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/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/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/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/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/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/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/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/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/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/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/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/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/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/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/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/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/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/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/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/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/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/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/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/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/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/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/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/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/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/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/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/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/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/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/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/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/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/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/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/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/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/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/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/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/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/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/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/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/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/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/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/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/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/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/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/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/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/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/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/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/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/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/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/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/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/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/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/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/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/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/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/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/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/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/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/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/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/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/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/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/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/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/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/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/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/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/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/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/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/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/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/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/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/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/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/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/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/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/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/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/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/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/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/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/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/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/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/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/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/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/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/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/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/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/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/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/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/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/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/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/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/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/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/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/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/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/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/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/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/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/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/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/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/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/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/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/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/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/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/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/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/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/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/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/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/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/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/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/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/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/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/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/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/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/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/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/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/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/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/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/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/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/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/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/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/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/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/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/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/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/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/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/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/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/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/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/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/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/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/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/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/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/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/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/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/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/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/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/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/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/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/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/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/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/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/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/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/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/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/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/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/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/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/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/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/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/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/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/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/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/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/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/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/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/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/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/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/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/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/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/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/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/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/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/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/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/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/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/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/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/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/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/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/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/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/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/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/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/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/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/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/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/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/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/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/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/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/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/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/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/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/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/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/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/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/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/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/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/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/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/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/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/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/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/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/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/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/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/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/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/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/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/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/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/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/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/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/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/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/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/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/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/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/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/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/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/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/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/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/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/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/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/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/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/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/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/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/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/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/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/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/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/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/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/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/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/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/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/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/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/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/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/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/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/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/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/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/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/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/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/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/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/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/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/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/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/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/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/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/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/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/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/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/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/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/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/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/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/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/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/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/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/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/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/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/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/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/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/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/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/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/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/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/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/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/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/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/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/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/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/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/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/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/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/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/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/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/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/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/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/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/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/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/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/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/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/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/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/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/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/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/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/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/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/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/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/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/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/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/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/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/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/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/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/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/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/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/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/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/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/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/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/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/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/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/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/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/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/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/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/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/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/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/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/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/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/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/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/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/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/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/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/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</sheetData>
  <autoFilter ref="A2:AL2929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2025-11-05T04:23:26Z</dcterms:modified>
</cp:coreProperties>
</file>