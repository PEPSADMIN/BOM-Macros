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PANAROMA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DEST!$A$2:$AM$3604</definedName>
  </definedNames>
  <calcPr calcId="152511"/>
</workbook>
</file>

<file path=xl/calcChain.xml><?xml version="1.0" encoding="utf-8"?>
<calcChain xmlns="http://schemas.openxmlformats.org/spreadsheetml/2006/main">
  <c r="H8" i="13" l="1"/>
  <c r="G5" i="13"/>
  <c r="E10" i="13"/>
  <c r="G2" i="13"/>
  <c r="E3" i="13"/>
  <c r="G6" i="13"/>
  <c r="G4" i="13"/>
  <c r="H4" i="13" s="1"/>
  <c r="D3" i="13" l="1"/>
  <c r="D4" i="13"/>
  <c r="D5" i="13"/>
  <c r="D6" i="13"/>
  <c r="D7" i="13"/>
  <c r="D8" i="13"/>
  <c r="D9" i="13"/>
  <c r="D10" i="13"/>
  <c r="D2" i="13"/>
  <c r="H9" i="13" l="1"/>
  <c r="H7" i="13" l="1"/>
  <c r="G9" i="13" l="1"/>
  <c r="H10" i="13" l="1"/>
  <c r="H6" i="13" l="1"/>
  <c r="H5" i="13"/>
  <c r="H3" i="13"/>
  <c r="H2" i="13"/>
</calcChain>
</file>

<file path=xl/sharedStrings.xml><?xml version="1.0" encoding="utf-8"?>
<sst xmlns="http://schemas.openxmlformats.org/spreadsheetml/2006/main" count="1364" uniqueCount="131">
  <si>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</si>
  <si>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</si>
  <si>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</si>
  <si>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</si>
  <si>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</si>
  <si>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</si>
  <si>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</si>
  <si>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</si>
  <si>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</si>
  <si>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</si>
  <si>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</si>
  <si>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</si>
  <si>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</si>
  <si>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</si>
  <si>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</si>
  <si>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</si>
  <si>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TAPE EDGE</t>
  </si>
  <si>
    <t>QC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</si>
  <si>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</si>
  <si>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</si>
  <si>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</si>
  <si>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</si>
  <si>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</si>
  <si>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</si>
  <si>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</si>
  <si>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</si>
  <si>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</si>
  <si>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</si>
  <si>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</si>
  <si>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</si>
  <si>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</si>
  <si>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</si>
  <si>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</si>
  <si>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</si>
  <si>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</si>
  <si>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</si>
  <si>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</si>
  <si>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</si>
  <si>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</si>
  <si>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</si>
  <si>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</si>
  <si>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</si>
  <si>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</si>
  <si>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</si>
  <si>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</si>
  <si>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</si>
  <si>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</si>
  <si>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</si>
  <si>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</si>
  <si>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</si>
  <si>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</si>
  <si>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</si>
  <si>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</si>
  <si>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</si>
  <si>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</si>
  <si>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</si>
  <si>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</si>
  <si>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</si>
  <si>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</si>
  <si>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</si>
  <si>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</si>
  <si>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</si>
  <si>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</si>
  <si>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</si>
  <si>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</si>
  <si>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</si>
  <si>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</si>
  <si>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</si>
  <si>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</si>
  <si>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</si>
  <si>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</si>
  <si>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</si>
  <si>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</si>
  <si>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</si>
  <si>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</si>
  <si>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</si>
  <si>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</si>
  <si>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</si>
  <si>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</si>
  <si>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</si>
  <si>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</si>
  <si>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QUILTING</t>
  </si>
  <si>
    <t>Quilt</t>
  </si>
  <si>
    <t>FBR-PANO-PNL-LBLUE</t>
  </si>
  <si>
    <t>RMI-PVC-50</t>
  </si>
  <si>
    <t>SFG-RTC-BNPK-BP</t>
  </si>
  <si>
    <t>HYPPANFMDB72X30X05-ECOM</t>
  </si>
  <si>
    <t>Foam sheet</t>
  </si>
  <si>
    <t>RML-POLY-GUM</t>
  </si>
  <si>
    <t>LTR</t>
  </si>
  <si>
    <t>SFG-ROLLAWAY-QUILT</t>
  </si>
  <si>
    <t>RM-PEPS-MAT-MRP-LBL</t>
  </si>
  <si>
    <t>RML-SUPR-ARD-EDTAPE-GRY</t>
  </si>
  <si>
    <t>RML-THRD-TKT-40GREY</t>
  </si>
  <si>
    <t>RML-OK-ROUND-STK</t>
  </si>
  <si>
    <t>ROLLAWAY72X36X04</t>
  </si>
  <si>
    <t>SFG-ROLLAWAY-BOR-72X36X04</t>
  </si>
  <si>
    <t>28D-PRE-FOAM-72X36X90MM</t>
  </si>
  <si>
    <t>ROLLAWAY72X36X05</t>
  </si>
  <si>
    <t>SFG-ROLLAWAY-BOR-72X36X05</t>
  </si>
  <si>
    <t>28D-PRE-FOAM-72X36X115MM</t>
  </si>
  <si>
    <t>ROLLAWAY72X36X06</t>
  </si>
  <si>
    <t>SFG-ROLLAWAY-BOR-72X36X06</t>
  </si>
  <si>
    <t>28D-PRE-FOAM-72X36X140MM</t>
  </si>
  <si>
    <t>ROLLAWAY72X48X04</t>
  </si>
  <si>
    <t>SFG-ROLLAWAY-BOR-72X48X04</t>
  </si>
  <si>
    <t>28D-PRE-FOAM-72X48X90MM</t>
  </si>
  <si>
    <t>ROLLAWAY72X48X05</t>
  </si>
  <si>
    <t>SFG-ROLLAWAY-BOR-72X48X05</t>
  </si>
  <si>
    <t>28D-PRE-FOAM-72X48X115MM</t>
  </si>
  <si>
    <t>ROLLAWAY72X48X06</t>
  </si>
  <si>
    <t>SFG-ROLLAWAY-BOR-72X48X06</t>
  </si>
  <si>
    <t>28D-PRE-FOAM-72X48X140MM</t>
  </si>
  <si>
    <t>ROLLAWAY75X36X04</t>
  </si>
  <si>
    <t>SFG-ROLLAWAY-BOR-75X36X04</t>
  </si>
  <si>
    <t>28D-PRE-FOAM-75X36X90MM</t>
  </si>
  <si>
    <t>ROLLAWAY75X36X05</t>
  </si>
  <si>
    <t>SFG-ROLLAWAY-BOR-75X36X05</t>
  </si>
  <si>
    <t>28D-PRE-FOAM-75X36X115MM</t>
  </si>
  <si>
    <t>ROLLAWAY75X36X06</t>
  </si>
  <si>
    <t>SFG-ROLLAWAY-BOR-75X36X06</t>
  </si>
  <si>
    <t>28D-PRE-FOAM-75X36X140MM</t>
  </si>
  <si>
    <t>ROLLAWAY75X48X04</t>
  </si>
  <si>
    <t>SFG-ROLLAWAY-BOR-75X48X04</t>
  </si>
  <si>
    <t>28D-PRE-FOAM-75X48X90MM</t>
  </si>
  <si>
    <t>ROLLAWAY75X48X05</t>
  </si>
  <si>
    <t>SFG-ROLLAWAY-BOR-75X48X05</t>
  </si>
  <si>
    <t>28D-PRE-FOAM-75X48X115MM</t>
  </si>
  <si>
    <t>ROLLAWAY75X48X06</t>
  </si>
  <si>
    <t>SFG-ROLLAWAY-BOR-75X48X06</t>
  </si>
  <si>
    <t>28D-PRE-FOAM-75X48X140MM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</si>
</sst>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  <font>
      <sz val="10"/>
      <name val="Arial"/>
      <family val="2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3">
    <xf numFmtId="0" fontId="0" fillId="0" borderId="0"/>
    <xf numFmtId="0" fontId="6" fillId="0" borderId="0"/>
    <xf numFmtId="0" fontId="6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2" xfId="0" applyBorder="1"/>
    <xf numFmtId="164" fontId="1" fillId="0" borderId="1" xfId="0" applyNumberFormat="1" applyFont="1" applyBorder="1" applyAlignment="1">
      <alignment vertical="center"/>
    </xf>
    <xf numFmtId="0" fontId="5" fillId="7" borderId="1" xfId="0" applyFont="1" applyFill="1" applyBorder="1" applyAlignment="1" applyProtection="1">
      <alignment horizontal="left"/>
      <protection locked="0"/>
    </xf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7" fillId="7" borderId="3" xfId="1" applyFont="1" applyFill="1" applyBorder="1" applyAlignment="1" applyProtection="1">
      <alignment horizontal="left"/>
      <protection locked="0"/>
    </xf>
    <xf numFmtId="0" fontId="7" fillId="7" borderId="3" xfId="2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3" sqref="M13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9.28515625" style="13" bestFit="1" customWidth="1"/>
    <col min="5" max="5" width="34.7109375" style="13" bestFit="1" customWidth="1"/>
    <col min="6" max="6" width="5.7109375" style="4" bestFit="1" customWidth="1"/>
    <col min="7" max="7" width="10.7109375" style="40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  <c r="F1" s="1" t="s">
        <v>4</v>
      </c>
      <c r="G1" s="35" t="s">
        <v>5</v>
      </c>
      <c r="H1" s="1" t="s">
        <v>19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76</v>
      </c>
      <c r="S1" s="29" t="s">
        <v>77</v>
      </c>
      <c r="T1" s="29" t="s">
        <v>78</v>
      </c>
      <c r="U1" s="29" t="s">
        <v>10</v>
      </c>
    </row>
    <row r="2" spans="1:21" x14ac:dyDescent="0.25">
      <c r="A2" s="30">
        <v>1</v>
      </c>
      <c r="B2" s="31" t="s">
        <v>81</v>
      </c>
      <c r="C2" s="8" t="s">
        <v>82</v>
      </c>
      <c r="D2" s="8" t="str">
        <f>"ROLLAWAY"&amp;$K$2&amp;"X"&amp;$L$2&amp;"X0"&amp;$M$2</f>
        <v>ROLLAWAY75X48X06</v>
      </c>
      <c r="E2" s="43" t="s">
        <v>90</v>
      </c>
      <c r="F2" s="10" t="s">
        <v>14</v>
      </c>
      <c r="G2" s="36">
        <f>IF(K2&lt;79,(L2+1)*2,(K2+1)*2)*0.0254</f>
        <v>2.4891999999999999</v>
      </c>
      <c r="H2" s="9">
        <f>ROUND(G2,3)</f>
        <v>2.4889999999999999</v>
      </c>
      <c r="I2" s="32" t="s">
        <v>15</v>
      </c>
      <c r="J2" s="5"/>
      <c r="K2" s="6">
        <v>75</v>
      </c>
      <c r="L2" s="6">
        <v>48</v>
      </c>
      <c r="M2" s="28">
        <v>6</v>
      </c>
      <c r="N2" s="6"/>
      <c r="R2" s="27">
        <v>72</v>
      </c>
      <c r="S2" s="27">
        <v>36</v>
      </c>
      <c r="T2" s="26">
        <v>4</v>
      </c>
      <c r="U2" s="27"/>
    </row>
    <row r="3" spans="1:21" s="15" customFormat="1" x14ac:dyDescent="0.25">
      <c r="A3" s="30">
        <v>2</v>
      </c>
      <c r="B3" s="31" t="s">
        <v>81</v>
      </c>
      <c r="C3" s="8" t="s">
        <v>82</v>
      </c>
      <c r="D3" s="8" t="str">
        <f t="shared" ref="D3:D10" si="0">"ROLLAWAY"&amp;$K$2&amp;"X"&amp;$L$2&amp;"X0"&amp;$M$2</f>
        <v>ROLLAWAY75X48X06</v>
      </c>
      <c r="E3" s="1" t="str">
        <f>"SFG-ROLLAWAY-BOR-"&amp;K2&amp;"X"&amp;L2&amp;"X"&amp;"0"&amp;M2</f>
        <v>SFG-ROLLAWAY-BOR-75X48X06</v>
      </c>
      <c r="F3" s="10" t="s">
        <v>11</v>
      </c>
      <c r="G3" s="36">
        <v>1</v>
      </c>
      <c r="H3" s="9">
        <f>ROUND(G3,3)</f>
        <v>1</v>
      </c>
      <c r="I3" s="32" t="s">
        <v>15</v>
      </c>
      <c r="J3" s="5"/>
      <c r="K3" s="14"/>
      <c r="L3" s="14"/>
      <c r="M3" s="14"/>
      <c r="N3" s="14"/>
      <c r="O3" s="4"/>
      <c r="R3" s="34">
        <v>72</v>
      </c>
      <c r="S3" s="34">
        <v>36</v>
      </c>
      <c r="T3" s="26">
        <v>5</v>
      </c>
      <c r="U3" s="27"/>
    </row>
    <row r="4" spans="1:21" x14ac:dyDescent="0.25">
      <c r="A4" s="30">
        <v>3</v>
      </c>
      <c r="B4" s="31" t="s">
        <v>81</v>
      </c>
      <c r="C4" s="8" t="s">
        <v>82</v>
      </c>
      <c r="D4" s="8" t="str">
        <f t="shared" si="0"/>
        <v>ROLLAWAY75X48X06</v>
      </c>
      <c r="E4" s="47" t="s">
        <v>92</v>
      </c>
      <c r="F4" s="10" t="s">
        <v>14</v>
      </c>
      <c r="G4" s="37">
        <f>+((K2*4)+(L2*6)+3)*0.0254</f>
        <v>15.0114</v>
      </c>
      <c r="H4" s="9">
        <f>ROUND(G4,3)</f>
        <v>15.010999999999999</v>
      </c>
      <c r="I4" s="10" t="s">
        <v>13</v>
      </c>
      <c r="J4" s="11"/>
      <c r="O4" s="15"/>
      <c r="R4" s="27">
        <v>72</v>
      </c>
      <c r="S4" s="27">
        <v>36</v>
      </c>
      <c r="T4" s="26">
        <v>6</v>
      </c>
      <c r="U4" s="27"/>
    </row>
    <row r="5" spans="1:21" x14ac:dyDescent="0.25">
      <c r="A5" s="30">
        <v>4</v>
      </c>
      <c r="B5" s="7" t="s">
        <v>16</v>
      </c>
      <c r="C5" s="7" t="s">
        <v>16</v>
      </c>
      <c r="D5" s="8" t="str">
        <f t="shared" si="0"/>
        <v>ROLLAWAY75X48X06</v>
      </c>
      <c r="E5" s="47" t="s">
        <v>93</v>
      </c>
      <c r="F5" s="10" t="s">
        <v>14</v>
      </c>
      <c r="G5" s="38">
        <f>((K2*4)+(L2*6)+4)*0.0254*(4.73+1.42)</f>
        <v>92.476320000000001</v>
      </c>
      <c r="H5" s="9">
        <f>ROUND(G4,3)</f>
        <v>15.010999999999999</v>
      </c>
      <c r="I5" s="10" t="s">
        <v>13</v>
      </c>
      <c r="J5" s="11"/>
      <c r="O5" s="15"/>
      <c r="R5" s="27">
        <v>72</v>
      </c>
      <c r="S5" s="27">
        <v>48</v>
      </c>
      <c r="T5" s="26">
        <v>4</v>
      </c>
      <c r="U5" s="27"/>
    </row>
    <row r="6" spans="1:21" x14ac:dyDescent="0.25">
      <c r="A6" s="30">
        <v>5</v>
      </c>
      <c r="B6" s="7" t="s">
        <v>16</v>
      </c>
      <c r="C6" s="7" t="s">
        <v>16</v>
      </c>
      <c r="D6" s="8" t="str">
        <f t="shared" si="0"/>
        <v>ROLLAWAY75X48X06</v>
      </c>
      <c r="E6" s="44" t="s">
        <v>88</v>
      </c>
      <c r="F6" s="10" t="s">
        <v>89</v>
      </c>
      <c r="G6" s="45">
        <f>((K2-1)*(L2-1)/144)*0.00729*4</f>
        <v>0.704295</v>
      </c>
      <c r="H6" s="9">
        <f>ROUND(G5,3)</f>
        <v>92.475999999999999</v>
      </c>
      <c r="I6" s="10" t="s">
        <v>13</v>
      </c>
      <c r="J6" s="11"/>
      <c r="R6" s="27">
        <v>72</v>
      </c>
      <c r="S6" s="27">
        <v>48</v>
      </c>
      <c r="T6" s="26">
        <v>5</v>
      </c>
      <c r="U6" s="27"/>
    </row>
    <row r="7" spans="1:21" x14ac:dyDescent="0.25">
      <c r="A7" s="30">
        <v>6</v>
      </c>
      <c r="B7" s="7" t="s">
        <v>16</v>
      </c>
      <c r="C7" s="7" t="s">
        <v>16</v>
      </c>
      <c r="D7" s="8" t="str">
        <f t="shared" si="0"/>
        <v>ROLLAWAY75X48X06</v>
      </c>
      <c r="E7" s="3" t="s">
        <v>91</v>
      </c>
      <c r="F7" s="10" t="s">
        <v>11</v>
      </c>
      <c r="G7" s="46">
        <v>1</v>
      </c>
      <c r="H7" s="9">
        <f>ROUND(G6,3)</f>
        <v>0.70399999999999996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>
        <v>72</v>
      </c>
      <c r="S7" s="27">
        <v>48</v>
      </c>
      <c r="T7" s="26">
        <v>6</v>
      </c>
      <c r="U7" s="27"/>
    </row>
    <row r="8" spans="1:21" x14ac:dyDescent="0.25">
      <c r="A8" s="30">
        <v>7</v>
      </c>
      <c r="B8" s="7" t="s">
        <v>16</v>
      </c>
      <c r="C8" s="8" t="s">
        <v>17</v>
      </c>
      <c r="D8" s="8" t="str">
        <f t="shared" si="0"/>
        <v>ROLLAWAY75X48X06</v>
      </c>
      <c r="E8" s="48" t="s">
        <v>94</v>
      </c>
      <c r="F8" s="10" t="s">
        <v>11</v>
      </c>
      <c r="G8" s="40">
        <v>1</v>
      </c>
      <c r="H8" s="9">
        <f>ROUND(G7,3)</f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>
        <v>75</v>
      </c>
      <c r="S8" s="27">
        <v>36</v>
      </c>
      <c r="T8" s="26">
        <v>4</v>
      </c>
      <c r="U8" s="27"/>
    </row>
    <row r="9" spans="1:21" x14ac:dyDescent="0.25">
      <c r="A9" s="30">
        <v>8</v>
      </c>
      <c r="B9" s="7" t="s">
        <v>17</v>
      </c>
      <c r="C9" s="8" t="s">
        <v>17</v>
      </c>
      <c r="D9" s="8" t="str">
        <f t="shared" si="0"/>
        <v>ROLLAWAY75X48X06</v>
      </c>
      <c r="E9" s="8" t="s">
        <v>84</v>
      </c>
      <c r="F9" s="10" t="s">
        <v>12</v>
      </c>
      <c r="G9" s="39">
        <f>(IF(K2&lt;79,(L2*2)+(M2*2),(K2*2)+(M2*2))+4)*89.5*0.0254*0.0254*0.00005*1300</f>
        <v>0.42036044960000002</v>
      </c>
      <c r="H9" s="9">
        <f>ROUND(G7,3)</f>
        <v>1</v>
      </c>
      <c r="I9" s="10" t="s">
        <v>13</v>
      </c>
      <c r="J9" s="11"/>
      <c r="K9" s="15"/>
      <c r="L9" s="15"/>
      <c r="M9" s="15"/>
      <c r="N9" s="15"/>
      <c r="O9" s="15"/>
      <c r="P9" s="17"/>
      <c r="Q9" s="15"/>
      <c r="R9" s="27">
        <v>75</v>
      </c>
      <c r="S9" s="27">
        <v>36</v>
      </c>
      <c r="T9" s="26">
        <v>5</v>
      </c>
      <c r="U9" s="27"/>
    </row>
    <row r="10" spans="1:21" x14ac:dyDescent="0.25">
      <c r="A10" s="30">
        <v>9</v>
      </c>
      <c r="B10" s="7" t="s">
        <v>16</v>
      </c>
      <c r="C10" s="8" t="s">
        <v>87</v>
      </c>
      <c r="D10" s="8" t="str">
        <f t="shared" si="0"/>
        <v>ROLLAWAY75X48X06</v>
      </c>
      <c r="E10" s="33" t="str">
        <f>"28D-PRE-FOAM-"&amp;K2&amp;"X"&amp;L2&amp;"X"&amp;IF(M2=4,"90MM",IF(M2=5,"115MM",IF(M2=6,"140MM")))</f>
        <v>28D-PRE-FOAM-75X48X140MM</v>
      </c>
      <c r="F10" s="10" t="s">
        <v>11</v>
      </c>
      <c r="G10" s="39">
        <v>1</v>
      </c>
      <c r="H10" s="9">
        <f>ROUND(G10,3)</f>
        <v>1</v>
      </c>
      <c r="I10" s="42" t="s">
        <v>15</v>
      </c>
      <c r="J10" s="11"/>
      <c r="K10" s="15"/>
      <c r="L10" s="15"/>
      <c r="M10" s="15"/>
      <c r="N10" s="15"/>
      <c r="O10" s="15"/>
      <c r="P10" s="15"/>
      <c r="Q10" s="15"/>
      <c r="R10" s="27">
        <v>75</v>
      </c>
      <c r="S10" s="27">
        <v>36</v>
      </c>
      <c r="T10" s="26">
        <v>6</v>
      </c>
      <c r="U10" s="27"/>
    </row>
    <row r="11" spans="1:21" x14ac:dyDescent="0.25">
      <c r="J11" s="11"/>
      <c r="K11" s="18"/>
      <c r="L11" s="18"/>
      <c r="M11" s="15"/>
      <c r="N11" s="17"/>
      <c r="O11" s="15"/>
      <c r="P11" s="15"/>
      <c r="Q11" s="15"/>
      <c r="R11" s="27">
        <v>75</v>
      </c>
      <c r="S11" s="27">
        <v>48</v>
      </c>
      <c r="T11" s="26">
        <v>4</v>
      </c>
      <c r="U11" s="27"/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>
        <v>75</v>
      </c>
      <c r="S12" s="27">
        <v>48</v>
      </c>
      <c r="T12" s="26">
        <v>5</v>
      </c>
      <c r="U12" s="27"/>
    </row>
    <row r="13" spans="1:21" x14ac:dyDescent="0.25">
      <c r="J13" s="11"/>
      <c r="K13" s="16"/>
      <c r="R13" s="27">
        <v>75</v>
      </c>
      <c r="S13" s="27">
        <v>48</v>
      </c>
      <c r="T13" s="26">
        <v>6</v>
      </c>
      <c r="U13" s="27"/>
    </row>
    <row r="14" spans="1:21" x14ac:dyDescent="0.25">
      <c r="J14" s="11"/>
      <c r="M14" s="16"/>
      <c r="O14" s="16"/>
      <c r="R14" s="27"/>
      <c r="S14" s="27"/>
      <c r="T14" s="26"/>
      <c r="U14" s="27"/>
    </row>
    <row r="15" spans="1:21" x14ac:dyDescent="0.25">
      <c r="J15" s="11"/>
      <c r="N15"/>
      <c r="O15"/>
      <c r="R15" s="27"/>
      <c r="S15" s="27"/>
      <c r="T15" s="26"/>
      <c r="U15" s="27"/>
    </row>
    <row r="16" spans="1:21" x14ac:dyDescent="0.25">
      <c r="J16" s="11"/>
      <c r="M16" s="16"/>
      <c r="N16"/>
      <c r="O16"/>
      <c r="R16" s="27"/>
      <c r="S16" s="27"/>
      <c r="T16" s="26"/>
      <c r="U16" s="27"/>
    </row>
    <row r="17" spans="5:21" x14ac:dyDescent="0.25">
      <c r="J17" s="11"/>
      <c r="N17"/>
      <c r="O17"/>
      <c r="R17" s="27"/>
      <c r="S17" s="27"/>
      <c r="T17" s="26"/>
      <c r="U17" s="27"/>
    </row>
    <row r="18" spans="5:21" x14ac:dyDescent="0.25">
      <c r="J18" s="11"/>
      <c r="N18"/>
      <c r="O18"/>
      <c r="R18" s="27"/>
      <c r="S18" s="27"/>
      <c r="T18" s="26"/>
      <c r="U18" s="27"/>
    </row>
    <row r="19" spans="5:21" x14ac:dyDescent="0.25">
      <c r="J19" s="11"/>
      <c r="N19"/>
      <c r="O19"/>
      <c r="R19" s="27"/>
      <c r="S19" s="27"/>
      <c r="T19" s="26"/>
      <c r="U19" s="27"/>
    </row>
    <row r="20" spans="5:21" x14ac:dyDescent="0.25">
      <c r="J20" s="11"/>
      <c r="N20" s="25"/>
      <c r="O20"/>
      <c r="R20" s="27"/>
      <c r="S20" s="27"/>
      <c r="T20" s="26"/>
      <c r="U20" s="27"/>
    </row>
    <row r="21" spans="5:21" x14ac:dyDescent="0.25">
      <c r="J21" s="11"/>
      <c r="N21"/>
      <c r="O21"/>
      <c r="R21" s="27"/>
      <c r="S21" s="27"/>
      <c r="T21" s="26"/>
      <c r="U21" s="27"/>
    </row>
    <row r="22" spans="5:21" x14ac:dyDescent="0.25">
      <c r="J22" s="11"/>
      <c r="N22"/>
      <c r="O22"/>
      <c r="R22" s="27"/>
      <c r="S22" s="27"/>
      <c r="T22" s="26"/>
      <c r="U22" s="27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/>
      <c r="S23" s="27"/>
      <c r="T23" s="26"/>
      <c r="U23" s="27"/>
    </row>
    <row r="24" spans="5:21" x14ac:dyDescent="0.25">
      <c r="E24" s="16"/>
      <c r="J24" s="12"/>
      <c r="K24" s="15"/>
      <c r="L24" s="15"/>
      <c r="M24" s="15"/>
      <c r="N24" s="25"/>
      <c r="O24"/>
      <c r="P24" s="15"/>
      <c r="Q24" s="15"/>
      <c r="R24" s="27"/>
      <c r="S24" s="27"/>
      <c r="T24" s="26"/>
      <c r="U24" s="27"/>
    </row>
    <row r="25" spans="5:21" x14ac:dyDescent="0.25">
      <c r="H25" s="16"/>
      <c r="N25"/>
      <c r="O25"/>
      <c r="R25" s="27"/>
      <c r="S25" s="27"/>
      <c r="T25" s="26"/>
      <c r="U25" s="27"/>
    </row>
    <row r="26" spans="5:21" x14ac:dyDescent="0.25">
      <c r="N26"/>
      <c r="O26"/>
      <c r="R26" s="27"/>
      <c r="S26" s="27"/>
      <c r="T26" s="26"/>
      <c r="U26" s="27"/>
    </row>
    <row r="27" spans="5:21" x14ac:dyDescent="0.25">
      <c r="N27"/>
      <c r="O27"/>
      <c r="R27" s="27"/>
      <c r="S27" s="27"/>
      <c r="T27" s="26"/>
      <c r="U27" s="27"/>
    </row>
    <row r="28" spans="5:21" x14ac:dyDescent="0.25">
      <c r="M28" s="16"/>
      <c r="N28"/>
      <c r="O28"/>
      <c r="R28" s="27"/>
      <c r="S28" s="27"/>
      <c r="T28" s="26"/>
      <c r="U28" s="27"/>
    </row>
    <row r="29" spans="5:21" x14ac:dyDescent="0.25">
      <c r="N29"/>
      <c r="O29"/>
      <c r="R29" s="27"/>
      <c r="S29" s="27"/>
      <c r="T29" s="26"/>
      <c r="U29" s="27"/>
    </row>
    <row r="30" spans="5:21" x14ac:dyDescent="0.25">
      <c r="N30"/>
      <c r="O30"/>
      <c r="R30" s="27"/>
      <c r="S30" s="27"/>
      <c r="T30" s="26"/>
      <c r="U30" s="27"/>
    </row>
    <row r="31" spans="5:21" x14ac:dyDescent="0.25">
      <c r="N31"/>
      <c r="O31"/>
      <c r="R31" s="27"/>
      <c r="S31" s="27"/>
      <c r="T31" s="26"/>
      <c r="U31" s="27"/>
    </row>
    <row r="32" spans="5:21" x14ac:dyDescent="0.25">
      <c r="N32"/>
      <c r="O32"/>
      <c r="R32" s="27"/>
      <c r="S32" s="27"/>
      <c r="T32" s="26"/>
      <c r="U32" s="27"/>
    </row>
    <row r="33" spans="14:21" x14ac:dyDescent="0.25">
      <c r="N33"/>
      <c r="O33"/>
      <c r="R33" s="27"/>
      <c r="S33" s="27"/>
      <c r="T33" s="26"/>
      <c r="U33" s="27"/>
    </row>
    <row r="34" spans="14:21" x14ac:dyDescent="0.25">
      <c r="N34"/>
      <c r="O34"/>
      <c r="R34" s="27"/>
      <c r="S34" s="27"/>
      <c r="T34" s="26"/>
      <c r="U34" s="27"/>
    </row>
    <row r="35" spans="14:21" x14ac:dyDescent="0.25">
      <c r="N35"/>
      <c r="O35"/>
      <c r="R35" s="27"/>
      <c r="S35" s="27"/>
      <c r="T35" s="26"/>
      <c r="U35" s="27"/>
    </row>
    <row r="36" spans="14:21" x14ac:dyDescent="0.25">
      <c r="N36"/>
      <c r="O36"/>
      <c r="R36" s="27"/>
      <c r="S36" s="27"/>
      <c r="T36" s="26"/>
      <c r="U36" s="27"/>
    </row>
    <row r="37" spans="14:21" x14ac:dyDescent="0.25">
      <c r="N37"/>
      <c r="O37"/>
      <c r="R37" s="26"/>
      <c r="S37" s="26"/>
      <c r="T37" s="26"/>
      <c r="U37" s="27"/>
    </row>
    <row r="38" spans="14:21" x14ac:dyDescent="0.25">
      <c r="N38"/>
      <c r="O38"/>
      <c r="R38" s="26"/>
      <c r="S38" s="26"/>
      <c r="T38" s="26"/>
      <c r="U38" s="27"/>
    </row>
    <row r="39" spans="14:21" x14ac:dyDescent="0.25">
      <c r="N39"/>
      <c r="O39"/>
      <c r="R39" s="26"/>
      <c r="S39" s="26"/>
      <c r="T39" s="26"/>
      <c r="U39" s="27"/>
    </row>
    <row r="40" spans="14:21" x14ac:dyDescent="0.25">
      <c r="N40"/>
      <c r="O40"/>
      <c r="R40" s="26"/>
      <c r="S40" s="26"/>
      <c r="T40" s="26"/>
      <c r="U40" s="27"/>
    </row>
    <row r="41" spans="14:21" x14ac:dyDescent="0.25">
      <c r="N41"/>
      <c r="O41"/>
      <c r="R41" s="26"/>
      <c r="S41" s="26"/>
      <c r="T41" s="26"/>
      <c r="U41" s="27"/>
    </row>
    <row r="42" spans="14:21" x14ac:dyDescent="0.25">
      <c r="N42"/>
      <c r="O42"/>
      <c r="R42" s="26"/>
      <c r="S42" s="26"/>
      <c r="T42" s="26"/>
      <c r="U42" s="27"/>
    </row>
    <row r="43" spans="14:21" x14ac:dyDescent="0.25">
      <c r="N43"/>
      <c r="O43"/>
      <c r="R43" s="26"/>
      <c r="S43" s="26"/>
      <c r="T43" s="26"/>
      <c r="U43" s="27"/>
    </row>
    <row r="44" spans="14:21" x14ac:dyDescent="0.25">
      <c r="N44"/>
      <c r="O44"/>
      <c r="R44" s="26"/>
      <c r="S44" s="26"/>
      <c r="T44" s="26"/>
      <c r="U44" s="27"/>
    </row>
    <row r="45" spans="14:21" x14ac:dyDescent="0.25">
      <c r="N45"/>
      <c r="O45"/>
      <c r="R45" s="26"/>
      <c r="S45" s="26"/>
      <c r="T45" s="26"/>
      <c r="U45" s="27"/>
    </row>
    <row r="46" spans="14:21" x14ac:dyDescent="0.25">
      <c r="N46"/>
      <c r="O46"/>
      <c r="R46" s="26"/>
      <c r="S46" s="26"/>
      <c r="T46" s="26"/>
      <c r="U46" s="27"/>
    </row>
    <row r="47" spans="14:21" x14ac:dyDescent="0.25">
      <c r="N47"/>
      <c r="O47"/>
      <c r="R47" s="26"/>
      <c r="S47" s="26"/>
      <c r="T47" s="26"/>
      <c r="U47" s="27"/>
    </row>
    <row r="48" spans="14:21" x14ac:dyDescent="0.25">
      <c r="N48"/>
      <c r="O48"/>
      <c r="R48" s="26"/>
      <c r="S48" s="26"/>
      <c r="T48" s="26"/>
      <c r="U48" s="27"/>
    </row>
    <row r="49" spans="14:21" x14ac:dyDescent="0.25">
      <c r="N49"/>
      <c r="O49"/>
      <c r="R49" s="26"/>
      <c r="S49" s="26"/>
      <c r="T49" s="26"/>
      <c r="U49" s="27"/>
    </row>
    <row r="50" spans="14:21" x14ac:dyDescent="0.25">
      <c r="R50" s="26"/>
      <c r="S50" s="26"/>
      <c r="T50" s="26"/>
      <c r="U50" s="27"/>
    </row>
    <row r="51" spans="14:21" x14ac:dyDescent="0.25">
      <c r="R51" s="26"/>
      <c r="S51" s="26"/>
      <c r="T51" s="26"/>
      <c r="U51" s="27"/>
    </row>
    <row r="52" spans="14:21" x14ac:dyDescent="0.25">
      <c r="R52" s="26"/>
      <c r="S52" s="26"/>
      <c r="T52" s="26"/>
      <c r="U52" s="27"/>
    </row>
    <row r="53" spans="14:21" x14ac:dyDescent="0.25">
      <c r="R53" s="26"/>
      <c r="S53" s="26"/>
      <c r="T53" s="26"/>
      <c r="U53" s="27"/>
    </row>
    <row r="54" spans="14:21" x14ac:dyDescent="0.25">
      <c r="R54" s="26"/>
      <c r="S54" s="26"/>
      <c r="T54" s="26"/>
      <c r="U54" s="27"/>
    </row>
    <row r="55" spans="14:21" x14ac:dyDescent="0.25">
      <c r="R55" s="26"/>
      <c r="S55" s="26"/>
      <c r="T55" s="26"/>
      <c r="U55" s="27"/>
    </row>
    <row r="56" spans="14:21" x14ac:dyDescent="0.25">
      <c r="R56" s="26"/>
      <c r="S56" s="26"/>
      <c r="T56" s="26"/>
      <c r="U56" s="27"/>
    </row>
    <row r="57" spans="14:21" x14ac:dyDescent="0.25">
      <c r="R57" s="26"/>
      <c r="S57" s="26"/>
      <c r="T57" s="26"/>
      <c r="U57" s="27"/>
    </row>
    <row r="58" spans="14:21" x14ac:dyDescent="0.25">
      <c r="R58" s="26"/>
      <c r="S58" s="26"/>
      <c r="T58" s="26"/>
      <c r="U58" s="27"/>
    </row>
    <row r="59" spans="14:21" x14ac:dyDescent="0.25">
      <c r="R59" s="26"/>
      <c r="S59" s="26"/>
      <c r="T59" s="26"/>
      <c r="U59" s="27"/>
    </row>
    <row r="60" spans="14:21" x14ac:dyDescent="0.25">
      <c r="R60" s="26"/>
      <c r="S60" s="26"/>
      <c r="T60" s="26"/>
      <c r="U60" s="27"/>
    </row>
    <row r="61" spans="14:21" x14ac:dyDescent="0.25">
      <c r="R61" s="26"/>
      <c r="S61" s="26"/>
      <c r="T61" s="26"/>
      <c r="U61" s="27"/>
    </row>
    <row r="62" spans="14:21" x14ac:dyDescent="0.25">
      <c r="R62" s="26"/>
      <c r="S62" s="26"/>
      <c r="T62" s="26"/>
      <c r="U62" s="27"/>
    </row>
    <row r="63" spans="14:21" x14ac:dyDescent="0.25">
      <c r="R63" s="26"/>
      <c r="S63" s="26"/>
      <c r="T63" s="26"/>
      <c r="U63" s="27"/>
    </row>
    <row r="64" spans="14:21" x14ac:dyDescent="0.25">
      <c r="R64" s="26"/>
      <c r="S64" s="26"/>
      <c r="T64" s="26"/>
      <c r="U64" s="27"/>
    </row>
    <row r="65" spans="18:21" x14ac:dyDescent="0.25">
      <c r="R65" s="26"/>
      <c r="S65" s="26"/>
      <c r="T65" s="26"/>
      <c r="U65" s="27"/>
    </row>
    <row r="66" spans="18:21" x14ac:dyDescent="0.25">
      <c r="R66" s="26"/>
      <c r="S66" s="26"/>
      <c r="T66" s="26"/>
      <c r="U66" s="27"/>
    </row>
    <row r="67" spans="18:21" x14ac:dyDescent="0.25">
      <c r="R67" s="26"/>
      <c r="S67" s="26"/>
      <c r="T67" s="26"/>
      <c r="U67" s="27"/>
    </row>
    <row r="68" spans="18:21" x14ac:dyDescent="0.25">
      <c r="R68" s="26"/>
      <c r="S68" s="26"/>
      <c r="T68" s="26"/>
      <c r="U68" s="27"/>
    </row>
    <row r="69" spans="18:21" x14ac:dyDescent="0.25">
      <c r="R69" s="26"/>
      <c r="S69" s="26"/>
      <c r="T69" s="26"/>
      <c r="U69" s="27"/>
    </row>
    <row r="70" spans="18:21" x14ac:dyDescent="0.25">
      <c r="R70" s="26"/>
      <c r="S70" s="26"/>
      <c r="T70" s="26"/>
      <c r="U70" s="27"/>
    </row>
    <row r="71" spans="18:21" x14ac:dyDescent="0.25">
      <c r="R71" s="26"/>
      <c r="S71" s="26"/>
      <c r="T71" s="26"/>
      <c r="U71" s="27"/>
    </row>
    <row r="72" spans="18:21" x14ac:dyDescent="0.25">
      <c r="R72" s="26"/>
      <c r="S72" s="26"/>
      <c r="T72" s="26"/>
      <c r="U72" s="27"/>
    </row>
    <row r="73" spans="18:21" x14ac:dyDescent="0.25">
      <c r="R73" s="26"/>
      <c r="S73" s="26"/>
      <c r="T73" s="26"/>
      <c r="U73" s="27"/>
    </row>
    <row r="74" spans="18:21" x14ac:dyDescent="0.25">
      <c r="R74" s="26"/>
      <c r="S74" s="26"/>
      <c r="T74" s="26"/>
      <c r="U74" s="27"/>
    </row>
    <row r="75" spans="18:21" x14ac:dyDescent="0.25">
      <c r="R75" s="26"/>
      <c r="S75" s="26"/>
      <c r="T75" s="26"/>
      <c r="U75" s="27"/>
    </row>
    <row r="76" spans="18:21" x14ac:dyDescent="0.25">
      <c r="R76" s="26"/>
      <c r="S76" s="26"/>
      <c r="T76" s="26"/>
      <c r="U76" s="27"/>
    </row>
    <row r="77" spans="18:21" x14ac:dyDescent="0.25">
      <c r="R77" s="27"/>
      <c r="S77" s="27"/>
      <c r="T77" s="26"/>
      <c r="U77" s="27"/>
    </row>
    <row r="78" spans="18:21" x14ac:dyDescent="0.25">
      <c r="R78" s="34"/>
      <c r="S78" s="34"/>
      <c r="T78" s="26"/>
      <c r="U78" s="27"/>
    </row>
    <row r="79" spans="18:21" x14ac:dyDescent="0.25">
      <c r="R79" s="27"/>
      <c r="S79" s="27"/>
      <c r="T79" s="26"/>
      <c r="U79" s="27"/>
    </row>
    <row r="80" spans="18:21" x14ac:dyDescent="0.25">
      <c r="R80" s="27"/>
      <c r="S80" s="27"/>
      <c r="T80" s="26"/>
      <c r="U80" s="27"/>
    </row>
    <row r="81" spans="18:21" x14ac:dyDescent="0.25">
      <c r="R81" s="27"/>
      <c r="S81" s="27"/>
      <c r="T81" s="26"/>
      <c r="U81" s="27"/>
    </row>
    <row r="82" spans="18:21" x14ac:dyDescent="0.25">
      <c r="R82" s="27"/>
      <c r="S82" s="27"/>
      <c r="T82" s="26"/>
      <c r="U82" s="27"/>
    </row>
    <row r="83" spans="18:21" x14ac:dyDescent="0.25">
      <c r="R83" s="27"/>
      <c r="S83" s="27"/>
      <c r="T83" s="26"/>
      <c r="U83" s="27"/>
    </row>
    <row r="84" spans="18:21" x14ac:dyDescent="0.25">
      <c r="R84" s="27"/>
      <c r="S84" s="27"/>
      <c r="T84" s="26"/>
      <c r="U84" s="27"/>
    </row>
    <row r="85" spans="18:21" x14ac:dyDescent="0.25">
      <c r="R85" s="27"/>
      <c r="S85" s="27"/>
      <c r="T85" s="26"/>
      <c r="U85" s="27"/>
    </row>
    <row r="86" spans="18:21" x14ac:dyDescent="0.25">
      <c r="R86" s="27"/>
      <c r="S86" s="27"/>
      <c r="T86" s="26"/>
      <c r="U86" s="27"/>
    </row>
    <row r="87" spans="18:21" x14ac:dyDescent="0.25">
      <c r="R87" s="27"/>
      <c r="S87" s="27"/>
      <c r="T87" s="26"/>
      <c r="U87" s="27"/>
    </row>
    <row r="88" spans="18:21" x14ac:dyDescent="0.25">
      <c r="R88" s="27"/>
      <c r="S88" s="27"/>
      <c r="T88" s="26"/>
      <c r="U88" s="27"/>
    </row>
    <row r="89" spans="18:21" x14ac:dyDescent="0.25">
      <c r="R89" s="27"/>
      <c r="S89" s="27"/>
      <c r="T89" s="26"/>
      <c r="U89" s="27"/>
    </row>
    <row r="90" spans="18:21" x14ac:dyDescent="0.25">
      <c r="R90" s="27"/>
      <c r="S90" s="27"/>
      <c r="T90" s="26"/>
      <c r="U90" s="27"/>
    </row>
    <row r="91" spans="18:21" x14ac:dyDescent="0.25">
      <c r="R91" s="27"/>
      <c r="S91" s="27"/>
      <c r="T91" s="26"/>
      <c r="U91" s="27"/>
    </row>
    <row r="92" spans="18:21" x14ac:dyDescent="0.25">
      <c r="R92" s="27"/>
      <c r="S92" s="27"/>
      <c r="T92" s="26"/>
      <c r="U92" s="27"/>
    </row>
    <row r="93" spans="18:21" x14ac:dyDescent="0.25">
      <c r="R93" s="27"/>
      <c r="S93" s="27"/>
      <c r="T93" s="26"/>
      <c r="U93" s="27"/>
    </row>
    <row r="94" spans="18:21" x14ac:dyDescent="0.25">
      <c r="R94" s="27"/>
      <c r="S94" s="27"/>
      <c r="T94" s="26"/>
      <c r="U94" s="27"/>
    </row>
    <row r="95" spans="18:21" x14ac:dyDescent="0.25">
      <c r="R95" s="27"/>
      <c r="S95" s="27"/>
      <c r="T95" s="26"/>
      <c r="U95" s="27"/>
    </row>
    <row r="96" spans="18:21" x14ac:dyDescent="0.25">
      <c r="R96" s="27"/>
      <c r="S96" s="27"/>
      <c r="T96" s="26"/>
      <c r="U96" s="27"/>
    </row>
    <row r="97" spans="18:21" x14ac:dyDescent="0.25">
      <c r="R97" s="27"/>
      <c r="S97" s="27"/>
      <c r="T97" s="26"/>
      <c r="U97" s="27"/>
    </row>
    <row r="98" spans="18:21" x14ac:dyDescent="0.25">
      <c r="R98" s="27"/>
      <c r="S98" s="27"/>
      <c r="T98" s="26"/>
      <c r="U98" s="27"/>
    </row>
    <row r="99" spans="18:21" x14ac:dyDescent="0.25">
      <c r="R99" s="27"/>
      <c r="S99" s="27"/>
      <c r="T99" s="26"/>
      <c r="U99" s="27"/>
    </row>
    <row r="100" spans="18:21" x14ac:dyDescent="0.25">
      <c r="R100" s="27"/>
      <c r="S100" s="27"/>
      <c r="T100" s="26"/>
      <c r="U100" s="27"/>
    </row>
    <row r="101" spans="18:21" x14ac:dyDescent="0.25">
      <c r="R101" s="27"/>
      <c r="S101" s="27"/>
      <c r="T101" s="26"/>
      <c r="U101" s="27"/>
    </row>
    <row r="102" spans="18:21" x14ac:dyDescent="0.25">
      <c r="R102" s="27"/>
      <c r="S102" s="27"/>
      <c r="T102" s="26"/>
      <c r="U102" s="27"/>
    </row>
    <row r="103" spans="18:21" x14ac:dyDescent="0.25">
      <c r="R103" s="27"/>
      <c r="S103" s="27"/>
      <c r="T103" s="26"/>
      <c r="U103" s="27"/>
    </row>
    <row r="104" spans="18:21" x14ac:dyDescent="0.25">
      <c r="R104" s="27"/>
      <c r="S104" s="27"/>
      <c r="T104" s="26"/>
      <c r="U104" s="27"/>
    </row>
    <row r="105" spans="18:21" x14ac:dyDescent="0.25">
      <c r="R105" s="27"/>
      <c r="S105" s="27"/>
      <c r="T105" s="26"/>
      <c r="U105" s="27"/>
    </row>
    <row r="106" spans="18:21" x14ac:dyDescent="0.25">
      <c r="R106" s="27"/>
      <c r="S106" s="27"/>
      <c r="T106" s="26"/>
      <c r="U106" s="27"/>
    </row>
    <row r="107" spans="18:21" x14ac:dyDescent="0.25">
      <c r="R107" s="27"/>
      <c r="S107" s="27"/>
      <c r="T107" s="26"/>
      <c r="U107" s="27"/>
    </row>
    <row r="108" spans="18:21" x14ac:dyDescent="0.25">
      <c r="R108" s="27"/>
      <c r="S108" s="27"/>
      <c r="T108" s="26"/>
      <c r="U108" s="27"/>
    </row>
    <row r="109" spans="18:21" x14ac:dyDescent="0.25">
      <c r="R109" s="27"/>
      <c r="S109" s="27"/>
      <c r="T109" s="26"/>
      <c r="U109" s="27"/>
    </row>
    <row r="110" spans="18:21" x14ac:dyDescent="0.25">
      <c r="R110" s="27"/>
      <c r="S110" s="27"/>
      <c r="T110" s="26"/>
      <c r="U110" s="27"/>
    </row>
    <row r="111" spans="18:21" x14ac:dyDescent="0.25">
      <c r="R111" s="27"/>
      <c r="S111" s="27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7"/>
      <c r="S152" s="27"/>
      <c r="T152" s="26"/>
      <c r="U152" s="27"/>
    </row>
    <row r="153" spans="18:21" x14ac:dyDescent="0.25">
      <c r="R153" s="34"/>
      <c r="S153" s="34"/>
      <c r="T153" s="26"/>
      <c r="U153" s="27"/>
    </row>
    <row r="154" spans="18:21" x14ac:dyDescent="0.25">
      <c r="R154" s="27"/>
      <c r="S154" s="27"/>
      <c r="T154" s="26"/>
      <c r="U154" s="27"/>
    </row>
    <row r="155" spans="18:21" x14ac:dyDescent="0.25">
      <c r="R155" s="27"/>
      <c r="S155" s="27"/>
      <c r="T155" s="26"/>
      <c r="U155" s="27"/>
    </row>
    <row r="156" spans="18:21" x14ac:dyDescent="0.25">
      <c r="R156" s="27"/>
      <c r="S156" s="27"/>
      <c r="T156" s="26"/>
      <c r="U156" s="27"/>
    </row>
    <row r="157" spans="18:21" x14ac:dyDescent="0.25">
      <c r="R157" s="27"/>
      <c r="S157" s="27"/>
      <c r="T157" s="26"/>
      <c r="U157" s="27"/>
    </row>
    <row r="158" spans="18:21" x14ac:dyDescent="0.25">
      <c r="R158" s="27"/>
      <c r="S158" s="27"/>
      <c r="T158" s="26"/>
      <c r="U158" s="27"/>
    </row>
    <row r="159" spans="18:21" x14ac:dyDescent="0.25">
      <c r="R159" s="27"/>
      <c r="S159" s="27"/>
      <c r="T159" s="26"/>
      <c r="U159" s="27"/>
    </row>
    <row r="160" spans="18:21" x14ac:dyDescent="0.25">
      <c r="R160" s="27"/>
      <c r="S160" s="27"/>
      <c r="T160" s="26"/>
      <c r="U160" s="27"/>
    </row>
    <row r="161" spans="18:21" x14ac:dyDescent="0.25">
      <c r="R161" s="27"/>
      <c r="S161" s="27"/>
      <c r="T161" s="26"/>
      <c r="U161" s="27"/>
    </row>
    <row r="162" spans="18:21" x14ac:dyDescent="0.25">
      <c r="R162" s="27"/>
      <c r="S162" s="27"/>
      <c r="T162" s="26"/>
      <c r="U162" s="27"/>
    </row>
    <row r="163" spans="18:21" x14ac:dyDescent="0.25">
      <c r="R163" s="27"/>
      <c r="S163" s="27"/>
      <c r="T163" s="26"/>
      <c r="U163" s="27"/>
    </row>
    <row r="164" spans="18:21" x14ac:dyDescent="0.25">
      <c r="R164" s="27"/>
      <c r="S164" s="27"/>
      <c r="T164" s="26"/>
      <c r="U164" s="27"/>
    </row>
    <row r="165" spans="18:21" x14ac:dyDescent="0.25">
      <c r="R165" s="27"/>
      <c r="S165" s="27"/>
      <c r="T165" s="26"/>
      <c r="U165" s="27"/>
    </row>
    <row r="166" spans="18:21" x14ac:dyDescent="0.25">
      <c r="R166" s="27"/>
      <c r="S166" s="27"/>
      <c r="T166" s="26"/>
      <c r="U166" s="27"/>
    </row>
    <row r="167" spans="18:21" x14ac:dyDescent="0.25">
      <c r="R167" s="27"/>
      <c r="S167" s="27"/>
      <c r="T167" s="26"/>
      <c r="U167" s="27"/>
    </row>
    <row r="168" spans="18:21" x14ac:dyDescent="0.25">
      <c r="R168" s="27"/>
      <c r="S168" s="27"/>
      <c r="T168" s="26"/>
      <c r="U168" s="27"/>
    </row>
    <row r="169" spans="18:21" x14ac:dyDescent="0.25">
      <c r="R169" s="27"/>
      <c r="S169" s="27"/>
      <c r="T169" s="26"/>
      <c r="U169" s="27"/>
    </row>
    <row r="170" spans="18:21" x14ac:dyDescent="0.25">
      <c r="R170" s="27"/>
      <c r="S170" s="27"/>
      <c r="T170" s="26"/>
      <c r="U170" s="27"/>
    </row>
    <row r="171" spans="18:21" x14ac:dyDescent="0.25">
      <c r="R171" s="27"/>
      <c r="S171" s="27"/>
      <c r="T171" s="26"/>
      <c r="U171" s="27"/>
    </row>
    <row r="172" spans="18:21" x14ac:dyDescent="0.25">
      <c r="R172" s="27"/>
      <c r="S172" s="27"/>
      <c r="T172" s="26"/>
      <c r="U172" s="27"/>
    </row>
    <row r="173" spans="18:21" x14ac:dyDescent="0.25">
      <c r="R173" s="27"/>
      <c r="S173" s="27"/>
      <c r="T173" s="26"/>
      <c r="U173" s="27"/>
    </row>
    <row r="174" spans="18:21" x14ac:dyDescent="0.25">
      <c r="R174" s="27"/>
      <c r="S174" s="27"/>
      <c r="T174" s="26"/>
      <c r="U174" s="27"/>
    </row>
    <row r="175" spans="18:21" x14ac:dyDescent="0.25">
      <c r="R175" s="27"/>
      <c r="S175" s="27"/>
      <c r="T175" s="26"/>
      <c r="U175" s="27"/>
    </row>
    <row r="176" spans="18:21" x14ac:dyDescent="0.25">
      <c r="R176" s="27"/>
      <c r="S176" s="27"/>
      <c r="T176" s="26"/>
      <c r="U176" s="27"/>
    </row>
    <row r="177" spans="18:21" x14ac:dyDescent="0.25">
      <c r="R177" s="27"/>
      <c r="S177" s="27"/>
      <c r="T177" s="26"/>
      <c r="U177" s="27"/>
    </row>
    <row r="178" spans="18:21" x14ac:dyDescent="0.25">
      <c r="R178" s="27"/>
      <c r="S178" s="27"/>
      <c r="T178" s="26"/>
      <c r="U178" s="27"/>
    </row>
    <row r="179" spans="18:21" x14ac:dyDescent="0.25">
      <c r="R179" s="27"/>
      <c r="S179" s="27"/>
      <c r="T179" s="26"/>
      <c r="U179" s="27"/>
    </row>
    <row r="180" spans="18:21" x14ac:dyDescent="0.25">
      <c r="R180" s="27"/>
      <c r="S180" s="27"/>
      <c r="T180" s="26"/>
      <c r="U180" s="27"/>
    </row>
    <row r="181" spans="18:21" x14ac:dyDescent="0.25">
      <c r="R181" s="27"/>
      <c r="S181" s="27"/>
      <c r="T181" s="26"/>
      <c r="U181" s="27"/>
    </row>
    <row r="182" spans="18:21" x14ac:dyDescent="0.25">
      <c r="R182" s="27"/>
      <c r="S182" s="27"/>
      <c r="T182" s="26"/>
      <c r="U182" s="27"/>
    </row>
    <row r="183" spans="18:21" x14ac:dyDescent="0.25">
      <c r="R183" s="27"/>
      <c r="S183" s="27"/>
      <c r="T183" s="26"/>
      <c r="U183" s="27"/>
    </row>
    <row r="184" spans="18:21" x14ac:dyDescent="0.25">
      <c r="R184" s="27"/>
      <c r="S184" s="27"/>
      <c r="T184" s="26"/>
      <c r="U184" s="27"/>
    </row>
    <row r="185" spans="18:21" x14ac:dyDescent="0.25">
      <c r="R185" s="27"/>
      <c r="S185" s="27"/>
      <c r="T185" s="26"/>
      <c r="U185" s="27"/>
    </row>
    <row r="186" spans="18:21" x14ac:dyDescent="0.25">
      <c r="R186" s="27"/>
      <c r="S186" s="27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77" spans="18:21" x14ac:dyDescent="0.25">
      <c r="R277" s="27"/>
      <c r="S277" s="27"/>
      <c r="T277" s="26"/>
      <c r="U277" s="27"/>
    </row>
    <row r="278" spans="18:21" x14ac:dyDescent="0.25">
      <c r="R278" s="34"/>
      <c r="S278" s="34"/>
      <c r="T278" s="26"/>
      <c r="U278" s="27"/>
    </row>
    <row r="279" spans="18:21" x14ac:dyDescent="0.25">
      <c r="R279" s="27"/>
      <c r="S279" s="27"/>
      <c r="T279" s="26"/>
      <c r="U279" s="27"/>
    </row>
    <row r="280" spans="18:21" x14ac:dyDescent="0.25">
      <c r="R280" s="27"/>
      <c r="S280" s="27"/>
      <c r="T280" s="26"/>
      <c r="U280" s="27"/>
    </row>
    <row r="281" spans="18:21" x14ac:dyDescent="0.25">
      <c r="R281" s="27"/>
      <c r="S281" s="27"/>
      <c r="T281" s="26"/>
      <c r="U281" s="27"/>
    </row>
    <row r="282" spans="18:21" x14ac:dyDescent="0.25">
      <c r="R282" s="27"/>
      <c r="S282" s="27"/>
      <c r="T282" s="26"/>
      <c r="U282" s="27"/>
    </row>
    <row r="283" spans="18:21" x14ac:dyDescent="0.25">
      <c r="R283" s="27"/>
      <c r="S283" s="27"/>
      <c r="T283" s="26"/>
      <c r="U283" s="27"/>
    </row>
    <row r="284" spans="18:21" x14ac:dyDescent="0.25">
      <c r="R284" s="27"/>
      <c r="S284" s="27"/>
      <c r="T284" s="26"/>
      <c r="U284" s="27"/>
    </row>
    <row r="285" spans="18:21" x14ac:dyDescent="0.25">
      <c r="R285" s="27"/>
      <c r="S285" s="27"/>
      <c r="T285" s="26"/>
      <c r="U285" s="27"/>
    </row>
    <row r="286" spans="18:21" x14ac:dyDescent="0.25">
      <c r="R286" s="27"/>
      <c r="S286" s="27"/>
      <c r="T286" s="26"/>
      <c r="U286" s="27"/>
    </row>
    <row r="287" spans="18:21" x14ac:dyDescent="0.25">
      <c r="R287" s="27"/>
      <c r="S287" s="27"/>
      <c r="T287" s="26"/>
      <c r="U287" s="27"/>
    </row>
    <row r="288" spans="18:21" x14ac:dyDescent="0.25">
      <c r="R288" s="27"/>
      <c r="S288" s="27"/>
      <c r="T288" s="26"/>
      <c r="U288" s="27"/>
    </row>
    <row r="289" spans="18:21" x14ac:dyDescent="0.25">
      <c r="R289" s="27"/>
      <c r="S289" s="27"/>
      <c r="T289" s="26"/>
      <c r="U289" s="27"/>
    </row>
    <row r="290" spans="18:21" x14ac:dyDescent="0.25">
      <c r="R290" s="27"/>
      <c r="S290" s="27"/>
      <c r="T290" s="26"/>
      <c r="U290" s="27"/>
    </row>
    <row r="291" spans="18:21" x14ac:dyDescent="0.25">
      <c r="R291" s="27"/>
      <c r="S291" s="27"/>
      <c r="T291" s="26"/>
      <c r="U291" s="27"/>
    </row>
    <row r="292" spans="18:21" x14ac:dyDescent="0.25">
      <c r="R292" s="27"/>
      <c r="S292" s="27"/>
      <c r="T292" s="26"/>
      <c r="U292" s="27"/>
    </row>
    <row r="293" spans="18:21" x14ac:dyDescent="0.25">
      <c r="R293" s="27"/>
      <c r="S293" s="27"/>
      <c r="T293" s="26"/>
      <c r="U293" s="27"/>
    </row>
    <row r="294" spans="18:21" x14ac:dyDescent="0.25">
      <c r="R294" s="27"/>
      <c r="S294" s="27"/>
      <c r="T294" s="26"/>
      <c r="U294" s="27"/>
    </row>
    <row r="295" spans="18:21" x14ac:dyDescent="0.25">
      <c r="R295" s="27"/>
      <c r="S295" s="27"/>
      <c r="T295" s="26"/>
      <c r="U295" s="27"/>
    </row>
    <row r="296" spans="18:21" x14ac:dyDescent="0.25">
      <c r="R296" s="27"/>
      <c r="S296" s="27"/>
      <c r="T296" s="26"/>
      <c r="U296" s="27"/>
    </row>
    <row r="297" spans="18:21" x14ac:dyDescent="0.25">
      <c r="R297" s="27"/>
      <c r="S297" s="27"/>
      <c r="T297" s="26"/>
      <c r="U297" s="27"/>
    </row>
    <row r="298" spans="18:21" x14ac:dyDescent="0.25">
      <c r="R298" s="27"/>
      <c r="S298" s="27"/>
      <c r="T298" s="26"/>
      <c r="U298" s="27"/>
    </row>
    <row r="299" spans="18:21" x14ac:dyDescent="0.25">
      <c r="R299" s="27"/>
      <c r="S299" s="27"/>
      <c r="T299" s="26"/>
      <c r="U299" s="27"/>
    </row>
    <row r="300" spans="18:21" x14ac:dyDescent="0.25">
      <c r="R300" s="27"/>
      <c r="S300" s="27"/>
      <c r="T300" s="26"/>
      <c r="U300" s="27"/>
    </row>
    <row r="301" spans="18:21" x14ac:dyDescent="0.25">
      <c r="R301" s="27"/>
      <c r="S301" s="27"/>
      <c r="T301" s="26"/>
      <c r="U301" s="27"/>
    </row>
    <row r="302" spans="18:21" x14ac:dyDescent="0.25">
      <c r="R302" s="27"/>
      <c r="S302" s="27"/>
      <c r="T302" s="26"/>
      <c r="U302" s="27"/>
    </row>
    <row r="303" spans="18:21" x14ac:dyDescent="0.25">
      <c r="R303" s="27"/>
      <c r="S303" s="27"/>
      <c r="T303" s="26"/>
      <c r="U303" s="27"/>
    </row>
    <row r="304" spans="18:21" x14ac:dyDescent="0.25">
      <c r="R304" s="27"/>
      <c r="S304" s="27"/>
      <c r="T304" s="26"/>
      <c r="U304" s="27"/>
    </row>
    <row r="305" spans="18:21" x14ac:dyDescent="0.25">
      <c r="R305" s="27"/>
      <c r="S305" s="27"/>
      <c r="T305" s="26"/>
      <c r="U305" s="27"/>
    </row>
    <row r="306" spans="18:21" x14ac:dyDescent="0.25">
      <c r="R306" s="27"/>
      <c r="S306" s="27"/>
      <c r="T306" s="26"/>
      <c r="U306" s="27"/>
    </row>
    <row r="307" spans="18:21" x14ac:dyDescent="0.25">
      <c r="R307" s="27"/>
      <c r="S307" s="27"/>
      <c r="T307" s="26"/>
      <c r="U307" s="27"/>
    </row>
    <row r="308" spans="18:21" x14ac:dyDescent="0.25">
      <c r="R308" s="27"/>
      <c r="S308" s="27"/>
      <c r="T308" s="26"/>
      <c r="U308" s="27"/>
    </row>
    <row r="309" spans="18:21" x14ac:dyDescent="0.25">
      <c r="R309" s="27"/>
      <c r="S309" s="27"/>
      <c r="T309" s="26"/>
      <c r="U309" s="27"/>
    </row>
    <row r="310" spans="18:21" x14ac:dyDescent="0.25">
      <c r="R310" s="27"/>
      <c r="S310" s="27"/>
      <c r="T310" s="26"/>
      <c r="U310" s="27"/>
    </row>
    <row r="311" spans="18:21" x14ac:dyDescent="0.25">
      <c r="R311" s="27"/>
      <c r="S311" s="27"/>
      <c r="T311" s="26"/>
      <c r="U311" s="27"/>
    </row>
    <row r="312" spans="18:21" x14ac:dyDescent="0.25">
      <c r="R312" s="27"/>
      <c r="S312" s="27"/>
      <c r="T312" s="26"/>
      <c r="U312" s="27"/>
    </row>
    <row r="313" spans="18:21" x14ac:dyDescent="0.25">
      <c r="R313" s="34"/>
      <c r="S313" s="34"/>
      <c r="T313" s="26"/>
      <c r="U313" s="27"/>
    </row>
    <row r="314" spans="18:21" x14ac:dyDescent="0.25">
      <c r="R314" s="27"/>
      <c r="S314" s="27"/>
      <c r="T314" s="26"/>
      <c r="U314" s="27"/>
    </row>
    <row r="315" spans="18:21" x14ac:dyDescent="0.25">
      <c r="R315" s="27"/>
      <c r="S315" s="27"/>
      <c r="T315" s="26"/>
      <c r="U315" s="27"/>
    </row>
    <row r="316" spans="18:21" x14ac:dyDescent="0.25">
      <c r="R316" s="27"/>
      <c r="S316" s="27"/>
      <c r="T316" s="26"/>
      <c r="U316" s="27"/>
    </row>
    <row r="317" spans="18:21" x14ac:dyDescent="0.25">
      <c r="R317" s="27"/>
      <c r="S317" s="27"/>
      <c r="T317" s="26"/>
      <c r="U317" s="27"/>
    </row>
    <row r="318" spans="18:21" x14ac:dyDescent="0.25">
      <c r="R318" s="27"/>
      <c r="S318" s="27"/>
      <c r="T318" s="26"/>
      <c r="U318" s="27"/>
    </row>
    <row r="319" spans="18:21" x14ac:dyDescent="0.25">
      <c r="R319" s="27"/>
      <c r="S319" s="27"/>
      <c r="T319" s="26"/>
      <c r="U319" s="27"/>
    </row>
    <row r="320" spans="18:21" x14ac:dyDescent="0.25">
      <c r="R320" s="27"/>
      <c r="S320" s="27"/>
      <c r="T320" s="26"/>
      <c r="U320" s="27"/>
    </row>
    <row r="321" spans="18:21" x14ac:dyDescent="0.25">
      <c r="R321" s="27"/>
      <c r="S321" s="27"/>
      <c r="T321" s="26"/>
      <c r="U321" s="27"/>
    </row>
    <row r="322" spans="18:21" x14ac:dyDescent="0.25">
      <c r="R322" s="27"/>
      <c r="S322" s="27"/>
      <c r="T322" s="26"/>
      <c r="U322" s="27"/>
    </row>
    <row r="323" spans="18:21" x14ac:dyDescent="0.25">
      <c r="R323" s="27"/>
      <c r="S323" s="27"/>
      <c r="T323" s="26"/>
      <c r="U323" s="27"/>
    </row>
    <row r="324" spans="18:21" x14ac:dyDescent="0.25">
      <c r="R324" s="27"/>
      <c r="S324" s="27"/>
      <c r="T324" s="26"/>
      <c r="U324" s="27"/>
    </row>
    <row r="325" spans="18:21" x14ac:dyDescent="0.25">
      <c r="R325" s="27"/>
      <c r="S325" s="27"/>
      <c r="T325" s="26"/>
      <c r="U325" s="27"/>
    </row>
    <row r="326" spans="18:21" x14ac:dyDescent="0.25">
      <c r="R326" s="27"/>
      <c r="S326" s="27"/>
      <c r="T326" s="26"/>
      <c r="U326" s="27"/>
    </row>
    <row r="327" spans="18:21" x14ac:dyDescent="0.25">
      <c r="R327" s="27"/>
      <c r="S327" s="27"/>
      <c r="T327" s="26"/>
      <c r="U327" s="27"/>
    </row>
    <row r="328" spans="18:21" x14ac:dyDescent="0.25">
      <c r="R328" s="27"/>
      <c r="S328" s="27"/>
      <c r="T328" s="26"/>
      <c r="U328" s="27"/>
    </row>
    <row r="329" spans="18:21" x14ac:dyDescent="0.25">
      <c r="R329" s="27"/>
      <c r="S329" s="27"/>
      <c r="T329" s="26"/>
      <c r="U329" s="27"/>
    </row>
    <row r="330" spans="18:21" x14ac:dyDescent="0.25">
      <c r="R330" s="27"/>
      <c r="S330" s="27"/>
      <c r="T330" s="26"/>
      <c r="U330" s="27"/>
    </row>
    <row r="331" spans="18:21" x14ac:dyDescent="0.25">
      <c r="R331" s="27"/>
      <c r="S331" s="27"/>
      <c r="T331" s="26"/>
      <c r="U331" s="27"/>
    </row>
    <row r="332" spans="18:21" x14ac:dyDescent="0.25">
      <c r="R332" s="27"/>
      <c r="S332" s="27"/>
      <c r="T332" s="26"/>
      <c r="U332" s="27"/>
    </row>
    <row r="333" spans="18:21" x14ac:dyDescent="0.25">
      <c r="R333" s="27"/>
      <c r="S333" s="27"/>
      <c r="T333" s="26"/>
      <c r="U333" s="27"/>
    </row>
    <row r="334" spans="18:21" x14ac:dyDescent="0.25">
      <c r="R334" s="27"/>
      <c r="S334" s="27"/>
      <c r="T334" s="26"/>
      <c r="U334" s="27"/>
    </row>
    <row r="335" spans="18:21" x14ac:dyDescent="0.25">
      <c r="R335" s="27"/>
      <c r="S335" s="27"/>
      <c r="T335" s="26"/>
      <c r="U335" s="27"/>
    </row>
    <row r="336" spans="18:21" x14ac:dyDescent="0.25">
      <c r="R336" s="27"/>
      <c r="S336" s="27"/>
      <c r="T336" s="26"/>
      <c r="U336" s="27"/>
    </row>
    <row r="337" spans="18:21" x14ac:dyDescent="0.25">
      <c r="R337" s="27"/>
      <c r="S337" s="27"/>
      <c r="T337" s="26"/>
      <c r="U337" s="27"/>
    </row>
    <row r="338" spans="18:21" x14ac:dyDescent="0.25">
      <c r="R338" s="27"/>
      <c r="S338" s="27"/>
      <c r="T338" s="26"/>
      <c r="U338" s="27"/>
    </row>
    <row r="339" spans="18:21" x14ac:dyDescent="0.25">
      <c r="R339" s="27"/>
      <c r="S339" s="27"/>
      <c r="T339" s="26"/>
      <c r="U339" s="27"/>
    </row>
    <row r="340" spans="18:21" x14ac:dyDescent="0.25">
      <c r="R340" s="27"/>
      <c r="S340" s="27"/>
      <c r="T340" s="26"/>
      <c r="U340" s="27"/>
    </row>
    <row r="341" spans="18:21" x14ac:dyDescent="0.25">
      <c r="R341" s="27"/>
      <c r="S341" s="27"/>
      <c r="T341" s="26"/>
      <c r="U341" s="27"/>
    </row>
    <row r="342" spans="18:21" x14ac:dyDescent="0.25">
      <c r="R342" s="27"/>
      <c r="S342" s="27"/>
      <c r="T342" s="26"/>
      <c r="U342" s="27"/>
    </row>
    <row r="343" spans="18:21" x14ac:dyDescent="0.25">
      <c r="R343" s="27"/>
      <c r="S343" s="27"/>
      <c r="T343" s="26"/>
      <c r="U343" s="27"/>
    </row>
    <row r="344" spans="18:21" x14ac:dyDescent="0.25">
      <c r="R344" s="27"/>
      <c r="S344" s="27"/>
      <c r="T344" s="26"/>
      <c r="U344" s="27"/>
    </row>
    <row r="345" spans="18:21" x14ac:dyDescent="0.25">
      <c r="R345" s="27"/>
      <c r="S345" s="27"/>
      <c r="T345" s="26"/>
      <c r="U345" s="27"/>
    </row>
    <row r="346" spans="18:21" x14ac:dyDescent="0.25">
      <c r="R346" s="27"/>
      <c r="S346" s="27"/>
      <c r="T346" s="26"/>
      <c r="U346" s="27"/>
    </row>
    <row r="347" spans="18:21" x14ac:dyDescent="0.25">
      <c r="R347" s="27"/>
      <c r="S347" s="27"/>
      <c r="T347" s="26"/>
      <c r="U347" s="27"/>
    </row>
    <row r="348" spans="18:21" x14ac:dyDescent="0.25">
      <c r="R348" s="34"/>
      <c r="S348" s="34"/>
      <c r="T348" s="26"/>
      <c r="U348" s="27"/>
    </row>
    <row r="349" spans="18:21" x14ac:dyDescent="0.25">
      <c r="R349" s="27"/>
      <c r="S349" s="27"/>
      <c r="T349" s="26"/>
      <c r="U349" s="27"/>
    </row>
    <row r="350" spans="18:21" x14ac:dyDescent="0.25">
      <c r="R350" s="27"/>
      <c r="S350" s="27"/>
      <c r="T350" s="26"/>
      <c r="U350" s="27"/>
    </row>
    <row r="351" spans="18:21" x14ac:dyDescent="0.25">
      <c r="R351" s="27"/>
      <c r="S351" s="27"/>
      <c r="T351" s="26"/>
      <c r="U351" s="27"/>
    </row>
    <row r="352" spans="18:21" x14ac:dyDescent="0.25">
      <c r="R352" s="27"/>
      <c r="S352" s="27"/>
      <c r="T352" s="26"/>
      <c r="U352" s="27"/>
    </row>
    <row r="353" spans="18:21" x14ac:dyDescent="0.25">
      <c r="R353" s="27"/>
      <c r="S353" s="27"/>
      <c r="T353" s="26"/>
      <c r="U353" s="27"/>
    </row>
    <row r="354" spans="18:21" x14ac:dyDescent="0.25">
      <c r="R354" s="27"/>
      <c r="S354" s="27"/>
      <c r="T354" s="26"/>
      <c r="U354" s="27"/>
    </row>
    <row r="355" spans="18:21" x14ac:dyDescent="0.25">
      <c r="R355" s="27"/>
      <c r="S355" s="27"/>
      <c r="T355" s="26"/>
      <c r="U355" s="27"/>
    </row>
    <row r="356" spans="18:21" x14ac:dyDescent="0.25">
      <c r="R356" s="27"/>
      <c r="S356" s="27"/>
      <c r="T356" s="26"/>
      <c r="U356" s="27"/>
    </row>
    <row r="357" spans="18:21" x14ac:dyDescent="0.25">
      <c r="R357" s="27"/>
      <c r="S357" s="27"/>
      <c r="T357" s="26"/>
      <c r="U357" s="27"/>
    </row>
    <row r="358" spans="18:21" x14ac:dyDescent="0.25">
      <c r="R358" s="27"/>
      <c r="S358" s="27"/>
      <c r="T358" s="26"/>
      <c r="U358" s="27"/>
    </row>
    <row r="359" spans="18:21" x14ac:dyDescent="0.25">
      <c r="R359" s="27"/>
      <c r="S359" s="27"/>
      <c r="T359" s="26"/>
      <c r="U359" s="27"/>
    </row>
    <row r="360" spans="18:21" x14ac:dyDescent="0.25">
      <c r="R360" s="27"/>
      <c r="S360" s="27"/>
      <c r="T360" s="26"/>
      <c r="U360" s="27"/>
    </row>
    <row r="361" spans="18:21" x14ac:dyDescent="0.25">
      <c r="R361" s="27"/>
      <c r="S361" s="27"/>
      <c r="T361" s="26"/>
      <c r="U361" s="27"/>
    </row>
    <row r="362" spans="18:21" x14ac:dyDescent="0.25">
      <c r="R362" s="27"/>
      <c r="S362" s="27"/>
      <c r="T362" s="26"/>
      <c r="U362" s="27"/>
    </row>
    <row r="363" spans="18:21" x14ac:dyDescent="0.25">
      <c r="R363" s="27"/>
      <c r="S363" s="27"/>
      <c r="T363" s="26"/>
      <c r="U363" s="27"/>
    </row>
    <row r="364" spans="18:21" x14ac:dyDescent="0.25">
      <c r="R364" s="27"/>
      <c r="S364" s="27"/>
      <c r="T364" s="26"/>
      <c r="U364" s="27"/>
    </row>
    <row r="365" spans="18:21" x14ac:dyDescent="0.25">
      <c r="R365" s="27"/>
      <c r="S365" s="27"/>
      <c r="T365" s="26"/>
      <c r="U365" s="27"/>
    </row>
    <row r="366" spans="18:21" x14ac:dyDescent="0.25">
      <c r="R366" s="27"/>
      <c r="S366" s="27"/>
      <c r="T366" s="26"/>
      <c r="U366" s="27"/>
    </row>
    <row r="367" spans="18:21" x14ac:dyDescent="0.25">
      <c r="R367" s="27"/>
      <c r="S367" s="27"/>
      <c r="T367" s="26"/>
      <c r="U367" s="27"/>
    </row>
    <row r="368" spans="18:21" x14ac:dyDescent="0.25">
      <c r="R368" s="27"/>
      <c r="S368" s="27"/>
      <c r="T368" s="26"/>
      <c r="U368" s="27"/>
    </row>
    <row r="369" spans="18:21" x14ac:dyDescent="0.25">
      <c r="R369" s="27"/>
      <c r="S369" s="27"/>
      <c r="T369" s="26"/>
      <c r="U369" s="27"/>
    </row>
    <row r="370" spans="18:21" x14ac:dyDescent="0.25">
      <c r="R370" s="27"/>
      <c r="S370" s="27"/>
      <c r="T370" s="26"/>
      <c r="U370" s="27"/>
    </row>
    <row r="371" spans="18:21" x14ac:dyDescent="0.25">
      <c r="R371" s="27"/>
      <c r="S371" s="27"/>
      <c r="T371" s="26"/>
      <c r="U371" s="27"/>
    </row>
    <row r="372" spans="18:21" x14ac:dyDescent="0.25">
      <c r="R372" s="27"/>
      <c r="S372" s="27"/>
      <c r="T372" s="26"/>
      <c r="U372" s="27"/>
    </row>
    <row r="373" spans="18:21" x14ac:dyDescent="0.25">
      <c r="R373" s="27"/>
      <c r="S373" s="27"/>
      <c r="T373" s="26"/>
      <c r="U373" s="27"/>
    </row>
    <row r="374" spans="18:21" x14ac:dyDescent="0.25">
      <c r="R374" s="27"/>
      <c r="S374" s="27"/>
      <c r="T374" s="26"/>
      <c r="U374" s="27"/>
    </row>
    <row r="375" spans="18:21" x14ac:dyDescent="0.25">
      <c r="R375" s="27"/>
      <c r="S375" s="27"/>
      <c r="T375" s="26"/>
      <c r="U375" s="27"/>
    </row>
    <row r="376" spans="18:21" x14ac:dyDescent="0.25">
      <c r="R376" s="27"/>
      <c r="S376" s="27"/>
      <c r="T376" s="26"/>
      <c r="U376" s="27"/>
    </row>
    <row r="377" spans="18:21" x14ac:dyDescent="0.25">
      <c r="R377" s="27"/>
      <c r="S377" s="27"/>
      <c r="T377" s="26"/>
      <c r="U377" s="27"/>
    </row>
    <row r="378" spans="18:21" x14ac:dyDescent="0.25">
      <c r="R378" s="27"/>
      <c r="S378" s="27"/>
      <c r="T378" s="26"/>
      <c r="U378" s="27"/>
    </row>
    <row r="379" spans="18:21" x14ac:dyDescent="0.25">
      <c r="R379" s="27"/>
      <c r="S379" s="27"/>
      <c r="T379" s="26"/>
      <c r="U379" s="27"/>
    </row>
    <row r="380" spans="18:21" x14ac:dyDescent="0.25">
      <c r="R380" s="27"/>
      <c r="S380" s="27"/>
      <c r="T380" s="26"/>
      <c r="U380" s="27"/>
    </row>
    <row r="381" spans="18:21" x14ac:dyDescent="0.25">
      <c r="R381" s="27"/>
      <c r="S381" s="27"/>
      <c r="T381" s="26"/>
      <c r="U381" s="27"/>
    </row>
    <row r="382" spans="18:21" x14ac:dyDescent="0.25">
      <c r="R382" s="27"/>
      <c r="S382" s="27"/>
      <c r="T382" s="26"/>
      <c r="U382" s="27"/>
    </row>
    <row r="383" spans="18:21" x14ac:dyDescent="0.25">
      <c r="R383" s="34"/>
      <c r="S383" s="34"/>
      <c r="T383" s="26"/>
      <c r="U383" s="27"/>
    </row>
    <row r="384" spans="18:21" x14ac:dyDescent="0.25">
      <c r="R384" s="27"/>
      <c r="S384" s="27"/>
      <c r="T384" s="26"/>
      <c r="U384" s="27"/>
    </row>
    <row r="385" spans="18:21" x14ac:dyDescent="0.25">
      <c r="R385" s="27"/>
      <c r="S385" s="27"/>
      <c r="T385" s="26"/>
      <c r="U385" s="27"/>
    </row>
    <row r="386" spans="18:21" x14ac:dyDescent="0.25">
      <c r="R386" s="27"/>
      <c r="S386" s="27"/>
      <c r="T386" s="26"/>
      <c r="U386" s="27"/>
    </row>
    <row r="387" spans="18:21" x14ac:dyDescent="0.25">
      <c r="R387" s="27"/>
      <c r="S387" s="27"/>
      <c r="T387" s="26"/>
      <c r="U387" s="27"/>
    </row>
    <row r="388" spans="18:21" x14ac:dyDescent="0.25">
      <c r="R388" s="27"/>
      <c r="S388" s="27"/>
      <c r="T388" s="26"/>
      <c r="U388" s="27"/>
    </row>
    <row r="389" spans="18:21" x14ac:dyDescent="0.25">
      <c r="R389" s="27"/>
      <c r="S389" s="27"/>
      <c r="T389" s="26"/>
      <c r="U389" s="27"/>
    </row>
    <row r="390" spans="18:21" x14ac:dyDescent="0.25">
      <c r="R390" s="27"/>
      <c r="S390" s="27"/>
      <c r="T390" s="26"/>
      <c r="U390" s="27"/>
    </row>
    <row r="391" spans="18:21" x14ac:dyDescent="0.25">
      <c r="R391" s="27"/>
      <c r="S391" s="27"/>
      <c r="T391" s="26"/>
      <c r="U391" s="27"/>
    </row>
    <row r="392" spans="18:21" x14ac:dyDescent="0.25">
      <c r="R392" s="27"/>
      <c r="S392" s="27"/>
      <c r="T392" s="26"/>
      <c r="U392" s="27"/>
    </row>
    <row r="393" spans="18:21" x14ac:dyDescent="0.25">
      <c r="R393" s="27"/>
      <c r="S393" s="27"/>
      <c r="T393" s="26"/>
      <c r="U393" s="27"/>
    </row>
    <row r="394" spans="18:21" x14ac:dyDescent="0.25">
      <c r="R394" s="27"/>
      <c r="S394" s="27"/>
      <c r="T394" s="26"/>
      <c r="U394" s="27"/>
    </row>
    <row r="395" spans="18:21" x14ac:dyDescent="0.25">
      <c r="R395" s="27"/>
      <c r="S395" s="27"/>
      <c r="T395" s="26"/>
      <c r="U395" s="27"/>
    </row>
    <row r="396" spans="18:21" x14ac:dyDescent="0.25">
      <c r="R396" s="27"/>
      <c r="S396" s="27"/>
      <c r="T396" s="26"/>
      <c r="U396" s="27"/>
    </row>
    <row r="397" spans="18:21" x14ac:dyDescent="0.25">
      <c r="R397" s="27"/>
      <c r="S397" s="27"/>
      <c r="T397" s="26"/>
      <c r="U397" s="27"/>
    </row>
    <row r="398" spans="18:21" x14ac:dyDescent="0.25">
      <c r="R398" s="27"/>
      <c r="S398" s="27"/>
      <c r="T398" s="26"/>
      <c r="U398" s="27"/>
    </row>
    <row r="399" spans="18:21" x14ac:dyDescent="0.25">
      <c r="R399" s="27"/>
      <c r="S399" s="27"/>
      <c r="T399" s="26"/>
      <c r="U399" s="27"/>
    </row>
    <row r="400" spans="18:21" x14ac:dyDescent="0.25">
      <c r="R400" s="27"/>
      <c r="S400" s="27"/>
      <c r="T400" s="26"/>
      <c r="U400" s="27"/>
    </row>
    <row r="401" spans="18:21" x14ac:dyDescent="0.25">
      <c r="R401" s="27"/>
      <c r="S401" s="27"/>
      <c r="T401" s="26"/>
      <c r="U401" s="27"/>
    </row>
    <row r="402" spans="18:21" x14ac:dyDescent="0.25">
      <c r="R402" s="27"/>
      <c r="S402" s="27"/>
      <c r="T402" s="26"/>
      <c r="U402" s="27"/>
    </row>
    <row r="403" spans="18:21" x14ac:dyDescent="0.25">
      <c r="R403" s="27"/>
      <c r="S403" s="27"/>
      <c r="T403" s="26"/>
      <c r="U403" s="27"/>
    </row>
    <row r="404" spans="18:21" x14ac:dyDescent="0.25">
      <c r="R404" s="27"/>
      <c r="S404" s="27"/>
      <c r="T404" s="26"/>
      <c r="U404" s="27"/>
    </row>
    <row r="405" spans="18:21" x14ac:dyDescent="0.25">
      <c r="R405" s="27"/>
      <c r="S405" s="27"/>
      <c r="T405" s="26"/>
      <c r="U405" s="27"/>
    </row>
    <row r="406" spans="18:21" x14ac:dyDescent="0.25">
      <c r="R406" s="27"/>
      <c r="S406" s="27"/>
      <c r="T406" s="26"/>
      <c r="U406" s="27"/>
    </row>
    <row r="407" spans="18:21" x14ac:dyDescent="0.25">
      <c r="R407" s="27"/>
      <c r="S407" s="27"/>
      <c r="T407" s="26"/>
      <c r="U407" s="27"/>
    </row>
    <row r="408" spans="18:21" x14ac:dyDescent="0.25">
      <c r="R408" s="27"/>
      <c r="S408" s="27"/>
      <c r="T408" s="26"/>
      <c r="U408" s="27"/>
    </row>
    <row r="409" spans="18:21" x14ac:dyDescent="0.25">
      <c r="R409" s="27"/>
      <c r="S409" s="27"/>
      <c r="T409" s="26"/>
      <c r="U409" s="27"/>
    </row>
    <row r="410" spans="18:21" x14ac:dyDescent="0.25">
      <c r="R410" s="27"/>
      <c r="S410" s="27"/>
      <c r="T410" s="26"/>
      <c r="U410" s="27"/>
    </row>
    <row r="411" spans="18:21" x14ac:dyDescent="0.25">
      <c r="R411" s="27"/>
      <c r="S411" s="27"/>
      <c r="T411" s="26"/>
      <c r="U411" s="27"/>
    </row>
    <row r="412" spans="18:21" x14ac:dyDescent="0.25">
      <c r="R412" s="27"/>
      <c r="S412" s="27"/>
      <c r="T412" s="26"/>
      <c r="U412" s="27"/>
    </row>
    <row r="413" spans="18:21" x14ac:dyDescent="0.25">
      <c r="R413" s="27"/>
      <c r="S413" s="27"/>
      <c r="T413" s="26"/>
      <c r="U413" s="27"/>
    </row>
    <row r="414" spans="18:21" x14ac:dyDescent="0.25">
      <c r="R414" s="27"/>
      <c r="S414" s="27"/>
      <c r="T414" s="26"/>
      <c r="U414" s="27"/>
    </row>
    <row r="415" spans="18:21" x14ac:dyDescent="0.25">
      <c r="R415" s="27"/>
      <c r="S415" s="27"/>
      <c r="T415" s="26"/>
      <c r="U415" s="27"/>
    </row>
    <row r="416" spans="18:21" x14ac:dyDescent="0.25">
      <c r="R416" s="27"/>
      <c r="S416" s="27"/>
      <c r="T416" s="26"/>
      <c r="U416" s="27"/>
    </row>
    <row r="417" spans="18:21" x14ac:dyDescent="0.25">
      <c r="R417" s="27"/>
      <c r="S417" s="27"/>
      <c r="T417" s="26"/>
      <c r="U417" s="27"/>
    </row>
    <row r="418" spans="18:21" x14ac:dyDescent="0.25">
      <c r="R418" s="34"/>
      <c r="S418" s="34"/>
      <c r="T418" s="26"/>
      <c r="U418" s="27"/>
    </row>
    <row r="419" spans="18:21" x14ac:dyDescent="0.25">
      <c r="R419" s="27"/>
      <c r="S419" s="27"/>
      <c r="T419" s="26"/>
      <c r="U419" s="27"/>
    </row>
    <row r="420" spans="18:21" x14ac:dyDescent="0.25">
      <c r="R420" s="27"/>
      <c r="S420" s="27"/>
      <c r="T420" s="26"/>
      <c r="U420" s="27"/>
    </row>
    <row r="421" spans="18:21" x14ac:dyDescent="0.25">
      <c r="R421" s="27"/>
      <c r="S421" s="27"/>
      <c r="T421" s="26"/>
      <c r="U421" s="27"/>
    </row>
    <row r="422" spans="18:21" x14ac:dyDescent="0.25">
      <c r="R422" s="27"/>
      <c r="S422" s="27"/>
      <c r="T422" s="26"/>
      <c r="U422" s="27"/>
    </row>
    <row r="423" spans="18:21" x14ac:dyDescent="0.25">
      <c r="R423" s="27"/>
      <c r="S423" s="27"/>
      <c r="T423" s="26"/>
      <c r="U423" s="27"/>
    </row>
    <row r="424" spans="18:21" x14ac:dyDescent="0.25">
      <c r="R424" s="27"/>
      <c r="S424" s="27"/>
      <c r="T424" s="26"/>
      <c r="U424" s="27"/>
    </row>
    <row r="425" spans="18:21" x14ac:dyDescent="0.25">
      <c r="R425" s="27"/>
      <c r="S425" s="27"/>
      <c r="T425" s="26"/>
      <c r="U425" s="27"/>
    </row>
    <row r="426" spans="18:21" x14ac:dyDescent="0.25">
      <c r="R426" s="27"/>
      <c r="S426" s="27"/>
      <c r="T426" s="26"/>
      <c r="U426" s="27"/>
    </row>
    <row r="427" spans="18:21" x14ac:dyDescent="0.25">
      <c r="R427" s="27"/>
      <c r="S427" s="27"/>
      <c r="T427" s="26"/>
      <c r="U427" s="27"/>
    </row>
    <row r="428" spans="18:21" x14ac:dyDescent="0.25">
      <c r="R428" s="27"/>
      <c r="S428" s="27"/>
      <c r="T428" s="26"/>
      <c r="U428" s="27"/>
    </row>
    <row r="429" spans="18:21" x14ac:dyDescent="0.25">
      <c r="R429" s="27"/>
      <c r="S429" s="27"/>
      <c r="T429" s="26"/>
      <c r="U429" s="27"/>
    </row>
    <row r="430" spans="18:21" x14ac:dyDescent="0.25">
      <c r="R430" s="27"/>
      <c r="S430" s="27"/>
      <c r="T430" s="26"/>
      <c r="U430" s="27"/>
    </row>
    <row r="431" spans="18:21" x14ac:dyDescent="0.25">
      <c r="R431" s="27"/>
      <c r="S431" s="27"/>
      <c r="T431" s="26"/>
      <c r="U431" s="27"/>
    </row>
    <row r="432" spans="18:21" x14ac:dyDescent="0.25">
      <c r="R432" s="27"/>
      <c r="S432" s="27"/>
      <c r="T432" s="26"/>
      <c r="U432" s="27"/>
    </row>
    <row r="433" spans="18:21" x14ac:dyDescent="0.25">
      <c r="R433" s="27"/>
      <c r="S433" s="27"/>
      <c r="T433" s="26"/>
      <c r="U433" s="27"/>
    </row>
    <row r="434" spans="18:21" x14ac:dyDescent="0.25">
      <c r="R434" s="27"/>
      <c r="S434" s="27"/>
      <c r="T434" s="26"/>
      <c r="U434" s="27"/>
    </row>
    <row r="435" spans="18:21" x14ac:dyDescent="0.25">
      <c r="R435" s="27"/>
      <c r="S435" s="27"/>
      <c r="T435" s="26"/>
      <c r="U435" s="27"/>
    </row>
    <row r="436" spans="18:21" x14ac:dyDescent="0.25">
      <c r="R436" s="27"/>
      <c r="S436" s="27"/>
      <c r="T436" s="26"/>
      <c r="U436" s="27"/>
    </row>
    <row r="437" spans="18:21" x14ac:dyDescent="0.25">
      <c r="R437" s="27"/>
      <c r="S437" s="27"/>
      <c r="T437" s="26"/>
      <c r="U437" s="27"/>
    </row>
    <row r="438" spans="18:21" x14ac:dyDescent="0.25">
      <c r="R438" s="27"/>
      <c r="S438" s="27"/>
      <c r="T438" s="26"/>
      <c r="U438" s="27"/>
    </row>
    <row r="439" spans="18:21" x14ac:dyDescent="0.25">
      <c r="R439" s="27"/>
      <c r="S439" s="27"/>
      <c r="T439" s="26"/>
      <c r="U439" s="27"/>
    </row>
    <row r="440" spans="18:21" x14ac:dyDescent="0.25">
      <c r="R440" s="27"/>
      <c r="S440" s="27"/>
      <c r="T440" s="26"/>
      <c r="U440" s="27"/>
    </row>
    <row r="441" spans="18:21" x14ac:dyDescent="0.25">
      <c r="R441" s="27"/>
      <c r="S441" s="27"/>
      <c r="T441" s="26"/>
      <c r="U441" s="27"/>
    </row>
    <row r="442" spans="18:21" x14ac:dyDescent="0.25">
      <c r="R442" s="27"/>
      <c r="S442" s="27"/>
      <c r="T442" s="26"/>
      <c r="U442" s="27"/>
    </row>
    <row r="443" spans="18:21" x14ac:dyDescent="0.25">
      <c r="R443" s="27"/>
      <c r="S443" s="27"/>
      <c r="T443" s="26"/>
      <c r="U443" s="27"/>
    </row>
    <row r="444" spans="18:21" x14ac:dyDescent="0.25">
      <c r="R444" s="27"/>
      <c r="S444" s="27"/>
      <c r="T444" s="26"/>
      <c r="U444" s="27"/>
    </row>
    <row r="445" spans="18:21" x14ac:dyDescent="0.25">
      <c r="R445" s="27"/>
      <c r="S445" s="27"/>
      <c r="T445" s="26"/>
      <c r="U445" s="27"/>
    </row>
    <row r="446" spans="18:21" x14ac:dyDescent="0.25">
      <c r="R446" s="27"/>
      <c r="S446" s="27"/>
      <c r="T446" s="26"/>
      <c r="U446" s="27"/>
    </row>
    <row r="447" spans="18:21" x14ac:dyDescent="0.25">
      <c r="R447" s="27"/>
      <c r="S447" s="27"/>
      <c r="T447" s="26"/>
      <c r="U447" s="27"/>
    </row>
    <row r="448" spans="18:21" x14ac:dyDescent="0.25">
      <c r="R448" s="27"/>
      <c r="S448" s="27"/>
      <c r="T448" s="26"/>
      <c r="U448" s="27"/>
    </row>
    <row r="449" spans="18:21" x14ac:dyDescent="0.25">
      <c r="R449" s="27"/>
      <c r="S449" s="27"/>
      <c r="T449" s="26"/>
      <c r="U449" s="27"/>
    </row>
    <row r="450" spans="18:21" x14ac:dyDescent="0.25">
      <c r="R450" s="27"/>
      <c r="S450" s="27"/>
      <c r="T450" s="26"/>
      <c r="U450" s="27"/>
    </row>
    <row r="451" spans="18:21" x14ac:dyDescent="0.25">
      <c r="R451" s="27"/>
      <c r="S451" s="27"/>
      <c r="T451" s="26"/>
      <c r="U45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9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70</v>
      </c>
      <c r="B1" s="23" t="s">
        <v>71</v>
      </c>
      <c r="C1" s="24" t="s">
        <v>72</v>
      </c>
      <c r="D1" s="23" t="s">
        <v>73</v>
      </c>
      <c r="E1" s="23" t="s">
        <v>4</v>
      </c>
      <c r="F1" s="23" t="s">
        <v>74</v>
      </c>
      <c r="G1" s="24" t="s">
        <v>75</v>
      </c>
    </row>
    <row r="2" spans="1:7" x14ac:dyDescent="0.25">
      <c r="A2">
        <v>1</v>
      </c>
      <c r="B2" t="s">
        <v>95</v>
      </c>
      <c r="C2">
        <v>10</v>
      </c>
      <c r="D2" t="s">
        <v>90</v>
      </c>
      <c r="E2" t="s">
        <v>14</v>
      </c>
      <c r="F2">
        <v>1.88</v>
      </c>
      <c r="G2" t="s">
        <v>15</v>
      </c>
    </row>
    <row r="3" spans="1:7" x14ac:dyDescent="0.25">
      <c r="A3">
        <v>1</v>
      </c>
      <c r="B3" t="s">
        <v>95</v>
      </c>
      <c r="C3">
        <v>20</v>
      </c>
      <c r="D3" t="s">
        <v>96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95</v>
      </c>
      <c r="C4">
        <v>30</v>
      </c>
      <c r="D4" t="s">
        <v>92</v>
      </c>
      <c r="E4" t="s">
        <v>14</v>
      </c>
      <c r="F4">
        <v>12.878</v>
      </c>
      <c r="G4" t="s">
        <v>13</v>
      </c>
    </row>
    <row r="5" spans="1:7" x14ac:dyDescent="0.25">
      <c r="A5">
        <v>1</v>
      </c>
      <c r="B5" t="s">
        <v>95</v>
      </c>
      <c r="C5">
        <v>40</v>
      </c>
      <c r="D5" t="s">
        <v>93</v>
      </c>
      <c r="E5" t="s">
        <v>14</v>
      </c>
      <c r="F5">
        <v>12.878</v>
      </c>
      <c r="G5" t="s">
        <v>13</v>
      </c>
    </row>
    <row r="6" spans="1:7" x14ac:dyDescent="0.25">
      <c r="A6">
        <v>1</v>
      </c>
      <c r="B6" t="s">
        <v>95</v>
      </c>
      <c r="C6">
        <v>50</v>
      </c>
      <c r="D6" t="s">
        <v>88</v>
      </c>
      <c r="E6" t="s">
        <v>89</v>
      </c>
      <c r="F6">
        <v>79.355000000000004</v>
      </c>
      <c r="G6" t="s">
        <v>13</v>
      </c>
    </row>
    <row r="7" spans="1:7" x14ac:dyDescent="0.25">
      <c r="A7">
        <v>1</v>
      </c>
      <c r="B7" t="s">
        <v>95</v>
      </c>
      <c r="C7">
        <v>60</v>
      </c>
      <c r="D7" t="s">
        <v>91</v>
      </c>
      <c r="E7" t="s">
        <v>11</v>
      </c>
      <c r="F7">
        <v>0.503</v>
      </c>
      <c r="G7" t="s">
        <v>13</v>
      </c>
    </row>
    <row r="8" spans="1:7" x14ac:dyDescent="0.25">
      <c r="A8">
        <v>1</v>
      </c>
      <c r="B8" t="s">
        <v>95</v>
      </c>
      <c r="C8">
        <v>70</v>
      </c>
      <c r="D8" t="s">
        <v>94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95</v>
      </c>
      <c r="C9">
        <v>80</v>
      </c>
      <c r="D9" t="s">
        <v>84</v>
      </c>
      <c r="E9" t="s">
        <v>12</v>
      </c>
      <c r="F9">
        <v>1</v>
      </c>
      <c r="G9" t="s">
        <v>13</v>
      </c>
    </row>
    <row r="10" spans="1:7" x14ac:dyDescent="0.25">
      <c r="A10">
        <v>1</v>
      </c>
      <c r="B10" t="s">
        <v>95</v>
      </c>
      <c r="C10">
        <v>90</v>
      </c>
      <c r="D10" t="s">
        <v>97</v>
      </c>
      <c r="E10" t="s">
        <v>11</v>
      </c>
      <c r="F10">
        <v>1</v>
      </c>
      <c r="G10" t="s">
        <v>15</v>
      </c>
    </row>
    <row r="11" spans="1:7" x14ac:dyDescent="0.25">
      <c r="A11">
        <v>2</v>
      </c>
      <c r="B11" t="s">
        <v>98</v>
      </c>
      <c r="C11">
        <v>10</v>
      </c>
      <c r="D11" t="s">
        <v>90</v>
      </c>
      <c r="E11" t="s">
        <v>14</v>
      </c>
      <c r="F11">
        <v>1.88</v>
      </c>
      <c r="G11" t="s">
        <v>15</v>
      </c>
    </row>
    <row r="12" spans="1:7" x14ac:dyDescent="0.25">
      <c r="A12">
        <v>2</v>
      </c>
      <c r="B12" t="s">
        <v>98</v>
      </c>
      <c r="C12">
        <v>20</v>
      </c>
      <c r="D12" t="s">
        <v>99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98</v>
      </c>
      <c r="C13">
        <v>30</v>
      </c>
      <c r="D13" t="s">
        <v>92</v>
      </c>
      <c r="E13" t="s">
        <v>14</v>
      </c>
      <c r="F13">
        <v>12.878</v>
      </c>
      <c r="G13" t="s">
        <v>13</v>
      </c>
    </row>
    <row r="14" spans="1:7" x14ac:dyDescent="0.25">
      <c r="A14">
        <v>2</v>
      </c>
      <c r="B14" t="s">
        <v>98</v>
      </c>
      <c r="C14">
        <v>40</v>
      </c>
      <c r="D14" t="s">
        <v>93</v>
      </c>
      <c r="E14" t="s">
        <v>14</v>
      </c>
      <c r="F14">
        <v>12.878</v>
      </c>
      <c r="G14" t="s">
        <v>13</v>
      </c>
    </row>
    <row r="15" spans="1:7" x14ac:dyDescent="0.25">
      <c r="A15">
        <v>2</v>
      </c>
      <c r="B15" t="s">
        <v>98</v>
      </c>
      <c r="C15">
        <v>50</v>
      </c>
      <c r="D15" t="s">
        <v>88</v>
      </c>
      <c r="E15" t="s">
        <v>89</v>
      </c>
      <c r="F15">
        <v>79.355000000000004</v>
      </c>
      <c r="G15" t="s">
        <v>13</v>
      </c>
    </row>
    <row r="16" spans="1:7" x14ac:dyDescent="0.25">
      <c r="A16">
        <v>2</v>
      </c>
      <c r="B16" t="s">
        <v>98</v>
      </c>
      <c r="C16">
        <v>60</v>
      </c>
      <c r="D16" t="s">
        <v>91</v>
      </c>
      <c r="E16" t="s">
        <v>11</v>
      </c>
      <c r="F16">
        <v>0.503</v>
      </c>
      <c r="G16" t="s">
        <v>13</v>
      </c>
    </row>
    <row r="17" spans="1:7" x14ac:dyDescent="0.25">
      <c r="A17">
        <v>2</v>
      </c>
      <c r="B17" t="s">
        <v>98</v>
      </c>
      <c r="C17">
        <v>70</v>
      </c>
      <c r="D17" t="s">
        <v>94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98</v>
      </c>
      <c r="C18">
        <v>80</v>
      </c>
      <c r="D18" t="s">
        <v>84</v>
      </c>
      <c r="E18" t="s">
        <v>12</v>
      </c>
      <c r="F18">
        <v>1</v>
      </c>
      <c r="G18" t="s">
        <v>13</v>
      </c>
    </row>
    <row r="19" spans="1:7" x14ac:dyDescent="0.25">
      <c r="A19">
        <v>2</v>
      </c>
      <c r="B19" t="s">
        <v>98</v>
      </c>
      <c r="C19">
        <v>90</v>
      </c>
      <c r="D19" t="s">
        <v>100</v>
      </c>
      <c r="E19" t="s">
        <v>11</v>
      </c>
      <c r="F19">
        <v>1</v>
      </c>
      <c r="G19" t="s">
        <v>15</v>
      </c>
    </row>
    <row r="20" spans="1:7" x14ac:dyDescent="0.25">
      <c r="A20">
        <v>3</v>
      </c>
      <c r="B20" t="s">
        <v>101</v>
      </c>
      <c r="C20">
        <v>10</v>
      </c>
      <c r="D20" t="s">
        <v>90</v>
      </c>
      <c r="E20" t="s">
        <v>14</v>
      </c>
      <c r="F20">
        <v>1.88</v>
      </c>
      <c r="G20" t="s">
        <v>15</v>
      </c>
    </row>
    <row r="21" spans="1:7" x14ac:dyDescent="0.25">
      <c r="A21">
        <v>3</v>
      </c>
      <c r="B21" t="s">
        <v>101</v>
      </c>
      <c r="C21">
        <v>20</v>
      </c>
      <c r="D21" t="s">
        <v>102</v>
      </c>
      <c r="E21" t="s">
        <v>11</v>
      </c>
      <c r="F21">
        <v>1</v>
      </c>
      <c r="G21" t="s">
        <v>15</v>
      </c>
    </row>
    <row r="22" spans="1:7" x14ac:dyDescent="0.25">
      <c r="A22">
        <v>3</v>
      </c>
      <c r="B22" t="s">
        <v>101</v>
      </c>
      <c r="C22">
        <v>30</v>
      </c>
      <c r="D22" t="s">
        <v>92</v>
      </c>
      <c r="E22" t="s">
        <v>14</v>
      </c>
      <c r="F22">
        <v>12.878</v>
      </c>
      <c r="G22" t="s">
        <v>13</v>
      </c>
    </row>
    <row r="23" spans="1:7" x14ac:dyDescent="0.25">
      <c r="A23">
        <v>3</v>
      </c>
      <c r="B23" t="s">
        <v>101</v>
      </c>
      <c r="C23">
        <v>40</v>
      </c>
      <c r="D23" t="s">
        <v>93</v>
      </c>
      <c r="E23" t="s">
        <v>14</v>
      </c>
      <c r="F23">
        <v>12.878</v>
      </c>
      <c r="G23" t="s">
        <v>13</v>
      </c>
    </row>
    <row r="24" spans="1:7" x14ac:dyDescent="0.25">
      <c r="A24">
        <v>3</v>
      </c>
      <c r="B24" t="s">
        <v>101</v>
      </c>
      <c r="C24">
        <v>50</v>
      </c>
      <c r="D24" t="s">
        <v>88</v>
      </c>
      <c r="E24" t="s">
        <v>89</v>
      </c>
      <c r="F24">
        <v>79.355000000000004</v>
      </c>
      <c r="G24" t="s">
        <v>13</v>
      </c>
    </row>
    <row r="25" spans="1:7" x14ac:dyDescent="0.25">
      <c r="A25">
        <v>3</v>
      </c>
      <c r="B25" t="s">
        <v>101</v>
      </c>
      <c r="C25">
        <v>60</v>
      </c>
      <c r="D25" t="s">
        <v>91</v>
      </c>
      <c r="E25" t="s">
        <v>11</v>
      </c>
      <c r="F25">
        <v>0.503</v>
      </c>
      <c r="G25" t="s">
        <v>13</v>
      </c>
    </row>
    <row r="26" spans="1:7" x14ac:dyDescent="0.25">
      <c r="A26">
        <v>3</v>
      </c>
      <c r="B26" t="s">
        <v>101</v>
      </c>
      <c r="C26">
        <v>70</v>
      </c>
      <c r="D26" t="s">
        <v>94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101</v>
      </c>
      <c r="C27">
        <v>80</v>
      </c>
      <c r="D27" t="s">
        <v>84</v>
      </c>
      <c r="E27" t="s">
        <v>12</v>
      </c>
      <c r="F27">
        <v>1</v>
      </c>
      <c r="G27" t="s">
        <v>13</v>
      </c>
    </row>
    <row r="28" spans="1:7" x14ac:dyDescent="0.25">
      <c r="A28">
        <v>3</v>
      </c>
      <c r="B28" t="s">
        <v>101</v>
      </c>
      <c r="C28">
        <v>90</v>
      </c>
      <c r="D28" t="s">
        <v>103</v>
      </c>
      <c r="E28" t="s">
        <v>11</v>
      </c>
      <c r="F28">
        <v>1</v>
      </c>
      <c r="G28" t="s">
        <v>15</v>
      </c>
    </row>
    <row r="29" spans="1:7" x14ac:dyDescent="0.25">
      <c r="A29">
        <v>4</v>
      </c>
      <c r="B29" t="s">
        <v>104</v>
      </c>
      <c r="C29">
        <v>10</v>
      </c>
      <c r="D29" t="s">
        <v>90</v>
      </c>
      <c r="E29" t="s">
        <v>14</v>
      </c>
      <c r="F29">
        <v>2.4889999999999999</v>
      </c>
      <c r="G29" t="s">
        <v>15</v>
      </c>
    </row>
    <row r="30" spans="1:7" x14ac:dyDescent="0.25">
      <c r="A30">
        <v>4</v>
      </c>
      <c r="B30" t="s">
        <v>104</v>
      </c>
      <c r="C30">
        <v>20</v>
      </c>
      <c r="D30" t="s">
        <v>105</v>
      </c>
      <c r="E30" t="s">
        <v>11</v>
      </c>
      <c r="F30">
        <v>1</v>
      </c>
      <c r="G30" t="s">
        <v>15</v>
      </c>
    </row>
    <row r="31" spans="1:7" x14ac:dyDescent="0.25">
      <c r="A31">
        <v>4</v>
      </c>
      <c r="B31" t="s">
        <v>104</v>
      </c>
      <c r="C31">
        <v>30</v>
      </c>
      <c r="D31" t="s">
        <v>92</v>
      </c>
      <c r="E31" t="s">
        <v>14</v>
      </c>
      <c r="F31">
        <v>14.707000000000001</v>
      </c>
      <c r="G31" t="s">
        <v>13</v>
      </c>
    </row>
    <row r="32" spans="1:7" x14ac:dyDescent="0.25">
      <c r="A32">
        <v>4</v>
      </c>
      <c r="B32" t="s">
        <v>104</v>
      </c>
      <c r="C32">
        <v>40</v>
      </c>
      <c r="D32" t="s">
        <v>93</v>
      </c>
      <c r="E32" t="s">
        <v>14</v>
      </c>
      <c r="F32">
        <v>14.707000000000001</v>
      </c>
      <c r="G32" t="s">
        <v>13</v>
      </c>
    </row>
    <row r="33" spans="1:7" x14ac:dyDescent="0.25">
      <c r="A33">
        <v>4</v>
      </c>
      <c r="B33" t="s">
        <v>104</v>
      </c>
      <c r="C33">
        <v>50</v>
      </c>
      <c r="D33" t="s">
        <v>88</v>
      </c>
      <c r="E33" t="s">
        <v>89</v>
      </c>
      <c r="F33">
        <v>90.602000000000004</v>
      </c>
      <c r="G33" t="s">
        <v>13</v>
      </c>
    </row>
    <row r="34" spans="1:7" x14ac:dyDescent="0.25">
      <c r="A34">
        <v>4</v>
      </c>
      <c r="B34" t="s">
        <v>104</v>
      </c>
      <c r="C34">
        <v>60</v>
      </c>
      <c r="D34" t="s">
        <v>91</v>
      </c>
      <c r="E34" t="s">
        <v>11</v>
      </c>
      <c r="F34">
        <v>0.67600000000000005</v>
      </c>
      <c r="G34" t="s">
        <v>13</v>
      </c>
    </row>
    <row r="35" spans="1:7" x14ac:dyDescent="0.25">
      <c r="A35">
        <v>4</v>
      </c>
      <c r="B35" t="s">
        <v>104</v>
      </c>
      <c r="C35">
        <v>70</v>
      </c>
      <c r="D35" t="s">
        <v>94</v>
      </c>
      <c r="E35" t="s">
        <v>11</v>
      </c>
      <c r="F35">
        <v>1</v>
      </c>
      <c r="G35" t="s">
        <v>13</v>
      </c>
    </row>
    <row r="36" spans="1:7" x14ac:dyDescent="0.25">
      <c r="A36">
        <v>4</v>
      </c>
      <c r="B36" t="s">
        <v>104</v>
      </c>
      <c r="C36">
        <v>80</v>
      </c>
      <c r="D36" t="s">
        <v>84</v>
      </c>
      <c r="E36" t="s">
        <v>12</v>
      </c>
      <c r="F36">
        <v>1</v>
      </c>
      <c r="G36" t="s">
        <v>13</v>
      </c>
    </row>
    <row r="37" spans="1:7" x14ac:dyDescent="0.25">
      <c r="A37">
        <v>4</v>
      </c>
      <c r="B37" t="s">
        <v>104</v>
      </c>
      <c r="C37">
        <v>90</v>
      </c>
      <c r="D37" t="s">
        <v>106</v>
      </c>
      <c r="E37" t="s">
        <v>11</v>
      </c>
      <c r="F37">
        <v>1</v>
      </c>
      <c r="G37" t="s">
        <v>15</v>
      </c>
    </row>
    <row r="38" spans="1:7" x14ac:dyDescent="0.25">
      <c r="A38">
        <v>5</v>
      </c>
      <c r="B38" t="s">
        <v>107</v>
      </c>
      <c r="C38">
        <v>10</v>
      </c>
      <c r="D38" t="s">
        <v>90</v>
      </c>
      <c r="E38" t="s">
        <v>14</v>
      </c>
      <c r="F38">
        <v>2.4889999999999999</v>
      </c>
      <c r="G38" t="s">
        <v>15</v>
      </c>
    </row>
    <row r="39" spans="1:7" x14ac:dyDescent="0.25">
      <c r="A39">
        <v>5</v>
      </c>
      <c r="B39" t="s">
        <v>107</v>
      </c>
      <c r="C39">
        <v>20</v>
      </c>
      <c r="D39" t="s">
        <v>108</v>
      </c>
      <c r="E39" t="s">
        <v>11</v>
      </c>
      <c r="F39">
        <v>1</v>
      </c>
      <c r="G39" t="s">
        <v>15</v>
      </c>
    </row>
    <row r="40" spans="1:7" x14ac:dyDescent="0.25">
      <c r="A40">
        <v>5</v>
      </c>
      <c r="B40" t="s">
        <v>107</v>
      </c>
      <c r="C40">
        <v>30</v>
      </c>
      <c r="D40" t="s">
        <v>92</v>
      </c>
      <c r="E40" t="s">
        <v>14</v>
      </c>
      <c r="F40">
        <v>14.707000000000001</v>
      </c>
      <c r="G40" t="s">
        <v>13</v>
      </c>
    </row>
    <row r="41" spans="1:7" x14ac:dyDescent="0.25">
      <c r="A41">
        <v>5</v>
      </c>
      <c r="B41" t="s">
        <v>107</v>
      </c>
      <c r="C41">
        <v>40</v>
      </c>
      <c r="D41" t="s">
        <v>93</v>
      </c>
      <c r="E41" t="s">
        <v>14</v>
      </c>
      <c r="F41">
        <v>14.707000000000001</v>
      </c>
      <c r="G41" t="s">
        <v>13</v>
      </c>
    </row>
    <row r="42" spans="1:7" x14ac:dyDescent="0.25">
      <c r="A42">
        <v>5</v>
      </c>
      <c r="B42" t="s">
        <v>107</v>
      </c>
      <c r="C42">
        <v>50</v>
      </c>
      <c r="D42" t="s">
        <v>88</v>
      </c>
      <c r="E42" t="s">
        <v>89</v>
      </c>
      <c r="F42">
        <v>90.602000000000004</v>
      </c>
      <c r="G42" t="s">
        <v>13</v>
      </c>
    </row>
    <row r="43" spans="1:7" x14ac:dyDescent="0.25">
      <c r="A43">
        <v>5</v>
      </c>
      <c r="B43" t="s">
        <v>107</v>
      </c>
      <c r="C43">
        <v>60</v>
      </c>
      <c r="D43" t="s">
        <v>91</v>
      </c>
      <c r="E43" t="s">
        <v>11</v>
      </c>
      <c r="F43">
        <v>0.67600000000000005</v>
      </c>
      <c r="G43" t="s">
        <v>13</v>
      </c>
    </row>
    <row r="44" spans="1:7" x14ac:dyDescent="0.25">
      <c r="A44">
        <v>5</v>
      </c>
      <c r="B44" t="s">
        <v>107</v>
      </c>
      <c r="C44">
        <v>70</v>
      </c>
      <c r="D44" t="s">
        <v>94</v>
      </c>
      <c r="E44" t="s">
        <v>11</v>
      </c>
      <c r="F44">
        <v>1</v>
      </c>
      <c r="G44" t="s">
        <v>13</v>
      </c>
    </row>
    <row r="45" spans="1:7" x14ac:dyDescent="0.25">
      <c r="A45">
        <v>5</v>
      </c>
      <c r="B45" t="s">
        <v>107</v>
      </c>
      <c r="C45">
        <v>80</v>
      </c>
      <c r="D45" t="s">
        <v>84</v>
      </c>
      <c r="E45" t="s">
        <v>12</v>
      </c>
      <c r="F45">
        <v>1</v>
      </c>
      <c r="G45" t="s">
        <v>13</v>
      </c>
    </row>
    <row r="46" spans="1:7" x14ac:dyDescent="0.25">
      <c r="A46">
        <v>5</v>
      </c>
      <c r="B46" t="s">
        <v>107</v>
      </c>
      <c r="C46">
        <v>90</v>
      </c>
      <c r="D46" t="s">
        <v>109</v>
      </c>
      <c r="E46" t="s">
        <v>11</v>
      </c>
      <c r="F46">
        <v>1</v>
      </c>
      <c r="G46" t="s">
        <v>15</v>
      </c>
    </row>
    <row r="47" spans="1:7" x14ac:dyDescent="0.25">
      <c r="A47">
        <v>6</v>
      </c>
      <c r="B47" t="s">
        <v>110</v>
      </c>
      <c r="C47">
        <v>10</v>
      </c>
      <c r="D47" t="s">
        <v>90</v>
      </c>
      <c r="E47" t="s">
        <v>14</v>
      </c>
      <c r="F47">
        <v>2.4889999999999999</v>
      </c>
      <c r="G47" t="s">
        <v>15</v>
      </c>
    </row>
    <row r="48" spans="1:7" x14ac:dyDescent="0.25">
      <c r="A48">
        <v>6</v>
      </c>
      <c r="B48" t="s">
        <v>110</v>
      </c>
      <c r="C48">
        <v>20</v>
      </c>
      <c r="D48" t="s">
        <v>111</v>
      </c>
      <c r="E48" t="s">
        <v>11</v>
      </c>
      <c r="F48">
        <v>1</v>
      </c>
      <c r="G48" t="s">
        <v>15</v>
      </c>
    </row>
    <row r="49" spans="1:7" x14ac:dyDescent="0.25">
      <c r="A49">
        <v>6</v>
      </c>
      <c r="B49" t="s">
        <v>110</v>
      </c>
      <c r="C49">
        <v>30</v>
      </c>
      <c r="D49" t="s">
        <v>92</v>
      </c>
      <c r="E49" t="s">
        <v>14</v>
      </c>
      <c r="F49">
        <v>14.707000000000001</v>
      </c>
      <c r="G49" t="s">
        <v>13</v>
      </c>
    </row>
    <row r="50" spans="1:7" x14ac:dyDescent="0.25">
      <c r="A50">
        <v>6</v>
      </c>
      <c r="B50" t="s">
        <v>110</v>
      </c>
      <c r="C50">
        <v>40</v>
      </c>
      <c r="D50" t="s">
        <v>93</v>
      </c>
      <c r="E50" t="s">
        <v>14</v>
      </c>
      <c r="F50">
        <v>14.707000000000001</v>
      </c>
      <c r="G50" t="s">
        <v>13</v>
      </c>
    </row>
    <row r="51" spans="1:7" x14ac:dyDescent="0.25">
      <c r="A51">
        <v>6</v>
      </c>
      <c r="B51" t="s">
        <v>110</v>
      </c>
      <c r="C51">
        <v>50</v>
      </c>
      <c r="D51" t="s">
        <v>88</v>
      </c>
      <c r="E51" t="s">
        <v>89</v>
      </c>
      <c r="F51">
        <v>90.602000000000004</v>
      </c>
      <c r="G51" t="s">
        <v>13</v>
      </c>
    </row>
    <row r="52" spans="1:7" x14ac:dyDescent="0.25">
      <c r="A52">
        <v>6</v>
      </c>
      <c r="B52" t="s">
        <v>110</v>
      </c>
      <c r="C52">
        <v>60</v>
      </c>
      <c r="D52" t="s">
        <v>91</v>
      </c>
      <c r="E52" t="s">
        <v>11</v>
      </c>
      <c r="F52">
        <v>0.67600000000000005</v>
      </c>
      <c r="G52" t="s">
        <v>13</v>
      </c>
    </row>
    <row r="53" spans="1:7" x14ac:dyDescent="0.25">
      <c r="A53">
        <v>6</v>
      </c>
      <c r="B53" t="s">
        <v>110</v>
      </c>
      <c r="C53">
        <v>70</v>
      </c>
      <c r="D53" t="s">
        <v>94</v>
      </c>
      <c r="E53" t="s">
        <v>11</v>
      </c>
      <c r="F53">
        <v>1</v>
      </c>
      <c r="G53" t="s">
        <v>13</v>
      </c>
    </row>
    <row r="54" spans="1:7" x14ac:dyDescent="0.25">
      <c r="A54">
        <v>6</v>
      </c>
      <c r="B54" t="s">
        <v>110</v>
      </c>
      <c r="C54">
        <v>80</v>
      </c>
      <c r="D54" t="s">
        <v>84</v>
      </c>
      <c r="E54" t="s">
        <v>12</v>
      </c>
      <c r="F54">
        <v>1</v>
      </c>
      <c r="G54" t="s">
        <v>13</v>
      </c>
    </row>
    <row r="55" spans="1:7" x14ac:dyDescent="0.25">
      <c r="A55">
        <v>6</v>
      </c>
      <c r="B55" t="s">
        <v>110</v>
      </c>
      <c r="C55">
        <v>90</v>
      </c>
      <c r="D55" t="s">
        <v>112</v>
      </c>
      <c r="E55" t="s">
        <v>11</v>
      </c>
      <c r="F55">
        <v>1</v>
      </c>
      <c r="G55" t="s">
        <v>15</v>
      </c>
    </row>
    <row r="56" spans="1:7" x14ac:dyDescent="0.25">
      <c r="A56">
        <v>7</v>
      </c>
      <c r="B56" t="s">
        <v>113</v>
      </c>
      <c r="C56">
        <v>10</v>
      </c>
      <c r="D56" t="s">
        <v>90</v>
      </c>
      <c r="E56" t="s">
        <v>14</v>
      </c>
      <c r="F56">
        <v>1.88</v>
      </c>
      <c r="G56" t="s">
        <v>15</v>
      </c>
    </row>
    <row r="57" spans="1:7" x14ac:dyDescent="0.25">
      <c r="A57">
        <v>7</v>
      </c>
      <c r="B57" t="s">
        <v>113</v>
      </c>
      <c r="C57">
        <v>20</v>
      </c>
      <c r="D57" t="s">
        <v>114</v>
      </c>
      <c r="E57" t="s">
        <v>11</v>
      </c>
      <c r="F57">
        <v>1</v>
      </c>
      <c r="G57" t="s">
        <v>15</v>
      </c>
    </row>
    <row r="58" spans="1:7" x14ac:dyDescent="0.25">
      <c r="A58">
        <v>7</v>
      </c>
      <c r="B58" t="s">
        <v>113</v>
      </c>
      <c r="C58">
        <v>30</v>
      </c>
      <c r="D58" t="s">
        <v>92</v>
      </c>
      <c r="E58" t="s">
        <v>14</v>
      </c>
      <c r="F58">
        <v>13.183</v>
      </c>
      <c r="G58" t="s">
        <v>13</v>
      </c>
    </row>
    <row r="59" spans="1:7" x14ac:dyDescent="0.25">
      <c r="A59">
        <v>7</v>
      </c>
      <c r="B59" t="s">
        <v>113</v>
      </c>
      <c r="C59">
        <v>40</v>
      </c>
      <c r="D59" t="s">
        <v>93</v>
      </c>
      <c r="E59" t="s">
        <v>14</v>
      </c>
      <c r="F59">
        <v>13.183</v>
      </c>
      <c r="G59" t="s">
        <v>13</v>
      </c>
    </row>
    <row r="60" spans="1:7" x14ac:dyDescent="0.25">
      <c r="A60">
        <v>7</v>
      </c>
      <c r="B60" t="s">
        <v>113</v>
      </c>
      <c r="C60">
        <v>50</v>
      </c>
      <c r="D60" t="s">
        <v>88</v>
      </c>
      <c r="E60" t="s">
        <v>89</v>
      </c>
      <c r="F60">
        <v>81.228999999999999</v>
      </c>
      <c r="G60" t="s">
        <v>13</v>
      </c>
    </row>
    <row r="61" spans="1:7" x14ac:dyDescent="0.25">
      <c r="A61">
        <v>7</v>
      </c>
      <c r="B61" t="s">
        <v>113</v>
      </c>
      <c r="C61">
        <v>60</v>
      </c>
      <c r="D61" t="s">
        <v>91</v>
      </c>
      <c r="E61" t="s">
        <v>11</v>
      </c>
      <c r="F61">
        <v>0.52400000000000002</v>
      </c>
      <c r="G61" t="s">
        <v>13</v>
      </c>
    </row>
    <row r="62" spans="1:7" x14ac:dyDescent="0.25">
      <c r="A62">
        <v>7</v>
      </c>
      <c r="B62" t="s">
        <v>113</v>
      </c>
      <c r="C62">
        <v>70</v>
      </c>
      <c r="D62" t="s">
        <v>94</v>
      </c>
      <c r="E62" t="s">
        <v>11</v>
      </c>
      <c r="F62">
        <v>1</v>
      </c>
      <c r="G62" t="s">
        <v>13</v>
      </c>
    </row>
    <row r="63" spans="1:7" x14ac:dyDescent="0.25">
      <c r="A63">
        <v>7</v>
      </c>
      <c r="B63" t="s">
        <v>113</v>
      </c>
      <c r="C63">
        <v>80</v>
      </c>
      <c r="D63" t="s">
        <v>84</v>
      </c>
      <c r="E63" t="s">
        <v>12</v>
      </c>
      <c r="F63">
        <v>1</v>
      </c>
      <c r="G63" t="s">
        <v>13</v>
      </c>
    </row>
    <row r="64" spans="1:7" x14ac:dyDescent="0.25">
      <c r="A64">
        <v>7</v>
      </c>
      <c r="B64" t="s">
        <v>113</v>
      </c>
      <c r="C64">
        <v>90</v>
      </c>
      <c r="D64" t="s">
        <v>115</v>
      </c>
      <c r="E64" t="s">
        <v>11</v>
      </c>
      <c r="F64">
        <v>1</v>
      </c>
      <c r="G64" t="s">
        <v>15</v>
      </c>
    </row>
    <row r="65" spans="1:7" x14ac:dyDescent="0.25">
      <c r="A65">
        <v>8</v>
      </c>
      <c r="B65" t="s">
        <v>116</v>
      </c>
      <c r="C65">
        <v>10</v>
      </c>
      <c r="D65" t="s">
        <v>90</v>
      </c>
      <c r="E65" t="s">
        <v>14</v>
      </c>
      <c r="F65">
        <v>1.88</v>
      </c>
      <c r="G65" t="s">
        <v>15</v>
      </c>
    </row>
    <row r="66" spans="1:7" x14ac:dyDescent="0.25">
      <c r="A66">
        <v>8</v>
      </c>
      <c r="B66" t="s">
        <v>116</v>
      </c>
      <c r="C66">
        <v>20</v>
      </c>
      <c r="D66" t="s">
        <v>117</v>
      </c>
      <c r="E66" t="s">
        <v>11</v>
      </c>
      <c r="F66">
        <v>1</v>
      </c>
      <c r="G66" t="s">
        <v>15</v>
      </c>
    </row>
    <row r="67" spans="1:7" x14ac:dyDescent="0.25">
      <c r="A67">
        <v>8</v>
      </c>
      <c r="B67" t="s">
        <v>116</v>
      </c>
      <c r="C67">
        <v>30</v>
      </c>
      <c r="D67" t="s">
        <v>92</v>
      </c>
      <c r="E67" t="s">
        <v>14</v>
      </c>
      <c r="F67">
        <v>13.183</v>
      </c>
      <c r="G67" t="s">
        <v>13</v>
      </c>
    </row>
    <row r="68" spans="1:7" x14ac:dyDescent="0.25">
      <c r="A68">
        <v>8</v>
      </c>
      <c r="B68" t="s">
        <v>116</v>
      </c>
      <c r="C68">
        <v>40</v>
      </c>
      <c r="D68" t="s">
        <v>93</v>
      </c>
      <c r="E68" t="s">
        <v>14</v>
      </c>
      <c r="F68">
        <v>13.183</v>
      </c>
      <c r="G68" t="s">
        <v>13</v>
      </c>
    </row>
    <row r="69" spans="1:7" x14ac:dyDescent="0.25">
      <c r="A69">
        <v>8</v>
      </c>
      <c r="B69" t="s">
        <v>116</v>
      </c>
      <c r="C69">
        <v>50</v>
      </c>
      <c r="D69" t="s">
        <v>88</v>
      </c>
      <c r="E69" t="s">
        <v>89</v>
      </c>
      <c r="F69">
        <v>81.228999999999999</v>
      </c>
      <c r="G69" t="s">
        <v>13</v>
      </c>
    </row>
    <row r="70" spans="1:7" x14ac:dyDescent="0.25">
      <c r="A70">
        <v>8</v>
      </c>
      <c r="B70" t="s">
        <v>116</v>
      </c>
      <c r="C70">
        <v>60</v>
      </c>
      <c r="D70" t="s">
        <v>91</v>
      </c>
      <c r="E70" t="s">
        <v>11</v>
      </c>
      <c r="F70">
        <v>0.52400000000000002</v>
      </c>
      <c r="G70" t="s">
        <v>13</v>
      </c>
    </row>
    <row r="71" spans="1:7" x14ac:dyDescent="0.25">
      <c r="A71">
        <v>8</v>
      </c>
      <c r="B71" t="s">
        <v>116</v>
      </c>
      <c r="C71">
        <v>70</v>
      </c>
      <c r="D71" t="s">
        <v>94</v>
      </c>
      <c r="E71" t="s">
        <v>11</v>
      </c>
      <c r="F71">
        <v>1</v>
      </c>
      <c r="G71" t="s">
        <v>13</v>
      </c>
    </row>
    <row r="72" spans="1:7" x14ac:dyDescent="0.25">
      <c r="A72">
        <v>8</v>
      </c>
      <c r="B72" t="s">
        <v>116</v>
      </c>
      <c r="C72">
        <v>80</v>
      </c>
      <c r="D72" t="s">
        <v>84</v>
      </c>
      <c r="E72" t="s">
        <v>12</v>
      </c>
      <c r="F72">
        <v>1</v>
      </c>
      <c r="G72" t="s">
        <v>13</v>
      </c>
    </row>
    <row r="73" spans="1:7" x14ac:dyDescent="0.25">
      <c r="A73">
        <v>8</v>
      </c>
      <c r="B73" t="s">
        <v>116</v>
      </c>
      <c r="C73">
        <v>90</v>
      </c>
      <c r="D73" t="s">
        <v>118</v>
      </c>
      <c r="E73" t="s">
        <v>11</v>
      </c>
      <c r="F73">
        <v>1</v>
      </c>
      <c r="G73" t="s">
        <v>15</v>
      </c>
    </row>
    <row r="74" spans="1:7" x14ac:dyDescent="0.25">
      <c r="A74">
        <v>9</v>
      </c>
      <c r="B74" t="s">
        <v>119</v>
      </c>
      <c r="C74">
        <v>10</v>
      </c>
      <c r="D74" t="s">
        <v>90</v>
      </c>
      <c r="E74" t="s">
        <v>14</v>
      </c>
      <c r="F74">
        <v>1.88</v>
      </c>
      <c r="G74" t="s">
        <v>15</v>
      </c>
    </row>
    <row r="75" spans="1:7" x14ac:dyDescent="0.25">
      <c r="A75">
        <v>9</v>
      </c>
      <c r="B75" t="s">
        <v>119</v>
      </c>
      <c r="C75">
        <v>20</v>
      </c>
      <c r="D75" t="s">
        <v>120</v>
      </c>
      <c r="E75" t="s">
        <v>11</v>
      </c>
      <c r="F75">
        <v>1</v>
      </c>
      <c r="G75" t="s">
        <v>15</v>
      </c>
    </row>
    <row r="76" spans="1:7" x14ac:dyDescent="0.25">
      <c r="A76">
        <v>9</v>
      </c>
      <c r="B76" t="s">
        <v>119</v>
      </c>
      <c r="C76">
        <v>30</v>
      </c>
      <c r="D76" t="s">
        <v>92</v>
      </c>
      <c r="E76" t="s">
        <v>14</v>
      </c>
      <c r="F76">
        <v>13.183</v>
      </c>
      <c r="G76" t="s">
        <v>13</v>
      </c>
    </row>
    <row r="77" spans="1:7" x14ac:dyDescent="0.25">
      <c r="A77">
        <v>9</v>
      </c>
      <c r="B77" t="s">
        <v>119</v>
      </c>
      <c r="C77">
        <v>40</v>
      </c>
      <c r="D77" t="s">
        <v>93</v>
      </c>
      <c r="E77" t="s">
        <v>14</v>
      </c>
      <c r="F77">
        <v>13.183</v>
      </c>
      <c r="G77" t="s">
        <v>13</v>
      </c>
    </row>
    <row r="78" spans="1:7" x14ac:dyDescent="0.25">
      <c r="A78">
        <v>9</v>
      </c>
      <c r="B78" t="s">
        <v>119</v>
      </c>
      <c r="C78">
        <v>50</v>
      </c>
      <c r="D78" t="s">
        <v>88</v>
      </c>
      <c r="E78" t="s">
        <v>89</v>
      </c>
      <c r="F78">
        <v>81.228999999999999</v>
      </c>
      <c r="G78" t="s">
        <v>13</v>
      </c>
    </row>
    <row r="79" spans="1:7" x14ac:dyDescent="0.25">
      <c r="A79">
        <v>9</v>
      </c>
      <c r="B79" t="s">
        <v>119</v>
      </c>
      <c r="C79">
        <v>60</v>
      </c>
      <c r="D79" t="s">
        <v>91</v>
      </c>
      <c r="E79" t="s">
        <v>11</v>
      </c>
      <c r="F79">
        <v>0.52400000000000002</v>
      </c>
      <c r="G79" t="s">
        <v>13</v>
      </c>
    </row>
    <row r="80" spans="1:7" x14ac:dyDescent="0.25">
      <c r="A80">
        <v>9</v>
      </c>
      <c r="B80" t="s">
        <v>119</v>
      </c>
      <c r="C80">
        <v>70</v>
      </c>
      <c r="D80" t="s">
        <v>94</v>
      </c>
      <c r="E80" t="s">
        <v>11</v>
      </c>
      <c r="F80">
        <v>1</v>
      </c>
      <c r="G80" t="s">
        <v>13</v>
      </c>
    </row>
    <row r="81" spans="1:7" x14ac:dyDescent="0.25">
      <c r="A81">
        <v>9</v>
      </c>
      <c r="B81" t="s">
        <v>119</v>
      </c>
      <c r="C81">
        <v>80</v>
      </c>
      <c r="D81" t="s">
        <v>84</v>
      </c>
      <c r="E81" t="s">
        <v>12</v>
      </c>
      <c r="F81">
        <v>1</v>
      </c>
      <c r="G81" t="s">
        <v>13</v>
      </c>
    </row>
    <row r="82" spans="1:7" x14ac:dyDescent="0.25">
      <c r="A82">
        <v>9</v>
      </c>
      <c r="B82" t="s">
        <v>119</v>
      </c>
      <c r="C82">
        <v>90</v>
      </c>
      <c r="D82" t="s">
        <v>121</v>
      </c>
      <c r="E82" t="s">
        <v>11</v>
      </c>
      <c r="F82">
        <v>1</v>
      </c>
      <c r="G82" t="s">
        <v>15</v>
      </c>
    </row>
    <row r="83" spans="1:7" x14ac:dyDescent="0.25">
      <c r="A83">
        <v>10</v>
      </c>
      <c r="B83" t="s">
        <v>122</v>
      </c>
      <c r="C83">
        <v>10</v>
      </c>
      <c r="D83" t="s">
        <v>90</v>
      </c>
      <c r="E83" t="s">
        <v>14</v>
      </c>
      <c r="F83">
        <v>2.4889999999999999</v>
      </c>
      <c r="G83" t="s">
        <v>15</v>
      </c>
    </row>
    <row r="84" spans="1:7" x14ac:dyDescent="0.25">
      <c r="A84">
        <v>10</v>
      </c>
      <c r="B84" t="s">
        <v>122</v>
      </c>
      <c r="C84">
        <v>20</v>
      </c>
      <c r="D84" t="s">
        <v>123</v>
      </c>
      <c r="E84" t="s">
        <v>11</v>
      </c>
      <c r="F84">
        <v>1</v>
      </c>
      <c r="G84" t="s">
        <v>15</v>
      </c>
    </row>
    <row r="85" spans="1:7" x14ac:dyDescent="0.25">
      <c r="A85">
        <v>10</v>
      </c>
      <c r="B85" t="s">
        <v>122</v>
      </c>
      <c r="C85">
        <v>30</v>
      </c>
      <c r="D85" t="s">
        <v>92</v>
      </c>
      <c r="E85" t="s">
        <v>14</v>
      </c>
      <c r="F85">
        <v>15.010999999999999</v>
      </c>
      <c r="G85" t="s">
        <v>13</v>
      </c>
    </row>
    <row r="86" spans="1:7" x14ac:dyDescent="0.25">
      <c r="A86">
        <v>10</v>
      </c>
      <c r="B86" t="s">
        <v>122</v>
      </c>
      <c r="C86">
        <v>40</v>
      </c>
      <c r="D86" t="s">
        <v>93</v>
      </c>
      <c r="E86" t="s">
        <v>14</v>
      </c>
      <c r="F86">
        <v>15.010999999999999</v>
      </c>
      <c r="G86" t="s">
        <v>13</v>
      </c>
    </row>
    <row r="87" spans="1:7" x14ac:dyDescent="0.25">
      <c r="A87">
        <v>10</v>
      </c>
      <c r="B87" t="s">
        <v>122</v>
      </c>
      <c r="C87">
        <v>50</v>
      </c>
      <c r="D87" t="s">
        <v>88</v>
      </c>
      <c r="E87" t="s">
        <v>89</v>
      </c>
      <c r="F87">
        <v>92.475999999999999</v>
      </c>
      <c r="G87" t="s">
        <v>13</v>
      </c>
    </row>
    <row r="88" spans="1:7" x14ac:dyDescent="0.25">
      <c r="A88">
        <v>10</v>
      </c>
      <c r="B88" t="s">
        <v>122</v>
      </c>
      <c r="C88">
        <v>60</v>
      </c>
      <c r="D88" t="s">
        <v>91</v>
      </c>
      <c r="E88" t="s">
        <v>11</v>
      </c>
      <c r="F88">
        <v>0.70399999999999996</v>
      </c>
      <c r="G88" t="s">
        <v>13</v>
      </c>
    </row>
    <row r="89" spans="1:7" x14ac:dyDescent="0.25">
      <c r="A89">
        <v>10</v>
      </c>
      <c r="B89" t="s">
        <v>122</v>
      </c>
      <c r="C89">
        <v>70</v>
      </c>
      <c r="D89" t="s">
        <v>94</v>
      </c>
      <c r="E89" t="s">
        <v>11</v>
      </c>
      <c r="F89">
        <v>1</v>
      </c>
      <c r="G89" t="s">
        <v>13</v>
      </c>
    </row>
    <row r="90" spans="1:7" x14ac:dyDescent="0.25">
      <c r="A90">
        <v>10</v>
      </c>
      <c r="B90" t="s">
        <v>122</v>
      </c>
      <c r="C90">
        <v>80</v>
      </c>
      <c r="D90" t="s">
        <v>84</v>
      </c>
      <c r="E90" t="s">
        <v>12</v>
      </c>
      <c r="F90">
        <v>1</v>
      </c>
      <c r="G90" t="s">
        <v>13</v>
      </c>
    </row>
    <row r="91" spans="1:7" x14ac:dyDescent="0.25">
      <c r="A91">
        <v>10</v>
      </c>
      <c r="B91" t="s">
        <v>122</v>
      </c>
      <c r="C91">
        <v>90</v>
      </c>
      <c r="D91" t="s">
        <v>124</v>
      </c>
      <c r="E91" t="s">
        <v>11</v>
      </c>
      <c r="F91">
        <v>1</v>
      </c>
      <c r="G91" t="s">
        <v>15</v>
      </c>
    </row>
    <row r="92" spans="1:7" x14ac:dyDescent="0.25">
      <c r="A92">
        <v>11</v>
      </c>
      <c r="B92" t="s">
        <v>125</v>
      </c>
      <c r="C92">
        <v>10</v>
      </c>
      <c r="D92" t="s">
        <v>90</v>
      </c>
      <c r="E92" t="s">
        <v>14</v>
      </c>
      <c r="F92">
        <v>2.4889999999999999</v>
      </c>
      <c r="G92" t="s">
        <v>15</v>
      </c>
    </row>
    <row r="93" spans="1:7" x14ac:dyDescent="0.25">
      <c r="A93">
        <v>11</v>
      </c>
      <c r="B93" t="s">
        <v>125</v>
      </c>
      <c r="C93">
        <v>20</v>
      </c>
      <c r="D93" t="s">
        <v>126</v>
      </c>
      <c r="E93" t="s">
        <v>11</v>
      </c>
      <c r="F93">
        <v>1</v>
      </c>
      <c r="G93" t="s">
        <v>15</v>
      </c>
    </row>
    <row r="94" spans="1:7" x14ac:dyDescent="0.25">
      <c r="A94">
        <v>11</v>
      </c>
      <c r="B94" t="s">
        <v>125</v>
      </c>
      <c r="C94">
        <v>30</v>
      </c>
      <c r="D94" t="s">
        <v>92</v>
      </c>
      <c r="E94" t="s">
        <v>14</v>
      </c>
      <c r="F94">
        <v>15.010999999999999</v>
      </c>
      <c r="G94" t="s">
        <v>13</v>
      </c>
    </row>
    <row r="95" spans="1:7" x14ac:dyDescent="0.25">
      <c r="A95">
        <v>11</v>
      </c>
      <c r="B95" t="s">
        <v>125</v>
      </c>
      <c r="C95">
        <v>40</v>
      </c>
      <c r="D95" t="s">
        <v>93</v>
      </c>
      <c r="E95" t="s">
        <v>14</v>
      </c>
      <c r="F95">
        <v>15.010999999999999</v>
      </c>
      <c r="G95" t="s">
        <v>13</v>
      </c>
    </row>
    <row r="96" spans="1:7" x14ac:dyDescent="0.25">
      <c r="A96">
        <v>11</v>
      </c>
      <c r="B96" t="s">
        <v>125</v>
      </c>
      <c r="C96">
        <v>50</v>
      </c>
      <c r="D96" t="s">
        <v>88</v>
      </c>
      <c r="E96" t="s">
        <v>89</v>
      </c>
      <c r="F96">
        <v>92.475999999999999</v>
      </c>
      <c r="G96" t="s">
        <v>13</v>
      </c>
    </row>
    <row r="97" spans="1:7" x14ac:dyDescent="0.25">
      <c r="A97">
        <v>11</v>
      </c>
      <c r="B97" t="s">
        <v>125</v>
      </c>
      <c r="C97">
        <v>60</v>
      </c>
      <c r="D97" t="s">
        <v>91</v>
      </c>
      <c r="E97" t="s">
        <v>11</v>
      </c>
      <c r="F97">
        <v>0.70399999999999996</v>
      </c>
      <c r="G97" t="s">
        <v>13</v>
      </c>
    </row>
    <row r="98" spans="1:7" x14ac:dyDescent="0.25">
      <c r="A98">
        <v>11</v>
      </c>
      <c r="B98" t="s">
        <v>125</v>
      </c>
      <c r="C98">
        <v>70</v>
      </c>
      <c r="D98" t="s">
        <v>94</v>
      </c>
      <c r="E98" t="s">
        <v>11</v>
      </c>
      <c r="F98">
        <v>1</v>
      </c>
      <c r="G98" t="s">
        <v>13</v>
      </c>
    </row>
    <row r="99" spans="1:7" x14ac:dyDescent="0.25">
      <c r="A99">
        <v>11</v>
      </c>
      <c r="B99" t="s">
        <v>125</v>
      </c>
      <c r="C99">
        <v>80</v>
      </c>
      <c r="D99" t="s">
        <v>84</v>
      </c>
      <c r="E99" t="s">
        <v>12</v>
      </c>
      <c r="F99">
        <v>1</v>
      </c>
      <c r="G99" t="s">
        <v>13</v>
      </c>
    </row>
    <row r="100" spans="1:7" x14ac:dyDescent="0.25">
      <c r="A100">
        <v>11</v>
      </c>
      <c r="B100" t="s">
        <v>125</v>
      </c>
      <c r="C100">
        <v>90</v>
      </c>
      <c r="D100" t="s">
        <v>127</v>
      </c>
      <c r="E100" t="s">
        <v>11</v>
      </c>
      <c r="F100">
        <v>1</v>
      </c>
      <c r="G100" t="s">
        <v>15</v>
      </c>
    </row>
    <row r="101" spans="1:7" x14ac:dyDescent="0.25">
      <c r="A101">
        <v>12</v>
      </c>
      <c r="B101" t="s">
        <v>128</v>
      </c>
      <c r="C101">
        <v>10</v>
      </c>
      <c r="D101" t="s">
        <v>90</v>
      </c>
      <c r="E101" t="s">
        <v>14</v>
      </c>
      <c r="F101">
        <v>2.4889999999999999</v>
      </c>
      <c r="G101" t="s">
        <v>15</v>
      </c>
    </row>
    <row r="102" spans="1:7" x14ac:dyDescent="0.25">
      <c r="A102">
        <v>12</v>
      </c>
      <c r="B102" t="s">
        <v>128</v>
      </c>
      <c r="C102">
        <v>20</v>
      </c>
      <c r="D102" t="s">
        <v>129</v>
      </c>
      <c r="E102" t="s">
        <v>11</v>
      </c>
      <c r="F102">
        <v>1</v>
      </c>
      <c r="G102" t="s">
        <v>15</v>
      </c>
    </row>
    <row r="103" spans="1:7" x14ac:dyDescent="0.25">
      <c r="A103">
        <v>12</v>
      </c>
      <c r="B103" t="s">
        <v>128</v>
      </c>
      <c r="C103">
        <v>30</v>
      </c>
      <c r="D103" t="s">
        <v>92</v>
      </c>
      <c r="E103" t="s">
        <v>14</v>
      </c>
      <c r="F103">
        <v>15.010999999999999</v>
      </c>
      <c r="G103" t="s">
        <v>13</v>
      </c>
    </row>
    <row r="104" spans="1:7" x14ac:dyDescent="0.25">
      <c r="A104">
        <v>12</v>
      </c>
      <c r="B104" t="s">
        <v>128</v>
      </c>
      <c r="C104">
        <v>40</v>
      </c>
      <c r="D104" t="s">
        <v>93</v>
      </c>
      <c r="E104" t="s">
        <v>14</v>
      </c>
      <c r="F104">
        <v>15.010999999999999</v>
      </c>
      <c r="G104" t="s">
        <v>13</v>
      </c>
    </row>
    <row r="105" spans="1:7" x14ac:dyDescent="0.25">
      <c r="A105">
        <v>12</v>
      </c>
      <c r="B105" t="s">
        <v>128</v>
      </c>
      <c r="C105">
        <v>50</v>
      </c>
      <c r="D105" t="s">
        <v>88</v>
      </c>
      <c r="E105" t="s">
        <v>89</v>
      </c>
      <c r="F105">
        <v>92.475999999999999</v>
      </c>
      <c r="G105" t="s">
        <v>13</v>
      </c>
    </row>
    <row r="106" spans="1:7" x14ac:dyDescent="0.25">
      <c r="A106">
        <v>12</v>
      </c>
      <c r="B106" t="s">
        <v>128</v>
      </c>
      <c r="C106">
        <v>60</v>
      </c>
      <c r="D106" t="s">
        <v>91</v>
      </c>
      <c r="E106" t="s">
        <v>11</v>
      </c>
      <c r="F106">
        <v>0.70399999999999996</v>
      </c>
      <c r="G106" t="s">
        <v>13</v>
      </c>
    </row>
    <row r="107" spans="1:7" x14ac:dyDescent="0.25">
      <c r="A107">
        <v>12</v>
      </c>
      <c r="B107" t="s">
        <v>128</v>
      </c>
      <c r="C107">
        <v>70</v>
      </c>
      <c r="D107" t="s">
        <v>94</v>
      </c>
      <c r="E107" t="s">
        <v>11</v>
      </c>
      <c r="F107">
        <v>1</v>
      </c>
      <c r="G107" t="s">
        <v>13</v>
      </c>
    </row>
    <row r="108" spans="1:7" x14ac:dyDescent="0.25">
      <c r="A108">
        <v>12</v>
      </c>
      <c r="B108" t="s">
        <v>128</v>
      </c>
      <c r="C108">
        <v>80</v>
      </c>
      <c r="D108" t="s">
        <v>84</v>
      </c>
      <c r="E108" t="s">
        <v>12</v>
      </c>
      <c r="F108">
        <v>1</v>
      </c>
      <c r="G108" t="s">
        <v>13</v>
      </c>
    </row>
    <row r="109" spans="1:7" x14ac:dyDescent="0.25">
      <c r="A109">
        <v>12</v>
      </c>
      <c r="B109" t="s">
        <v>128</v>
      </c>
      <c r="C109">
        <v>90</v>
      </c>
      <c r="D109" t="s">
        <v>130</v>
      </c>
      <c r="E109" t="s">
        <v>11</v>
      </c>
      <c r="F109">
        <v>1</v>
      </c>
      <c r="G109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112"/>
  <sheetViews>
    <sheetView tabSelected="1" topLeftCell="A78" zoomScale="85" zoomScaleNormal="85" workbookViewId="0">
      <selection activeCell="AQ84" sqref="AQ8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20</v>
      </c>
      <c r="B1" s="52" t="s">
        <v>21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22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41"/>
    </row>
    <row r="2" spans="1:39" x14ac:dyDescent="0.25">
      <c r="A2" s="51"/>
      <c r="B2" s="49" t="s">
        <v>23</v>
      </c>
      <c r="C2" s="49" t="s">
        <v>24</v>
      </c>
      <c r="D2" s="49" t="s">
        <v>25</v>
      </c>
      <c r="E2" s="49" t="s">
        <v>24</v>
      </c>
      <c r="F2" s="49" t="s">
        <v>25</v>
      </c>
      <c r="G2" s="49" t="s">
        <v>23</v>
      </c>
      <c r="H2" s="49" t="s">
        <v>25</v>
      </c>
      <c r="I2" s="49" t="s">
        <v>25</v>
      </c>
      <c r="J2" s="49" t="s">
        <v>25</v>
      </c>
      <c r="K2" s="49" t="s">
        <v>25</v>
      </c>
      <c r="L2" s="49" t="s">
        <v>23</v>
      </c>
      <c r="M2" s="50" t="s">
        <v>26</v>
      </c>
      <c r="N2" s="19" t="s">
        <v>26</v>
      </c>
      <c r="O2" s="50" t="s">
        <v>26</v>
      </c>
      <c r="P2" s="50" t="s">
        <v>27</v>
      </c>
      <c r="Q2" s="50" t="s">
        <v>26</v>
      </c>
      <c r="R2" s="50" t="s">
        <v>27</v>
      </c>
      <c r="S2" s="50" t="s">
        <v>26</v>
      </c>
      <c r="T2" s="50" t="s">
        <v>26</v>
      </c>
      <c r="U2" s="50" t="s">
        <v>27</v>
      </c>
      <c r="V2" s="50" t="s">
        <v>26</v>
      </c>
      <c r="W2" s="50" t="s">
        <v>26</v>
      </c>
      <c r="X2" s="50" t="s">
        <v>26</v>
      </c>
      <c r="Y2" s="50" t="s">
        <v>27</v>
      </c>
      <c r="Z2" s="50" t="s">
        <v>28</v>
      </c>
      <c r="AA2" s="50" t="s">
        <v>26</v>
      </c>
      <c r="AB2" s="50" t="s">
        <v>26</v>
      </c>
      <c r="AC2" s="50" t="s">
        <v>26</v>
      </c>
      <c r="AD2" s="50" t="s">
        <v>26</v>
      </c>
      <c r="AE2" s="50" t="s">
        <v>26</v>
      </c>
      <c r="AF2" s="50" t="s">
        <v>26</v>
      </c>
      <c r="AG2" s="50" t="s">
        <v>28</v>
      </c>
      <c r="AH2" s="50" t="s">
        <v>28</v>
      </c>
      <c r="AI2" s="50" t="s">
        <v>28</v>
      </c>
      <c r="AJ2" s="50" t="s">
        <v>26</v>
      </c>
      <c r="AK2" s="50" t="s">
        <v>26</v>
      </c>
      <c r="AL2" s="50" t="s">
        <v>26</v>
      </c>
      <c r="AM2" s="41"/>
    </row>
    <row r="3" spans="1:39" x14ac:dyDescent="0.25">
      <c r="A3" s="51"/>
      <c r="B3" s="49" t="s">
        <v>79</v>
      </c>
      <c r="C3" s="49" t="s">
        <v>86</v>
      </c>
      <c r="D3" s="49" t="s">
        <v>31</v>
      </c>
      <c r="E3" s="49" t="s">
        <v>86</v>
      </c>
      <c r="F3" s="49" t="s">
        <v>32</v>
      </c>
      <c r="G3" s="49" t="s">
        <v>33</v>
      </c>
      <c r="H3" s="49" t="s">
        <v>34</v>
      </c>
      <c r="I3" s="49" t="s">
        <v>35</v>
      </c>
      <c r="J3" s="49" t="s">
        <v>30</v>
      </c>
      <c r="K3" s="49" t="s">
        <v>30</v>
      </c>
      <c r="L3" s="49" t="s">
        <v>80</v>
      </c>
      <c r="M3" s="50">
        <v>10</v>
      </c>
      <c r="N3" s="19" t="s">
        <v>83</v>
      </c>
      <c r="O3" s="50" t="s">
        <v>32</v>
      </c>
      <c r="P3" s="50" t="s">
        <v>37</v>
      </c>
      <c r="Q3" s="50">
        <v>0.78700000000000003</v>
      </c>
      <c r="R3" s="50" t="s">
        <v>14</v>
      </c>
      <c r="S3" s="50" t="s">
        <v>38</v>
      </c>
      <c r="T3" s="50">
        <v>10</v>
      </c>
      <c r="U3" s="50" t="s">
        <v>39</v>
      </c>
      <c r="V3" s="50" t="s">
        <v>15</v>
      </c>
      <c r="W3" s="50" t="s">
        <v>35</v>
      </c>
      <c r="X3" s="50" t="s">
        <v>35</v>
      </c>
      <c r="Y3" s="50" t="s">
        <v>29</v>
      </c>
      <c r="Z3" s="50" t="s">
        <v>36</v>
      </c>
      <c r="AA3" s="50" t="s">
        <v>40</v>
      </c>
      <c r="AB3" s="50" t="s">
        <v>40</v>
      </c>
      <c r="AC3" s="50" t="s">
        <v>35</v>
      </c>
      <c r="AD3" s="50" t="s">
        <v>35</v>
      </c>
      <c r="AE3" s="50" t="s">
        <v>39</v>
      </c>
      <c r="AF3" s="50" t="s">
        <v>38</v>
      </c>
      <c r="AG3" s="50" t="s">
        <v>29</v>
      </c>
      <c r="AH3" s="50" t="s">
        <v>36</v>
      </c>
      <c r="AI3" s="50" t="s">
        <v>36</v>
      </c>
      <c r="AJ3" s="50" t="s">
        <v>30</v>
      </c>
      <c r="AK3" s="50" t="s">
        <v>32</v>
      </c>
      <c r="AL3" s="50" t="s">
        <v>41</v>
      </c>
    </row>
    <row r="4" spans="1:39" x14ac:dyDescent="0.25">
      <c r="A4" s="51"/>
      <c r="B4" s="20" t="s">
        <v>42</v>
      </c>
      <c r="C4" s="20" t="s">
        <v>86</v>
      </c>
      <c r="D4" s="49" t="s">
        <v>43</v>
      </c>
      <c r="E4" s="20" t="s">
        <v>86</v>
      </c>
      <c r="F4" s="49" t="s">
        <v>44</v>
      </c>
      <c r="G4" s="20" t="s">
        <v>45</v>
      </c>
      <c r="H4" s="20" t="s">
        <v>6</v>
      </c>
      <c r="I4" s="20" t="s">
        <v>46</v>
      </c>
      <c r="J4" s="49" t="s">
        <v>47</v>
      </c>
      <c r="K4" s="49" t="s">
        <v>48</v>
      </c>
      <c r="L4" s="49" t="s">
        <v>49</v>
      </c>
      <c r="M4" s="21">
        <v>20</v>
      </c>
      <c r="N4" s="22" t="s">
        <v>85</v>
      </c>
      <c r="O4" s="50" t="s">
        <v>44</v>
      </c>
      <c r="P4" s="50" t="s">
        <v>50</v>
      </c>
      <c r="Q4" s="50">
        <v>0.78700000000000003</v>
      </c>
      <c r="R4" s="50" t="s">
        <v>14</v>
      </c>
      <c r="S4" s="50" t="s">
        <v>51</v>
      </c>
      <c r="T4" s="50" t="s">
        <v>52</v>
      </c>
      <c r="U4" s="50" t="s">
        <v>53</v>
      </c>
      <c r="V4" s="50" t="s">
        <v>15</v>
      </c>
      <c r="W4" s="50" t="s">
        <v>54</v>
      </c>
      <c r="X4" s="50" t="s">
        <v>55</v>
      </c>
      <c r="Y4" s="50" t="s">
        <v>56</v>
      </c>
      <c r="Z4" s="50" t="s">
        <v>57</v>
      </c>
      <c r="AA4" s="50" t="s">
        <v>58</v>
      </c>
      <c r="AB4" s="50" t="s">
        <v>59</v>
      </c>
      <c r="AC4" s="50" t="s">
        <v>60</v>
      </c>
      <c r="AD4" s="50" t="s">
        <v>61</v>
      </c>
      <c r="AE4" s="50" t="s">
        <v>62</v>
      </c>
      <c r="AF4" s="50" t="s">
        <v>63</v>
      </c>
      <c r="AG4" s="50" t="s">
        <v>64</v>
      </c>
      <c r="AH4" s="50" t="s">
        <v>65</v>
      </c>
      <c r="AI4" s="50" t="s">
        <v>66</v>
      </c>
      <c r="AJ4" s="50" t="s">
        <v>67</v>
      </c>
      <c r="AK4" s="50" t="s">
        <v>68</v>
      </c>
      <c r="AL4" s="50" t="s">
        <v>69</v>
      </c>
    </row>
    <row r="5" spans="1:39" x14ac:dyDescent="0.25">
      <c r="A5" s="3">
        <v>1</v>
      </c>
      <c r="B5" s="3" t="s">
        <v>79</v>
      </c>
      <c r="C5" s="3" t="s">
        <v>95</v>
      </c>
      <c r="D5" s="3"/>
      <c r="E5" s="3" t="s">
        <v>95</v>
      </c>
      <c r="F5" s="3"/>
      <c r="G5" s="3"/>
      <c r="H5" s="3"/>
      <c r="I5" s="3"/>
      <c r="J5" s="3"/>
      <c r="K5" s="3"/>
      <c r="L5" s="3" t="s">
        <v>80</v>
      </c>
      <c r="M5" s="3">
        <v>10</v>
      </c>
      <c r="N5" s="3" t="s">
        <v>90</v>
      </c>
      <c r="O5" s="3"/>
      <c r="P5" s="3"/>
      <c r="Q5" s="3">
        <v>1.88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79</v>
      </c>
      <c r="C6" s="3" t="s">
        <v>95</v>
      </c>
      <c r="D6" s="3"/>
      <c r="E6" s="3" t="s">
        <v>95</v>
      </c>
      <c r="F6" s="3"/>
      <c r="G6" s="3"/>
      <c r="H6" s="3"/>
      <c r="I6" s="3"/>
      <c r="J6" s="3"/>
      <c r="K6" s="3"/>
      <c r="L6" s="3" t="s">
        <v>80</v>
      </c>
      <c r="M6" s="3">
        <v>20</v>
      </c>
      <c r="N6" s="3" t="s">
        <v>96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79</v>
      </c>
      <c r="C7" s="3" t="s">
        <v>95</v>
      </c>
      <c r="D7" s="3"/>
      <c r="E7" s="3" t="s">
        <v>95</v>
      </c>
      <c r="F7" s="3"/>
      <c r="G7" s="3"/>
      <c r="H7" s="3"/>
      <c r="I7" s="3"/>
      <c r="J7" s="3"/>
      <c r="K7" s="3"/>
      <c r="L7" s="3" t="s">
        <v>80</v>
      </c>
      <c r="M7" s="3">
        <v>30</v>
      </c>
      <c r="N7" s="3" t="s">
        <v>92</v>
      </c>
      <c r="O7" s="3"/>
      <c r="P7" s="3"/>
      <c r="Q7" s="3">
        <v>12.878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79</v>
      </c>
      <c r="C8" s="3" t="s">
        <v>95</v>
      </c>
      <c r="D8" s="3"/>
      <c r="E8" s="3" t="s">
        <v>95</v>
      </c>
      <c r="F8" s="3"/>
      <c r="G8" s="3"/>
      <c r="H8" s="3"/>
      <c r="I8" s="3"/>
      <c r="J8" s="3"/>
      <c r="K8" s="3"/>
      <c r="L8" s="3" t="s">
        <v>80</v>
      </c>
      <c r="M8" s="3">
        <v>40</v>
      </c>
      <c r="N8" s="3" t="s">
        <v>93</v>
      </c>
      <c r="O8" s="3"/>
      <c r="P8" s="3"/>
      <c r="Q8" s="3">
        <v>12.878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79</v>
      </c>
      <c r="C9" s="3" t="s">
        <v>95</v>
      </c>
      <c r="D9" s="3"/>
      <c r="E9" s="3" t="s">
        <v>95</v>
      </c>
      <c r="F9" s="3"/>
      <c r="G9" s="3"/>
      <c r="H9" s="3"/>
      <c r="I9" s="3"/>
      <c r="J9" s="3"/>
      <c r="K9" s="3"/>
      <c r="L9" s="3" t="s">
        <v>80</v>
      </c>
      <c r="M9" s="3">
        <v>50</v>
      </c>
      <c r="N9" s="3" t="s">
        <v>88</v>
      </c>
      <c r="O9" s="3"/>
      <c r="P9" s="3"/>
      <c r="Q9" s="3">
        <v>79.355000000000004</v>
      </c>
      <c r="R9" s="3" t="s">
        <v>89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79</v>
      </c>
      <c r="C10" s="3" t="s">
        <v>95</v>
      </c>
      <c r="D10" s="3"/>
      <c r="E10" s="3" t="s">
        <v>95</v>
      </c>
      <c r="F10" s="3"/>
      <c r="G10" s="3"/>
      <c r="H10" s="3"/>
      <c r="I10" s="3"/>
      <c r="J10" s="3"/>
      <c r="K10" s="3"/>
      <c r="L10" s="3" t="s">
        <v>80</v>
      </c>
      <c r="M10" s="3">
        <v>60</v>
      </c>
      <c r="N10" s="3" t="s">
        <v>91</v>
      </c>
      <c r="O10" s="3"/>
      <c r="P10" s="3"/>
      <c r="Q10" s="3">
        <v>0.503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79</v>
      </c>
      <c r="C11" s="3" t="s">
        <v>95</v>
      </c>
      <c r="D11" s="3"/>
      <c r="E11" s="3" t="s">
        <v>95</v>
      </c>
      <c r="F11" s="3"/>
      <c r="G11" s="3"/>
      <c r="H11" s="3"/>
      <c r="I11" s="3"/>
      <c r="J11" s="3"/>
      <c r="K11" s="3"/>
      <c r="L11" s="3" t="s">
        <v>80</v>
      </c>
      <c r="M11" s="3">
        <v>70</v>
      </c>
      <c r="N11" s="3" t="s">
        <v>94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79</v>
      </c>
      <c r="C12" s="3" t="s">
        <v>95</v>
      </c>
      <c r="D12" s="3"/>
      <c r="E12" s="3" t="s">
        <v>95</v>
      </c>
      <c r="F12" s="3"/>
      <c r="G12" s="3"/>
      <c r="H12" s="3"/>
      <c r="I12" s="3"/>
      <c r="J12" s="3"/>
      <c r="K12" s="3"/>
      <c r="L12" s="3" t="s">
        <v>80</v>
      </c>
      <c r="M12" s="3">
        <v>80</v>
      </c>
      <c r="N12" s="3" t="s">
        <v>84</v>
      </c>
      <c r="O12" s="3"/>
      <c r="P12" s="3"/>
      <c r="Q12" s="3">
        <v>1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79</v>
      </c>
      <c r="C13" s="3" t="s">
        <v>95</v>
      </c>
      <c r="D13" s="3"/>
      <c r="E13" s="3" t="s">
        <v>95</v>
      </c>
      <c r="F13" s="3"/>
      <c r="G13" s="3"/>
      <c r="H13" s="3"/>
      <c r="I13" s="3"/>
      <c r="J13" s="3"/>
      <c r="K13" s="3"/>
      <c r="L13" s="3" t="s">
        <v>80</v>
      </c>
      <c r="M13" s="3">
        <v>90</v>
      </c>
      <c r="N13" s="3" t="s">
        <v>97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2</v>
      </c>
      <c r="B14" s="3" t="s">
        <v>79</v>
      </c>
      <c r="C14" s="3" t="s">
        <v>98</v>
      </c>
      <c r="D14" s="3"/>
      <c r="E14" s="3" t="s">
        <v>98</v>
      </c>
      <c r="F14" s="3"/>
      <c r="G14" s="3"/>
      <c r="H14" s="3"/>
      <c r="I14" s="3"/>
      <c r="J14" s="3"/>
      <c r="K14" s="3"/>
      <c r="L14" s="3" t="s">
        <v>80</v>
      </c>
      <c r="M14" s="3">
        <v>10</v>
      </c>
      <c r="N14" s="3" t="s">
        <v>90</v>
      </c>
      <c r="O14" s="3"/>
      <c r="P14" s="3"/>
      <c r="Q14" s="3">
        <v>1.88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2</v>
      </c>
      <c r="B15" s="3" t="s">
        <v>79</v>
      </c>
      <c r="C15" s="3" t="s">
        <v>98</v>
      </c>
      <c r="D15" s="3"/>
      <c r="E15" s="3" t="s">
        <v>98</v>
      </c>
      <c r="F15" s="3"/>
      <c r="G15" s="3"/>
      <c r="H15" s="3"/>
      <c r="I15" s="3"/>
      <c r="J15" s="3"/>
      <c r="K15" s="3"/>
      <c r="L15" s="3" t="s">
        <v>80</v>
      </c>
      <c r="M15" s="3">
        <v>20</v>
      </c>
      <c r="N15" s="3" t="s">
        <v>99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2</v>
      </c>
      <c r="B16" s="3" t="s">
        <v>79</v>
      </c>
      <c r="C16" s="3" t="s">
        <v>98</v>
      </c>
      <c r="D16" s="3"/>
      <c r="E16" s="3" t="s">
        <v>98</v>
      </c>
      <c r="F16" s="3"/>
      <c r="G16" s="3"/>
      <c r="H16" s="3"/>
      <c r="I16" s="3"/>
      <c r="J16" s="3"/>
      <c r="K16" s="3"/>
      <c r="L16" s="3" t="s">
        <v>80</v>
      </c>
      <c r="M16" s="3">
        <v>30</v>
      </c>
      <c r="N16" s="3" t="s">
        <v>92</v>
      </c>
      <c r="O16" s="3"/>
      <c r="P16" s="3"/>
      <c r="Q16" s="3">
        <v>12.878</v>
      </c>
      <c r="R16" s="3" t="s">
        <v>14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79</v>
      </c>
      <c r="C17" s="3" t="s">
        <v>98</v>
      </c>
      <c r="D17" s="3"/>
      <c r="E17" s="3" t="s">
        <v>98</v>
      </c>
      <c r="F17" s="3"/>
      <c r="G17" s="3"/>
      <c r="H17" s="3"/>
      <c r="I17" s="3"/>
      <c r="J17" s="3"/>
      <c r="K17" s="3"/>
      <c r="L17" s="3" t="s">
        <v>80</v>
      </c>
      <c r="M17" s="3">
        <v>40</v>
      </c>
      <c r="N17" s="3" t="s">
        <v>93</v>
      </c>
      <c r="O17" s="3"/>
      <c r="P17" s="3"/>
      <c r="Q17" s="3">
        <v>12.878</v>
      </c>
      <c r="R17" s="3" t="s">
        <v>14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79</v>
      </c>
      <c r="C18" s="3" t="s">
        <v>98</v>
      </c>
      <c r="D18" s="3"/>
      <c r="E18" s="3" t="s">
        <v>98</v>
      </c>
      <c r="F18" s="3"/>
      <c r="G18" s="3"/>
      <c r="H18" s="3"/>
      <c r="I18" s="3"/>
      <c r="J18" s="3"/>
      <c r="K18" s="3"/>
      <c r="L18" s="3" t="s">
        <v>80</v>
      </c>
      <c r="M18" s="3">
        <v>50</v>
      </c>
      <c r="N18" s="3" t="s">
        <v>88</v>
      </c>
      <c r="O18" s="3"/>
      <c r="P18" s="3"/>
      <c r="Q18" s="3">
        <v>79.355000000000004</v>
      </c>
      <c r="R18" s="3" t="s">
        <v>89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79</v>
      </c>
      <c r="C19" s="3" t="s">
        <v>98</v>
      </c>
      <c r="D19" s="3"/>
      <c r="E19" s="3" t="s">
        <v>98</v>
      </c>
      <c r="F19" s="3"/>
      <c r="G19" s="3"/>
      <c r="H19" s="3"/>
      <c r="I19" s="3"/>
      <c r="J19" s="3"/>
      <c r="K19" s="3"/>
      <c r="L19" s="3" t="s">
        <v>80</v>
      </c>
      <c r="M19" s="3">
        <v>60</v>
      </c>
      <c r="N19" s="3" t="s">
        <v>91</v>
      </c>
      <c r="O19" s="3"/>
      <c r="P19" s="3"/>
      <c r="Q19" s="3">
        <v>0.503</v>
      </c>
      <c r="R19" s="3" t="s">
        <v>11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79</v>
      </c>
      <c r="C20" s="3" t="s">
        <v>98</v>
      </c>
      <c r="D20" s="3"/>
      <c r="E20" s="3" t="s">
        <v>98</v>
      </c>
      <c r="F20" s="3"/>
      <c r="G20" s="3"/>
      <c r="H20" s="3"/>
      <c r="I20" s="3"/>
      <c r="J20" s="3"/>
      <c r="K20" s="3"/>
      <c r="L20" s="3" t="s">
        <v>80</v>
      </c>
      <c r="M20" s="3">
        <v>70</v>
      </c>
      <c r="N20" s="3" t="s">
        <v>94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79</v>
      </c>
      <c r="C21" s="3" t="s">
        <v>98</v>
      </c>
      <c r="D21" s="3"/>
      <c r="E21" s="3" t="s">
        <v>98</v>
      </c>
      <c r="F21" s="3"/>
      <c r="G21" s="3"/>
      <c r="H21" s="3"/>
      <c r="I21" s="3"/>
      <c r="J21" s="3"/>
      <c r="K21" s="3"/>
      <c r="L21" s="3" t="s">
        <v>80</v>
      </c>
      <c r="M21" s="3">
        <v>80</v>
      </c>
      <c r="N21" s="3" t="s">
        <v>84</v>
      </c>
      <c r="O21" s="3"/>
      <c r="P21" s="3"/>
      <c r="Q21" s="3">
        <v>1</v>
      </c>
      <c r="R21" s="3" t="s">
        <v>12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79</v>
      </c>
      <c r="C22" s="3" t="s">
        <v>98</v>
      </c>
      <c r="D22" s="3"/>
      <c r="E22" s="3" t="s">
        <v>98</v>
      </c>
      <c r="F22" s="3"/>
      <c r="G22" s="3"/>
      <c r="H22" s="3"/>
      <c r="I22" s="3"/>
      <c r="J22" s="3"/>
      <c r="K22" s="3"/>
      <c r="L22" s="3" t="s">
        <v>80</v>
      </c>
      <c r="M22" s="3">
        <v>90</v>
      </c>
      <c r="N22" s="3" t="s">
        <v>100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3</v>
      </c>
      <c r="B23" s="3" t="s">
        <v>79</v>
      </c>
      <c r="C23" s="3" t="s">
        <v>101</v>
      </c>
      <c r="D23" s="3"/>
      <c r="E23" s="3" t="s">
        <v>101</v>
      </c>
      <c r="F23" s="3"/>
      <c r="G23" s="3"/>
      <c r="H23" s="3"/>
      <c r="I23" s="3"/>
      <c r="J23" s="3"/>
      <c r="K23" s="3"/>
      <c r="L23" s="3" t="s">
        <v>80</v>
      </c>
      <c r="M23" s="3">
        <v>10</v>
      </c>
      <c r="N23" s="3" t="s">
        <v>90</v>
      </c>
      <c r="O23" s="3"/>
      <c r="P23" s="3"/>
      <c r="Q23" s="3">
        <v>1.88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3</v>
      </c>
      <c r="B24" s="3" t="s">
        <v>79</v>
      </c>
      <c r="C24" s="3" t="s">
        <v>101</v>
      </c>
      <c r="D24" s="3"/>
      <c r="E24" s="3" t="s">
        <v>101</v>
      </c>
      <c r="F24" s="3"/>
      <c r="G24" s="3"/>
      <c r="H24" s="3"/>
      <c r="I24" s="3"/>
      <c r="J24" s="3"/>
      <c r="K24" s="3"/>
      <c r="L24" s="3" t="s">
        <v>80</v>
      </c>
      <c r="M24" s="3">
        <v>20</v>
      </c>
      <c r="N24" s="3" t="s">
        <v>102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79</v>
      </c>
      <c r="C25" s="3" t="s">
        <v>101</v>
      </c>
      <c r="D25" s="3"/>
      <c r="E25" s="3" t="s">
        <v>101</v>
      </c>
      <c r="F25" s="3"/>
      <c r="G25" s="3"/>
      <c r="H25" s="3"/>
      <c r="I25" s="3"/>
      <c r="J25" s="3"/>
      <c r="K25" s="3"/>
      <c r="L25" s="3" t="s">
        <v>80</v>
      </c>
      <c r="M25" s="3">
        <v>30</v>
      </c>
      <c r="N25" s="3" t="s">
        <v>92</v>
      </c>
      <c r="O25" s="3"/>
      <c r="P25" s="3"/>
      <c r="Q25" s="3">
        <v>12.878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79</v>
      </c>
      <c r="C26" s="3" t="s">
        <v>101</v>
      </c>
      <c r="D26" s="3"/>
      <c r="E26" s="3" t="s">
        <v>101</v>
      </c>
      <c r="F26" s="3"/>
      <c r="G26" s="3"/>
      <c r="H26" s="3"/>
      <c r="I26" s="3"/>
      <c r="J26" s="3"/>
      <c r="K26" s="3"/>
      <c r="L26" s="3" t="s">
        <v>80</v>
      </c>
      <c r="M26" s="3">
        <v>40</v>
      </c>
      <c r="N26" s="3" t="s">
        <v>93</v>
      </c>
      <c r="O26" s="3"/>
      <c r="P26" s="3"/>
      <c r="Q26" s="3">
        <v>12.878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79</v>
      </c>
      <c r="C27" s="3" t="s">
        <v>101</v>
      </c>
      <c r="D27" s="3"/>
      <c r="E27" s="3" t="s">
        <v>101</v>
      </c>
      <c r="F27" s="3"/>
      <c r="G27" s="3"/>
      <c r="H27" s="3"/>
      <c r="I27" s="3"/>
      <c r="J27" s="3"/>
      <c r="K27" s="3"/>
      <c r="L27" s="3" t="s">
        <v>80</v>
      </c>
      <c r="M27" s="3">
        <v>50</v>
      </c>
      <c r="N27" s="3" t="s">
        <v>88</v>
      </c>
      <c r="O27" s="3"/>
      <c r="P27" s="3"/>
      <c r="Q27" s="3">
        <v>79.355000000000004</v>
      </c>
      <c r="R27" s="3" t="s">
        <v>89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79</v>
      </c>
      <c r="C28" s="3" t="s">
        <v>101</v>
      </c>
      <c r="D28" s="3"/>
      <c r="E28" s="3" t="s">
        <v>101</v>
      </c>
      <c r="F28" s="3"/>
      <c r="G28" s="3"/>
      <c r="H28" s="3"/>
      <c r="I28" s="3"/>
      <c r="J28" s="3"/>
      <c r="K28" s="3"/>
      <c r="L28" s="3" t="s">
        <v>80</v>
      </c>
      <c r="M28" s="3">
        <v>60</v>
      </c>
      <c r="N28" s="3" t="s">
        <v>91</v>
      </c>
      <c r="O28" s="3"/>
      <c r="P28" s="3"/>
      <c r="Q28" s="3">
        <v>0.503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79</v>
      </c>
      <c r="C29" s="3" t="s">
        <v>101</v>
      </c>
      <c r="D29" s="3"/>
      <c r="E29" s="3" t="s">
        <v>101</v>
      </c>
      <c r="F29" s="3"/>
      <c r="G29" s="3"/>
      <c r="H29" s="3"/>
      <c r="I29" s="3"/>
      <c r="J29" s="3"/>
      <c r="K29" s="3"/>
      <c r="L29" s="3" t="s">
        <v>80</v>
      </c>
      <c r="M29" s="3">
        <v>70</v>
      </c>
      <c r="N29" s="3" t="s">
        <v>94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79</v>
      </c>
      <c r="C30" s="3" t="s">
        <v>101</v>
      </c>
      <c r="D30" s="3"/>
      <c r="E30" s="3" t="s">
        <v>101</v>
      </c>
      <c r="F30" s="3"/>
      <c r="G30" s="3"/>
      <c r="H30" s="3"/>
      <c r="I30" s="3"/>
      <c r="J30" s="3"/>
      <c r="K30" s="3"/>
      <c r="L30" s="3" t="s">
        <v>80</v>
      </c>
      <c r="M30" s="3">
        <v>80</v>
      </c>
      <c r="N30" s="3" t="s">
        <v>84</v>
      </c>
      <c r="O30" s="3"/>
      <c r="P30" s="3"/>
      <c r="Q30" s="3">
        <v>1</v>
      </c>
      <c r="R30" s="3" t="s">
        <v>12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79</v>
      </c>
      <c r="C31" s="3" t="s">
        <v>101</v>
      </c>
      <c r="D31" s="3"/>
      <c r="E31" s="3" t="s">
        <v>101</v>
      </c>
      <c r="F31" s="3"/>
      <c r="G31" s="3"/>
      <c r="H31" s="3"/>
      <c r="I31" s="3"/>
      <c r="J31" s="3"/>
      <c r="K31" s="3"/>
      <c r="L31" s="3" t="s">
        <v>80</v>
      </c>
      <c r="M31" s="3">
        <v>90</v>
      </c>
      <c r="N31" s="3" t="s">
        <v>103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4</v>
      </c>
      <c r="B32" s="3" t="s">
        <v>79</v>
      </c>
      <c r="C32" s="3" t="s">
        <v>104</v>
      </c>
      <c r="D32" s="3"/>
      <c r="E32" s="3" t="s">
        <v>104</v>
      </c>
      <c r="F32" s="3"/>
      <c r="G32" s="3"/>
      <c r="H32" s="3"/>
      <c r="I32" s="3"/>
      <c r="J32" s="3"/>
      <c r="K32" s="3"/>
      <c r="L32" s="3" t="s">
        <v>80</v>
      </c>
      <c r="M32" s="3">
        <v>10</v>
      </c>
      <c r="N32" s="3" t="s">
        <v>90</v>
      </c>
      <c r="O32" s="3"/>
      <c r="P32" s="3"/>
      <c r="Q32" s="3">
        <v>2.4889999999999999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4</v>
      </c>
      <c r="B33" s="3" t="s">
        <v>79</v>
      </c>
      <c r="C33" s="3" t="s">
        <v>104</v>
      </c>
      <c r="D33" s="3"/>
      <c r="E33" s="3" t="s">
        <v>104</v>
      </c>
      <c r="F33" s="3"/>
      <c r="G33" s="3"/>
      <c r="H33" s="3"/>
      <c r="I33" s="3"/>
      <c r="J33" s="3"/>
      <c r="K33" s="3"/>
      <c r="L33" s="3" t="s">
        <v>80</v>
      </c>
      <c r="M33" s="3">
        <v>20</v>
      </c>
      <c r="N33" s="3" t="s">
        <v>105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4</v>
      </c>
      <c r="B34" s="3" t="s">
        <v>79</v>
      </c>
      <c r="C34" s="3" t="s">
        <v>104</v>
      </c>
      <c r="D34" s="3"/>
      <c r="E34" s="3" t="s">
        <v>104</v>
      </c>
      <c r="F34" s="3"/>
      <c r="G34" s="3"/>
      <c r="H34" s="3"/>
      <c r="I34" s="3"/>
      <c r="J34" s="3"/>
      <c r="K34" s="3"/>
      <c r="L34" s="3" t="s">
        <v>80</v>
      </c>
      <c r="M34" s="3">
        <v>30</v>
      </c>
      <c r="N34" s="3" t="s">
        <v>92</v>
      </c>
      <c r="O34" s="3"/>
      <c r="P34" s="3"/>
      <c r="Q34" s="3">
        <v>14.707000000000001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79</v>
      </c>
      <c r="C35" s="3" t="s">
        <v>104</v>
      </c>
      <c r="D35" s="3"/>
      <c r="E35" s="3" t="s">
        <v>104</v>
      </c>
      <c r="F35" s="3"/>
      <c r="G35" s="3"/>
      <c r="H35" s="3"/>
      <c r="I35" s="3"/>
      <c r="J35" s="3"/>
      <c r="K35" s="3"/>
      <c r="L35" s="3" t="s">
        <v>80</v>
      </c>
      <c r="M35" s="3">
        <v>40</v>
      </c>
      <c r="N35" s="3" t="s">
        <v>93</v>
      </c>
      <c r="O35" s="3"/>
      <c r="P35" s="3"/>
      <c r="Q35" s="3">
        <v>14.707000000000001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79</v>
      </c>
      <c r="C36" s="3" t="s">
        <v>104</v>
      </c>
      <c r="D36" s="3"/>
      <c r="E36" s="3" t="s">
        <v>104</v>
      </c>
      <c r="F36" s="3"/>
      <c r="G36" s="3"/>
      <c r="H36" s="3"/>
      <c r="I36" s="3"/>
      <c r="J36" s="3"/>
      <c r="K36" s="3"/>
      <c r="L36" s="3" t="s">
        <v>80</v>
      </c>
      <c r="M36" s="3">
        <v>50</v>
      </c>
      <c r="N36" s="3" t="s">
        <v>88</v>
      </c>
      <c r="O36" s="3"/>
      <c r="P36" s="3"/>
      <c r="Q36" s="3">
        <v>90.602000000000004</v>
      </c>
      <c r="R36" s="3" t="s">
        <v>89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4</v>
      </c>
      <c r="B37" s="3" t="s">
        <v>79</v>
      </c>
      <c r="C37" s="3" t="s">
        <v>104</v>
      </c>
      <c r="D37" s="3"/>
      <c r="E37" s="3" t="s">
        <v>104</v>
      </c>
      <c r="F37" s="3"/>
      <c r="G37" s="3"/>
      <c r="H37" s="3"/>
      <c r="I37" s="3"/>
      <c r="J37" s="3"/>
      <c r="K37" s="3"/>
      <c r="L37" s="3" t="s">
        <v>80</v>
      </c>
      <c r="M37" s="3">
        <v>60</v>
      </c>
      <c r="N37" s="3" t="s">
        <v>91</v>
      </c>
      <c r="O37" s="3"/>
      <c r="P37" s="3"/>
      <c r="Q37" s="3">
        <v>0.67600000000000005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79</v>
      </c>
      <c r="C38" s="3" t="s">
        <v>104</v>
      </c>
      <c r="D38" s="3"/>
      <c r="E38" s="3" t="s">
        <v>104</v>
      </c>
      <c r="F38" s="3"/>
      <c r="G38" s="3"/>
      <c r="H38" s="3"/>
      <c r="I38" s="3"/>
      <c r="J38" s="3"/>
      <c r="K38" s="3"/>
      <c r="L38" s="3" t="s">
        <v>80</v>
      </c>
      <c r="M38" s="3">
        <v>70</v>
      </c>
      <c r="N38" s="3" t="s">
        <v>94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79</v>
      </c>
      <c r="C39" s="3" t="s">
        <v>104</v>
      </c>
      <c r="D39" s="3"/>
      <c r="E39" s="3" t="s">
        <v>104</v>
      </c>
      <c r="F39" s="3"/>
      <c r="G39" s="3"/>
      <c r="H39" s="3"/>
      <c r="I39" s="3"/>
      <c r="J39" s="3"/>
      <c r="K39" s="3"/>
      <c r="L39" s="3" t="s">
        <v>80</v>
      </c>
      <c r="M39" s="3">
        <v>80</v>
      </c>
      <c r="N39" s="3" t="s">
        <v>84</v>
      </c>
      <c r="O39" s="3"/>
      <c r="P39" s="3"/>
      <c r="Q39" s="3">
        <v>1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79</v>
      </c>
      <c r="C40" s="3" t="s">
        <v>104</v>
      </c>
      <c r="D40" s="3"/>
      <c r="E40" s="3" t="s">
        <v>104</v>
      </c>
      <c r="F40" s="3"/>
      <c r="G40" s="3"/>
      <c r="H40" s="3"/>
      <c r="I40" s="3"/>
      <c r="J40" s="3"/>
      <c r="K40" s="3"/>
      <c r="L40" s="3" t="s">
        <v>80</v>
      </c>
      <c r="M40" s="3">
        <v>90</v>
      </c>
      <c r="N40" s="3" t="s">
        <v>106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5</v>
      </c>
      <c r="B41" s="3" t="s">
        <v>79</v>
      </c>
      <c r="C41" s="3" t="s">
        <v>107</v>
      </c>
      <c r="D41" s="3"/>
      <c r="E41" s="3" t="s">
        <v>107</v>
      </c>
      <c r="F41" s="3"/>
      <c r="G41" s="3"/>
      <c r="H41" s="3"/>
      <c r="I41" s="3"/>
      <c r="J41" s="3"/>
      <c r="K41" s="3"/>
      <c r="L41" s="3" t="s">
        <v>80</v>
      </c>
      <c r="M41" s="3">
        <v>10</v>
      </c>
      <c r="N41" s="3" t="s">
        <v>90</v>
      </c>
      <c r="O41" s="3"/>
      <c r="P41" s="3"/>
      <c r="Q41" s="3">
        <v>2.4889999999999999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5</v>
      </c>
      <c r="B42" s="3" t="s">
        <v>79</v>
      </c>
      <c r="C42" s="3" t="s">
        <v>107</v>
      </c>
      <c r="D42" s="3"/>
      <c r="E42" s="3" t="s">
        <v>107</v>
      </c>
      <c r="F42" s="3"/>
      <c r="G42" s="3"/>
      <c r="H42" s="3"/>
      <c r="I42" s="3"/>
      <c r="J42" s="3"/>
      <c r="K42" s="3"/>
      <c r="L42" s="3" t="s">
        <v>80</v>
      </c>
      <c r="M42" s="3">
        <v>20</v>
      </c>
      <c r="N42" s="3" t="s">
        <v>108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5</v>
      </c>
      <c r="B43" s="3" t="s">
        <v>79</v>
      </c>
      <c r="C43" s="3" t="s">
        <v>107</v>
      </c>
      <c r="D43" s="3"/>
      <c r="E43" s="3" t="s">
        <v>107</v>
      </c>
      <c r="F43" s="3"/>
      <c r="G43" s="3"/>
      <c r="H43" s="3"/>
      <c r="I43" s="3"/>
      <c r="J43" s="3"/>
      <c r="K43" s="3"/>
      <c r="L43" s="3" t="s">
        <v>80</v>
      </c>
      <c r="M43" s="3">
        <v>30</v>
      </c>
      <c r="N43" s="3" t="s">
        <v>92</v>
      </c>
      <c r="O43" s="3"/>
      <c r="P43" s="3"/>
      <c r="Q43" s="3">
        <v>14.707000000000001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5</v>
      </c>
      <c r="B44" s="3" t="s">
        <v>79</v>
      </c>
      <c r="C44" s="3" t="s">
        <v>107</v>
      </c>
      <c r="D44" s="3"/>
      <c r="E44" s="3" t="s">
        <v>107</v>
      </c>
      <c r="F44" s="3"/>
      <c r="G44" s="3"/>
      <c r="H44" s="3"/>
      <c r="I44" s="3"/>
      <c r="J44" s="3"/>
      <c r="K44" s="3"/>
      <c r="L44" s="3" t="s">
        <v>80</v>
      </c>
      <c r="M44" s="3">
        <v>40</v>
      </c>
      <c r="N44" s="3" t="s">
        <v>93</v>
      </c>
      <c r="O44" s="3"/>
      <c r="P44" s="3"/>
      <c r="Q44" s="3">
        <v>14.707000000000001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5</v>
      </c>
      <c r="B45" s="3" t="s">
        <v>79</v>
      </c>
      <c r="C45" s="3" t="s">
        <v>107</v>
      </c>
      <c r="D45" s="3"/>
      <c r="E45" s="3" t="s">
        <v>107</v>
      </c>
      <c r="F45" s="3"/>
      <c r="G45" s="3"/>
      <c r="H45" s="3"/>
      <c r="I45" s="3"/>
      <c r="J45" s="3"/>
      <c r="K45" s="3"/>
      <c r="L45" s="3" t="s">
        <v>80</v>
      </c>
      <c r="M45" s="3">
        <v>50</v>
      </c>
      <c r="N45" s="3" t="s">
        <v>88</v>
      </c>
      <c r="O45" s="3"/>
      <c r="P45" s="3"/>
      <c r="Q45" s="3">
        <v>90.602000000000004</v>
      </c>
      <c r="R45" s="3" t="s">
        <v>89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5</v>
      </c>
      <c r="B46" s="3" t="s">
        <v>79</v>
      </c>
      <c r="C46" s="3" t="s">
        <v>107</v>
      </c>
      <c r="D46" s="3"/>
      <c r="E46" s="3" t="s">
        <v>107</v>
      </c>
      <c r="F46" s="3"/>
      <c r="G46" s="3"/>
      <c r="H46" s="3"/>
      <c r="I46" s="3"/>
      <c r="J46" s="3"/>
      <c r="K46" s="3"/>
      <c r="L46" s="3" t="s">
        <v>80</v>
      </c>
      <c r="M46" s="3">
        <v>60</v>
      </c>
      <c r="N46" s="3" t="s">
        <v>91</v>
      </c>
      <c r="O46" s="3"/>
      <c r="P46" s="3"/>
      <c r="Q46" s="3">
        <v>0.67600000000000005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5</v>
      </c>
      <c r="B47" s="3" t="s">
        <v>79</v>
      </c>
      <c r="C47" s="3" t="s">
        <v>107</v>
      </c>
      <c r="D47" s="3"/>
      <c r="E47" s="3" t="s">
        <v>107</v>
      </c>
      <c r="F47" s="3"/>
      <c r="G47" s="3"/>
      <c r="H47" s="3"/>
      <c r="I47" s="3"/>
      <c r="J47" s="3"/>
      <c r="K47" s="3"/>
      <c r="L47" s="3" t="s">
        <v>80</v>
      </c>
      <c r="M47" s="3">
        <v>70</v>
      </c>
      <c r="N47" s="3" t="s">
        <v>94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5</v>
      </c>
      <c r="B48" s="3" t="s">
        <v>79</v>
      </c>
      <c r="C48" s="3" t="s">
        <v>107</v>
      </c>
      <c r="D48" s="3"/>
      <c r="E48" s="3" t="s">
        <v>107</v>
      </c>
      <c r="F48" s="3"/>
      <c r="G48" s="3"/>
      <c r="H48" s="3"/>
      <c r="I48" s="3"/>
      <c r="J48" s="3"/>
      <c r="K48" s="3"/>
      <c r="L48" s="3" t="s">
        <v>80</v>
      </c>
      <c r="M48" s="3">
        <v>80</v>
      </c>
      <c r="N48" s="3" t="s">
        <v>84</v>
      </c>
      <c r="O48" s="3"/>
      <c r="P48" s="3"/>
      <c r="Q48" s="3">
        <v>1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79</v>
      </c>
      <c r="C49" s="3" t="s">
        <v>107</v>
      </c>
      <c r="D49" s="3"/>
      <c r="E49" s="3" t="s">
        <v>107</v>
      </c>
      <c r="F49" s="3"/>
      <c r="G49" s="3"/>
      <c r="H49" s="3"/>
      <c r="I49" s="3"/>
      <c r="J49" s="3"/>
      <c r="K49" s="3"/>
      <c r="L49" s="3" t="s">
        <v>80</v>
      </c>
      <c r="M49" s="3">
        <v>90</v>
      </c>
      <c r="N49" s="3" t="s">
        <v>109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6</v>
      </c>
      <c r="B50" s="3" t="s">
        <v>79</v>
      </c>
      <c r="C50" s="3" t="s">
        <v>110</v>
      </c>
      <c r="D50" s="3"/>
      <c r="E50" s="3" t="s">
        <v>110</v>
      </c>
      <c r="F50" s="3"/>
      <c r="G50" s="3"/>
      <c r="H50" s="3"/>
      <c r="I50" s="3"/>
      <c r="J50" s="3"/>
      <c r="K50" s="3"/>
      <c r="L50" s="3" t="s">
        <v>80</v>
      </c>
      <c r="M50" s="3">
        <v>10</v>
      </c>
      <c r="N50" s="3" t="s">
        <v>90</v>
      </c>
      <c r="O50" s="3"/>
      <c r="P50" s="3"/>
      <c r="Q50" s="3">
        <v>2.4889999999999999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6</v>
      </c>
      <c r="B51" s="3" t="s">
        <v>79</v>
      </c>
      <c r="C51" s="3" t="s">
        <v>110</v>
      </c>
      <c r="D51" s="3"/>
      <c r="E51" s="3" t="s">
        <v>110</v>
      </c>
      <c r="F51" s="3"/>
      <c r="G51" s="3"/>
      <c r="H51" s="3"/>
      <c r="I51" s="3"/>
      <c r="J51" s="3"/>
      <c r="K51" s="3"/>
      <c r="L51" s="3" t="s">
        <v>80</v>
      </c>
      <c r="M51" s="3">
        <v>20</v>
      </c>
      <c r="N51" s="3" t="s">
        <v>111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6</v>
      </c>
      <c r="B52" s="3" t="s">
        <v>79</v>
      </c>
      <c r="C52" s="3" t="s">
        <v>110</v>
      </c>
      <c r="D52" s="3"/>
      <c r="E52" s="3" t="s">
        <v>110</v>
      </c>
      <c r="F52" s="3"/>
      <c r="G52" s="3"/>
      <c r="H52" s="3"/>
      <c r="I52" s="3"/>
      <c r="J52" s="3"/>
      <c r="K52" s="3"/>
      <c r="L52" s="3" t="s">
        <v>80</v>
      </c>
      <c r="M52" s="3">
        <v>30</v>
      </c>
      <c r="N52" s="3" t="s">
        <v>92</v>
      </c>
      <c r="O52" s="3"/>
      <c r="P52" s="3"/>
      <c r="Q52" s="3">
        <v>14.707000000000001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6</v>
      </c>
      <c r="B53" s="3" t="s">
        <v>79</v>
      </c>
      <c r="C53" s="3" t="s">
        <v>110</v>
      </c>
      <c r="D53" s="3"/>
      <c r="E53" s="3" t="s">
        <v>110</v>
      </c>
      <c r="F53" s="3"/>
      <c r="G53" s="3"/>
      <c r="H53" s="3"/>
      <c r="I53" s="3"/>
      <c r="J53" s="3"/>
      <c r="K53" s="3"/>
      <c r="L53" s="3" t="s">
        <v>80</v>
      </c>
      <c r="M53" s="3">
        <v>40</v>
      </c>
      <c r="N53" s="3" t="s">
        <v>93</v>
      </c>
      <c r="O53" s="3"/>
      <c r="P53" s="3"/>
      <c r="Q53" s="3">
        <v>14.707000000000001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6</v>
      </c>
      <c r="B54" s="3" t="s">
        <v>79</v>
      </c>
      <c r="C54" s="3" t="s">
        <v>110</v>
      </c>
      <c r="D54" s="3"/>
      <c r="E54" s="3" t="s">
        <v>110</v>
      </c>
      <c r="F54" s="3"/>
      <c r="G54" s="3"/>
      <c r="H54" s="3"/>
      <c r="I54" s="3"/>
      <c r="J54" s="3"/>
      <c r="K54" s="3"/>
      <c r="L54" s="3" t="s">
        <v>80</v>
      </c>
      <c r="M54" s="3">
        <v>50</v>
      </c>
      <c r="N54" s="3" t="s">
        <v>88</v>
      </c>
      <c r="O54" s="3"/>
      <c r="P54" s="3"/>
      <c r="Q54" s="3">
        <v>90.602000000000004</v>
      </c>
      <c r="R54" s="3" t="s">
        <v>89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6</v>
      </c>
      <c r="B55" s="3" t="s">
        <v>79</v>
      </c>
      <c r="C55" s="3" t="s">
        <v>110</v>
      </c>
      <c r="D55" s="3"/>
      <c r="E55" s="3" t="s">
        <v>110</v>
      </c>
      <c r="F55" s="3"/>
      <c r="G55" s="3"/>
      <c r="H55" s="3"/>
      <c r="I55" s="3"/>
      <c r="J55" s="3"/>
      <c r="K55" s="3"/>
      <c r="L55" s="3" t="s">
        <v>80</v>
      </c>
      <c r="M55" s="3">
        <v>60</v>
      </c>
      <c r="N55" s="3" t="s">
        <v>91</v>
      </c>
      <c r="O55" s="3"/>
      <c r="P55" s="3"/>
      <c r="Q55" s="3">
        <v>0.67600000000000005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6</v>
      </c>
      <c r="B56" s="3" t="s">
        <v>79</v>
      </c>
      <c r="C56" s="3" t="s">
        <v>110</v>
      </c>
      <c r="D56" s="3"/>
      <c r="E56" s="3" t="s">
        <v>110</v>
      </c>
      <c r="F56" s="3"/>
      <c r="G56" s="3"/>
      <c r="H56" s="3"/>
      <c r="I56" s="3"/>
      <c r="J56" s="3"/>
      <c r="K56" s="3"/>
      <c r="L56" s="3" t="s">
        <v>80</v>
      </c>
      <c r="M56" s="3">
        <v>70</v>
      </c>
      <c r="N56" s="3" t="s">
        <v>94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6</v>
      </c>
      <c r="B57" s="3" t="s">
        <v>79</v>
      </c>
      <c r="C57" s="3" t="s">
        <v>110</v>
      </c>
      <c r="D57" s="3"/>
      <c r="E57" s="3" t="s">
        <v>110</v>
      </c>
      <c r="F57" s="3"/>
      <c r="G57" s="3"/>
      <c r="H57" s="3"/>
      <c r="I57" s="3"/>
      <c r="J57" s="3"/>
      <c r="K57" s="3"/>
      <c r="L57" s="3" t="s">
        <v>80</v>
      </c>
      <c r="M57" s="3">
        <v>80</v>
      </c>
      <c r="N57" s="3" t="s">
        <v>84</v>
      </c>
      <c r="O57" s="3"/>
      <c r="P57" s="3"/>
      <c r="Q57" s="3">
        <v>1</v>
      </c>
      <c r="R57" s="3" t="s">
        <v>12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6</v>
      </c>
      <c r="B58" s="3" t="s">
        <v>79</v>
      </c>
      <c r="C58" s="3" t="s">
        <v>110</v>
      </c>
      <c r="D58" s="3"/>
      <c r="E58" s="3" t="s">
        <v>110</v>
      </c>
      <c r="F58" s="3"/>
      <c r="G58" s="3"/>
      <c r="H58" s="3"/>
      <c r="I58" s="3"/>
      <c r="J58" s="3"/>
      <c r="K58" s="3"/>
      <c r="L58" s="3" t="s">
        <v>80</v>
      </c>
      <c r="M58" s="3">
        <v>90</v>
      </c>
      <c r="N58" s="3" t="s">
        <v>112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7</v>
      </c>
      <c r="B59" s="3" t="s">
        <v>79</v>
      </c>
      <c r="C59" s="3" t="s">
        <v>113</v>
      </c>
      <c r="D59" s="3"/>
      <c r="E59" s="3" t="s">
        <v>113</v>
      </c>
      <c r="F59" s="3"/>
      <c r="G59" s="3"/>
      <c r="H59" s="3"/>
      <c r="I59" s="3"/>
      <c r="J59" s="3"/>
      <c r="K59" s="3"/>
      <c r="L59" s="3" t="s">
        <v>80</v>
      </c>
      <c r="M59" s="3">
        <v>10</v>
      </c>
      <c r="N59" s="3" t="s">
        <v>90</v>
      </c>
      <c r="O59" s="3"/>
      <c r="P59" s="3"/>
      <c r="Q59" s="3">
        <v>1.88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7</v>
      </c>
      <c r="B60" s="3" t="s">
        <v>79</v>
      </c>
      <c r="C60" s="3" t="s">
        <v>113</v>
      </c>
      <c r="D60" s="3"/>
      <c r="E60" s="3" t="s">
        <v>113</v>
      </c>
      <c r="F60" s="3"/>
      <c r="G60" s="3"/>
      <c r="H60" s="3"/>
      <c r="I60" s="3"/>
      <c r="J60" s="3"/>
      <c r="K60" s="3"/>
      <c r="L60" s="3" t="s">
        <v>80</v>
      </c>
      <c r="M60" s="3">
        <v>20</v>
      </c>
      <c r="N60" s="3" t="s">
        <v>114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7</v>
      </c>
      <c r="B61" s="3" t="s">
        <v>79</v>
      </c>
      <c r="C61" s="3" t="s">
        <v>113</v>
      </c>
      <c r="D61" s="3"/>
      <c r="E61" s="3" t="s">
        <v>113</v>
      </c>
      <c r="F61" s="3"/>
      <c r="G61" s="3"/>
      <c r="H61" s="3"/>
      <c r="I61" s="3"/>
      <c r="J61" s="3"/>
      <c r="K61" s="3"/>
      <c r="L61" s="3" t="s">
        <v>80</v>
      </c>
      <c r="M61" s="3">
        <v>30</v>
      </c>
      <c r="N61" s="3" t="s">
        <v>92</v>
      </c>
      <c r="O61" s="3"/>
      <c r="P61" s="3"/>
      <c r="Q61" s="3">
        <v>13.183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7</v>
      </c>
      <c r="B62" s="3" t="s">
        <v>79</v>
      </c>
      <c r="C62" s="3" t="s">
        <v>113</v>
      </c>
      <c r="D62" s="3"/>
      <c r="E62" s="3" t="s">
        <v>113</v>
      </c>
      <c r="F62" s="3"/>
      <c r="G62" s="3"/>
      <c r="H62" s="3"/>
      <c r="I62" s="3"/>
      <c r="J62" s="3"/>
      <c r="K62" s="3"/>
      <c r="L62" s="3" t="s">
        <v>80</v>
      </c>
      <c r="M62" s="3">
        <v>40</v>
      </c>
      <c r="N62" s="3" t="s">
        <v>93</v>
      </c>
      <c r="O62" s="3"/>
      <c r="P62" s="3"/>
      <c r="Q62" s="3">
        <v>13.183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7</v>
      </c>
      <c r="B63" s="3" t="s">
        <v>79</v>
      </c>
      <c r="C63" s="3" t="s">
        <v>113</v>
      </c>
      <c r="D63" s="3"/>
      <c r="E63" s="3" t="s">
        <v>113</v>
      </c>
      <c r="F63" s="3"/>
      <c r="G63" s="3"/>
      <c r="H63" s="3"/>
      <c r="I63" s="3"/>
      <c r="J63" s="3"/>
      <c r="K63" s="3"/>
      <c r="L63" s="3" t="s">
        <v>80</v>
      </c>
      <c r="M63" s="3">
        <v>50</v>
      </c>
      <c r="N63" s="3" t="s">
        <v>88</v>
      </c>
      <c r="O63" s="3"/>
      <c r="P63" s="3"/>
      <c r="Q63" s="3">
        <v>81.228999999999999</v>
      </c>
      <c r="R63" s="3" t="s">
        <v>89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7</v>
      </c>
      <c r="B64" s="3" t="s">
        <v>79</v>
      </c>
      <c r="C64" s="3" t="s">
        <v>113</v>
      </c>
      <c r="D64" s="3"/>
      <c r="E64" s="3" t="s">
        <v>113</v>
      </c>
      <c r="F64" s="3"/>
      <c r="G64" s="3"/>
      <c r="H64" s="3"/>
      <c r="I64" s="3"/>
      <c r="J64" s="3"/>
      <c r="K64" s="3"/>
      <c r="L64" s="3" t="s">
        <v>80</v>
      </c>
      <c r="M64" s="3">
        <v>60</v>
      </c>
      <c r="N64" s="3" t="s">
        <v>91</v>
      </c>
      <c r="O64" s="3"/>
      <c r="P64" s="3"/>
      <c r="Q64" s="3">
        <v>0.52400000000000002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7</v>
      </c>
      <c r="B65" s="3" t="s">
        <v>79</v>
      </c>
      <c r="C65" s="3" t="s">
        <v>113</v>
      </c>
      <c r="D65" s="3"/>
      <c r="E65" s="3" t="s">
        <v>113</v>
      </c>
      <c r="F65" s="3"/>
      <c r="G65" s="3"/>
      <c r="H65" s="3"/>
      <c r="I65" s="3"/>
      <c r="J65" s="3"/>
      <c r="K65" s="3"/>
      <c r="L65" s="3" t="s">
        <v>80</v>
      </c>
      <c r="M65" s="3">
        <v>70</v>
      </c>
      <c r="N65" s="3" t="s">
        <v>94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7</v>
      </c>
      <c r="B66" s="3" t="s">
        <v>79</v>
      </c>
      <c r="C66" s="3" t="s">
        <v>113</v>
      </c>
      <c r="D66" s="3"/>
      <c r="E66" s="3" t="s">
        <v>113</v>
      </c>
      <c r="F66" s="3"/>
      <c r="G66" s="3"/>
      <c r="H66" s="3"/>
      <c r="I66" s="3"/>
      <c r="J66" s="3"/>
      <c r="K66" s="3"/>
      <c r="L66" s="3" t="s">
        <v>80</v>
      </c>
      <c r="M66" s="3">
        <v>80</v>
      </c>
      <c r="N66" s="3" t="s">
        <v>84</v>
      </c>
      <c r="O66" s="3"/>
      <c r="P66" s="3"/>
      <c r="Q66" s="3">
        <v>1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7</v>
      </c>
      <c r="B67" s="3" t="s">
        <v>79</v>
      </c>
      <c r="C67" s="3" t="s">
        <v>113</v>
      </c>
      <c r="D67" s="3"/>
      <c r="E67" s="3" t="s">
        <v>113</v>
      </c>
      <c r="F67" s="3"/>
      <c r="G67" s="3"/>
      <c r="H67" s="3"/>
      <c r="I67" s="3"/>
      <c r="J67" s="3"/>
      <c r="K67" s="3"/>
      <c r="L67" s="3" t="s">
        <v>80</v>
      </c>
      <c r="M67" s="3">
        <v>90</v>
      </c>
      <c r="N67" s="3" t="s">
        <v>115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8</v>
      </c>
      <c r="B68" s="3" t="s">
        <v>79</v>
      </c>
      <c r="C68" s="3" t="s">
        <v>116</v>
      </c>
      <c r="D68" s="3"/>
      <c r="E68" s="3" t="s">
        <v>116</v>
      </c>
      <c r="F68" s="3"/>
      <c r="G68" s="3"/>
      <c r="H68" s="3"/>
      <c r="I68" s="3"/>
      <c r="J68" s="3"/>
      <c r="K68" s="3"/>
      <c r="L68" s="3" t="s">
        <v>80</v>
      </c>
      <c r="M68" s="3">
        <v>10</v>
      </c>
      <c r="N68" s="3" t="s">
        <v>90</v>
      </c>
      <c r="O68" s="3"/>
      <c r="P68" s="3"/>
      <c r="Q68" s="3">
        <v>1.88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8</v>
      </c>
      <c r="B69" s="3" t="s">
        <v>79</v>
      </c>
      <c r="C69" s="3" t="s">
        <v>116</v>
      </c>
      <c r="D69" s="3"/>
      <c r="E69" s="3" t="s">
        <v>116</v>
      </c>
      <c r="F69" s="3"/>
      <c r="G69" s="3"/>
      <c r="H69" s="3"/>
      <c r="I69" s="3"/>
      <c r="J69" s="3"/>
      <c r="K69" s="3"/>
      <c r="L69" s="3" t="s">
        <v>80</v>
      </c>
      <c r="M69" s="3">
        <v>20</v>
      </c>
      <c r="N69" s="3" t="s">
        <v>117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8</v>
      </c>
      <c r="B70" s="3" t="s">
        <v>79</v>
      </c>
      <c r="C70" s="3" t="s">
        <v>116</v>
      </c>
      <c r="D70" s="3"/>
      <c r="E70" s="3" t="s">
        <v>116</v>
      </c>
      <c r="F70" s="3"/>
      <c r="G70" s="3"/>
      <c r="H70" s="3"/>
      <c r="I70" s="3"/>
      <c r="J70" s="3"/>
      <c r="K70" s="3"/>
      <c r="L70" s="3" t="s">
        <v>80</v>
      </c>
      <c r="M70" s="3">
        <v>30</v>
      </c>
      <c r="N70" s="3" t="s">
        <v>92</v>
      </c>
      <c r="O70" s="3"/>
      <c r="P70" s="3"/>
      <c r="Q70" s="3">
        <v>13.183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8</v>
      </c>
      <c r="B71" s="3" t="s">
        <v>79</v>
      </c>
      <c r="C71" s="3" t="s">
        <v>116</v>
      </c>
      <c r="D71" s="3"/>
      <c r="E71" s="3" t="s">
        <v>116</v>
      </c>
      <c r="F71" s="3"/>
      <c r="G71" s="3"/>
      <c r="H71" s="3"/>
      <c r="I71" s="3"/>
      <c r="J71" s="3"/>
      <c r="K71" s="3"/>
      <c r="L71" s="3" t="s">
        <v>80</v>
      </c>
      <c r="M71" s="3">
        <v>40</v>
      </c>
      <c r="N71" s="3" t="s">
        <v>93</v>
      </c>
      <c r="O71" s="3"/>
      <c r="P71" s="3"/>
      <c r="Q71" s="3">
        <v>13.183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8</v>
      </c>
      <c r="B72" s="3" t="s">
        <v>79</v>
      </c>
      <c r="C72" s="3" t="s">
        <v>116</v>
      </c>
      <c r="D72" s="3"/>
      <c r="E72" s="3" t="s">
        <v>116</v>
      </c>
      <c r="F72" s="3"/>
      <c r="G72" s="3"/>
      <c r="H72" s="3"/>
      <c r="I72" s="3"/>
      <c r="J72" s="3"/>
      <c r="K72" s="3"/>
      <c r="L72" s="3" t="s">
        <v>80</v>
      </c>
      <c r="M72" s="3">
        <v>50</v>
      </c>
      <c r="N72" s="3" t="s">
        <v>88</v>
      </c>
      <c r="O72" s="3"/>
      <c r="P72" s="3"/>
      <c r="Q72" s="3">
        <v>81.228999999999999</v>
      </c>
      <c r="R72" s="3" t="s">
        <v>89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8</v>
      </c>
      <c r="B73" s="3" t="s">
        <v>79</v>
      </c>
      <c r="C73" s="3" t="s">
        <v>116</v>
      </c>
      <c r="D73" s="3"/>
      <c r="E73" s="3" t="s">
        <v>116</v>
      </c>
      <c r="F73" s="3"/>
      <c r="G73" s="3"/>
      <c r="H73" s="3"/>
      <c r="I73" s="3"/>
      <c r="J73" s="3"/>
      <c r="K73" s="3"/>
      <c r="L73" s="3" t="s">
        <v>80</v>
      </c>
      <c r="M73" s="3">
        <v>60</v>
      </c>
      <c r="N73" s="3" t="s">
        <v>91</v>
      </c>
      <c r="O73" s="3"/>
      <c r="P73" s="3"/>
      <c r="Q73" s="3">
        <v>0.52400000000000002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8</v>
      </c>
      <c r="B74" s="3" t="s">
        <v>79</v>
      </c>
      <c r="C74" s="3" t="s">
        <v>116</v>
      </c>
      <c r="D74" s="3"/>
      <c r="E74" s="3" t="s">
        <v>116</v>
      </c>
      <c r="F74" s="3"/>
      <c r="G74" s="3"/>
      <c r="H74" s="3"/>
      <c r="I74" s="3"/>
      <c r="J74" s="3"/>
      <c r="K74" s="3"/>
      <c r="L74" s="3" t="s">
        <v>80</v>
      </c>
      <c r="M74" s="3">
        <v>70</v>
      </c>
      <c r="N74" s="3" t="s">
        <v>94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8</v>
      </c>
      <c r="B75" s="3" t="s">
        <v>79</v>
      </c>
      <c r="C75" s="3" t="s">
        <v>116</v>
      </c>
      <c r="D75" s="3"/>
      <c r="E75" s="3" t="s">
        <v>116</v>
      </c>
      <c r="F75" s="3"/>
      <c r="G75" s="3"/>
      <c r="H75" s="3"/>
      <c r="I75" s="3"/>
      <c r="J75" s="3"/>
      <c r="K75" s="3"/>
      <c r="L75" s="3" t="s">
        <v>80</v>
      </c>
      <c r="M75" s="3">
        <v>80</v>
      </c>
      <c r="N75" s="3" t="s">
        <v>84</v>
      </c>
      <c r="O75" s="3"/>
      <c r="P75" s="3"/>
      <c r="Q75" s="3">
        <v>1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8</v>
      </c>
      <c r="B76" s="3" t="s">
        <v>79</v>
      </c>
      <c r="C76" s="3" t="s">
        <v>116</v>
      </c>
      <c r="D76" s="3"/>
      <c r="E76" s="3" t="s">
        <v>116</v>
      </c>
      <c r="F76" s="3"/>
      <c r="G76" s="3"/>
      <c r="H76" s="3"/>
      <c r="I76" s="3"/>
      <c r="J76" s="3"/>
      <c r="K76" s="3"/>
      <c r="L76" s="3" t="s">
        <v>80</v>
      </c>
      <c r="M76" s="3">
        <v>90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9</v>
      </c>
      <c r="B77" s="3" t="s">
        <v>79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80</v>
      </c>
      <c r="M77" s="3">
        <v>10</v>
      </c>
      <c r="N77" s="3" t="s">
        <v>90</v>
      </c>
      <c r="O77" s="3"/>
      <c r="P77" s="3"/>
      <c r="Q77" s="3">
        <v>1.88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9</v>
      </c>
      <c r="B78" s="3" t="s">
        <v>79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80</v>
      </c>
      <c r="M78" s="3">
        <v>20</v>
      </c>
      <c r="N78" s="3" t="s">
        <v>120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9</v>
      </c>
      <c r="B79" s="3" t="s">
        <v>79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80</v>
      </c>
      <c r="M79" s="3">
        <v>30</v>
      </c>
      <c r="N79" s="3" t="s">
        <v>92</v>
      </c>
      <c r="O79" s="3"/>
      <c r="P79" s="3"/>
      <c r="Q79" s="3">
        <v>13.183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9</v>
      </c>
      <c r="B80" s="3" t="s">
        <v>79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80</v>
      </c>
      <c r="M80" s="3">
        <v>40</v>
      </c>
      <c r="N80" s="3" t="s">
        <v>93</v>
      </c>
      <c r="O80" s="3"/>
      <c r="P80" s="3"/>
      <c r="Q80" s="3">
        <v>13.183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9</v>
      </c>
      <c r="B81" s="3" t="s">
        <v>79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80</v>
      </c>
      <c r="M81" s="3">
        <v>50</v>
      </c>
      <c r="N81" s="3" t="s">
        <v>88</v>
      </c>
      <c r="O81" s="3"/>
      <c r="P81" s="3"/>
      <c r="Q81" s="3">
        <v>81.228999999999999</v>
      </c>
      <c r="R81" s="3" t="s">
        <v>89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9</v>
      </c>
      <c r="B82" s="3" t="s">
        <v>79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80</v>
      </c>
      <c r="M82" s="3">
        <v>60</v>
      </c>
      <c r="N82" s="3" t="s">
        <v>91</v>
      </c>
      <c r="O82" s="3"/>
      <c r="P82" s="3"/>
      <c r="Q82" s="3">
        <v>0.52400000000000002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9</v>
      </c>
      <c r="B83" s="3" t="s">
        <v>79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80</v>
      </c>
      <c r="M83" s="3">
        <v>70</v>
      </c>
      <c r="N83" s="3" t="s">
        <v>94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9</v>
      </c>
      <c r="B84" s="3" t="s">
        <v>79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80</v>
      </c>
      <c r="M84" s="3">
        <v>80</v>
      </c>
      <c r="N84" s="3" t="s">
        <v>84</v>
      </c>
      <c r="O84" s="3"/>
      <c r="P84" s="3"/>
      <c r="Q84" s="3">
        <v>1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9</v>
      </c>
      <c r="B85" s="3" t="s">
        <v>79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80</v>
      </c>
      <c r="M85" s="3">
        <v>90</v>
      </c>
      <c r="N85" s="3" t="s">
        <v>121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10</v>
      </c>
      <c r="B86" s="3" t="s">
        <v>79</v>
      </c>
      <c r="C86" s="3" t="s">
        <v>122</v>
      </c>
      <c r="D86" s="3"/>
      <c r="E86" s="3" t="s">
        <v>122</v>
      </c>
      <c r="F86" s="3"/>
      <c r="G86" s="3"/>
      <c r="H86" s="3"/>
      <c r="I86" s="3"/>
      <c r="J86" s="3"/>
      <c r="K86" s="3"/>
      <c r="L86" s="3" t="s">
        <v>80</v>
      </c>
      <c r="M86" s="3">
        <v>10</v>
      </c>
      <c r="N86" s="3" t="s">
        <v>90</v>
      </c>
      <c r="O86" s="3"/>
      <c r="P86" s="3"/>
      <c r="Q86" s="3">
        <v>2.4889999999999999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10</v>
      </c>
      <c r="B87" s="3" t="s">
        <v>79</v>
      </c>
      <c r="C87" s="3" t="s">
        <v>122</v>
      </c>
      <c r="D87" s="3"/>
      <c r="E87" s="3" t="s">
        <v>122</v>
      </c>
      <c r="F87" s="3"/>
      <c r="G87" s="3"/>
      <c r="H87" s="3"/>
      <c r="I87" s="3"/>
      <c r="J87" s="3"/>
      <c r="K87" s="3"/>
      <c r="L87" s="3" t="s">
        <v>80</v>
      </c>
      <c r="M87" s="3">
        <v>20</v>
      </c>
      <c r="N87" s="3" t="s">
        <v>123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10</v>
      </c>
      <c r="B88" s="3" t="s">
        <v>79</v>
      </c>
      <c r="C88" s="3" t="s">
        <v>122</v>
      </c>
      <c r="D88" s="3"/>
      <c r="E88" s="3" t="s">
        <v>122</v>
      </c>
      <c r="F88" s="3"/>
      <c r="G88" s="3"/>
      <c r="H88" s="3"/>
      <c r="I88" s="3"/>
      <c r="J88" s="3"/>
      <c r="K88" s="3"/>
      <c r="L88" s="3" t="s">
        <v>80</v>
      </c>
      <c r="M88" s="3">
        <v>30</v>
      </c>
      <c r="N88" s="3" t="s">
        <v>92</v>
      </c>
      <c r="O88" s="3"/>
      <c r="P88" s="3"/>
      <c r="Q88" s="3">
        <v>15.010999999999999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10</v>
      </c>
      <c r="B89" s="3" t="s">
        <v>79</v>
      </c>
      <c r="C89" s="3" t="s">
        <v>122</v>
      </c>
      <c r="D89" s="3"/>
      <c r="E89" s="3" t="s">
        <v>122</v>
      </c>
      <c r="F89" s="3"/>
      <c r="G89" s="3"/>
      <c r="H89" s="3"/>
      <c r="I89" s="3"/>
      <c r="J89" s="3"/>
      <c r="K89" s="3"/>
      <c r="L89" s="3" t="s">
        <v>80</v>
      </c>
      <c r="M89" s="3">
        <v>40</v>
      </c>
      <c r="N89" s="3" t="s">
        <v>93</v>
      </c>
      <c r="O89" s="3"/>
      <c r="P89" s="3"/>
      <c r="Q89" s="3">
        <v>15.010999999999999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10</v>
      </c>
      <c r="B90" s="3" t="s">
        <v>79</v>
      </c>
      <c r="C90" s="3" t="s">
        <v>122</v>
      </c>
      <c r="D90" s="3"/>
      <c r="E90" s="3" t="s">
        <v>122</v>
      </c>
      <c r="F90" s="3"/>
      <c r="G90" s="3"/>
      <c r="H90" s="3"/>
      <c r="I90" s="3"/>
      <c r="J90" s="3"/>
      <c r="K90" s="3"/>
      <c r="L90" s="3" t="s">
        <v>80</v>
      </c>
      <c r="M90" s="3">
        <v>50</v>
      </c>
      <c r="N90" s="3" t="s">
        <v>88</v>
      </c>
      <c r="O90" s="3"/>
      <c r="P90" s="3"/>
      <c r="Q90" s="3">
        <v>92.475999999999999</v>
      </c>
      <c r="R90" s="3" t="s">
        <v>89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10</v>
      </c>
      <c r="B91" s="3" t="s">
        <v>79</v>
      </c>
      <c r="C91" s="3" t="s">
        <v>122</v>
      </c>
      <c r="D91" s="3"/>
      <c r="E91" s="3" t="s">
        <v>122</v>
      </c>
      <c r="F91" s="3"/>
      <c r="G91" s="3"/>
      <c r="H91" s="3"/>
      <c r="I91" s="3"/>
      <c r="J91" s="3"/>
      <c r="K91" s="3"/>
      <c r="L91" s="3" t="s">
        <v>80</v>
      </c>
      <c r="M91" s="3">
        <v>60</v>
      </c>
      <c r="N91" s="3" t="s">
        <v>91</v>
      </c>
      <c r="O91" s="3"/>
      <c r="P91" s="3"/>
      <c r="Q91" s="3">
        <v>0.70399999999999996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10</v>
      </c>
      <c r="B92" s="3" t="s">
        <v>79</v>
      </c>
      <c r="C92" s="3" t="s">
        <v>122</v>
      </c>
      <c r="D92" s="3"/>
      <c r="E92" s="3" t="s">
        <v>122</v>
      </c>
      <c r="F92" s="3"/>
      <c r="G92" s="3"/>
      <c r="H92" s="3"/>
      <c r="I92" s="3"/>
      <c r="J92" s="3"/>
      <c r="K92" s="3"/>
      <c r="L92" s="3" t="s">
        <v>80</v>
      </c>
      <c r="M92" s="3">
        <v>70</v>
      </c>
      <c r="N92" s="3" t="s">
        <v>94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10</v>
      </c>
      <c r="B93" s="3" t="s">
        <v>79</v>
      </c>
      <c r="C93" s="3" t="s">
        <v>122</v>
      </c>
      <c r="D93" s="3"/>
      <c r="E93" s="3" t="s">
        <v>122</v>
      </c>
      <c r="F93" s="3"/>
      <c r="G93" s="3"/>
      <c r="H93" s="3"/>
      <c r="I93" s="3"/>
      <c r="J93" s="3"/>
      <c r="K93" s="3"/>
      <c r="L93" s="3" t="s">
        <v>80</v>
      </c>
      <c r="M93" s="3">
        <v>80</v>
      </c>
      <c r="N93" s="3" t="s">
        <v>84</v>
      </c>
      <c r="O93" s="3"/>
      <c r="P93" s="3"/>
      <c r="Q93" s="3">
        <v>1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10</v>
      </c>
      <c r="B94" s="3" t="s">
        <v>79</v>
      </c>
      <c r="C94" s="3" t="s">
        <v>122</v>
      </c>
      <c r="D94" s="3"/>
      <c r="E94" s="3" t="s">
        <v>122</v>
      </c>
      <c r="F94" s="3"/>
      <c r="G94" s="3"/>
      <c r="H94" s="3"/>
      <c r="I94" s="3"/>
      <c r="J94" s="3"/>
      <c r="K94" s="3"/>
      <c r="L94" s="3" t="s">
        <v>80</v>
      </c>
      <c r="M94" s="3">
        <v>90</v>
      </c>
      <c r="N94" s="3" t="s">
        <v>124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11</v>
      </c>
      <c r="B95" s="3" t="s">
        <v>79</v>
      </c>
      <c r="C95" s="3" t="s">
        <v>125</v>
      </c>
      <c r="D95" s="3"/>
      <c r="E95" s="3" t="s">
        <v>125</v>
      </c>
      <c r="F95" s="3"/>
      <c r="G95" s="3"/>
      <c r="H95" s="3"/>
      <c r="I95" s="3"/>
      <c r="J95" s="3"/>
      <c r="K95" s="3"/>
      <c r="L95" s="3" t="s">
        <v>80</v>
      </c>
      <c r="M95" s="3">
        <v>10</v>
      </c>
      <c r="N95" s="3" t="s">
        <v>90</v>
      </c>
      <c r="O95" s="3"/>
      <c r="P95" s="3"/>
      <c r="Q95" s="3">
        <v>2.4889999999999999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11</v>
      </c>
      <c r="B96" s="3" t="s">
        <v>79</v>
      </c>
      <c r="C96" s="3" t="s">
        <v>125</v>
      </c>
      <c r="D96" s="3"/>
      <c r="E96" s="3" t="s">
        <v>125</v>
      </c>
      <c r="F96" s="3"/>
      <c r="G96" s="3"/>
      <c r="H96" s="3"/>
      <c r="I96" s="3"/>
      <c r="J96" s="3"/>
      <c r="K96" s="3"/>
      <c r="L96" s="3" t="s">
        <v>80</v>
      </c>
      <c r="M96" s="3">
        <v>20</v>
      </c>
      <c r="N96" s="3" t="s">
        <v>126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11</v>
      </c>
      <c r="B97" s="3" t="s">
        <v>79</v>
      </c>
      <c r="C97" s="3" t="s">
        <v>125</v>
      </c>
      <c r="D97" s="3"/>
      <c r="E97" s="3" t="s">
        <v>125</v>
      </c>
      <c r="F97" s="3"/>
      <c r="G97" s="3"/>
      <c r="H97" s="3"/>
      <c r="I97" s="3"/>
      <c r="J97" s="3"/>
      <c r="K97" s="3"/>
      <c r="L97" s="3" t="s">
        <v>80</v>
      </c>
      <c r="M97" s="3">
        <v>30</v>
      </c>
      <c r="N97" s="3" t="s">
        <v>92</v>
      </c>
      <c r="O97" s="3"/>
      <c r="P97" s="3"/>
      <c r="Q97" s="3">
        <v>15.010999999999999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11</v>
      </c>
      <c r="B98" s="3" t="s">
        <v>79</v>
      </c>
      <c r="C98" s="3" t="s">
        <v>125</v>
      </c>
      <c r="D98" s="3"/>
      <c r="E98" s="3" t="s">
        <v>125</v>
      </c>
      <c r="F98" s="3"/>
      <c r="G98" s="3"/>
      <c r="H98" s="3"/>
      <c r="I98" s="3"/>
      <c r="J98" s="3"/>
      <c r="K98" s="3"/>
      <c r="L98" s="3" t="s">
        <v>80</v>
      </c>
      <c r="M98" s="3">
        <v>40</v>
      </c>
      <c r="N98" s="3" t="s">
        <v>93</v>
      </c>
      <c r="O98" s="3"/>
      <c r="P98" s="3"/>
      <c r="Q98" s="3">
        <v>15.010999999999999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11</v>
      </c>
      <c r="B99" s="3" t="s">
        <v>79</v>
      </c>
      <c r="C99" s="3" t="s">
        <v>125</v>
      </c>
      <c r="D99" s="3"/>
      <c r="E99" s="3" t="s">
        <v>125</v>
      </c>
      <c r="F99" s="3"/>
      <c r="G99" s="3"/>
      <c r="H99" s="3"/>
      <c r="I99" s="3"/>
      <c r="J99" s="3"/>
      <c r="K99" s="3"/>
      <c r="L99" s="3" t="s">
        <v>80</v>
      </c>
      <c r="M99" s="3">
        <v>50</v>
      </c>
      <c r="N99" s="3" t="s">
        <v>88</v>
      </c>
      <c r="O99" s="3"/>
      <c r="P99" s="3"/>
      <c r="Q99" s="3">
        <v>92.475999999999999</v>
      </c>
      <c r="R99" s="3" t="s">
        <v>89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11</v>
      </c>
      <c r="B100" s="3" t="s">
        <v>79</v>
      </c>
      <c r="C100" s="3" t="s">
        <v>125</v>
      </c>
      <c r="D100" s="3"/>
      <c r="E100" s="3" t="s">
        <v>125</v>
      </c>
      <c r="F100" s="3"/>
      <c r="G100" s="3"/>
      <c r="H100" s="3"/>
      <c r="I100" s="3"/>
      <c r="J100" s="3"/>
      <c r="K100" s="3"/>
      <c r="L100" s="3" t="s">
        <v>80</v>
      </c>
      <c r="M100" s="3">
        <v>60</v>
      </c>
      <c r="N100" s="3" t="s">
        <v>91</v>
      </c>
      <c r="O100" s="3"/>
      <c r="P100" s="3"/>
      <c r="Q100" s="3">
        <v>0.70399999999999996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11</v>
      </c>
      <c r="B101" s="3" t="s">
        <v>79</v>
      </c>
      <c r="C101" s="3" t="s">
        <v>125</v>
      </c>
      <c r="D101" s="3"/>
      <c r="E101" s="3" t="s">
        <v>125</v>
      </c>
      <c r="F101" s="3"/>
      <c r="G101" s="3"/>
      <c r="H101" s="3"/>
      <c r="I101" s="3"/>
      <c r="J101" s="3"/>
      <c r="K101" s="3"/>
      <c r="L101" s="3" t="s">
        <v>80</v>
      </c>
      <c r="M101" s="3">
        <v>70</v>
      </c>
      <c r="N101" s="3" t="s">
        <v>94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11</v>
      </c>
      <c r="B102" s="3" t="s">
        <v>79</v>
      </c>
      <c r="C102" s="3" t="s">
        <v>125</v>
      </c>
      <c r="D102" s="3"/>
      <c r="E102" s="3" t="s">
        <v>125</v>
      </c>
      <c r="F102" s="3"/>
      <c r="G102" s="3"/>
      <c r="H102" s="3"/>
      <c r="I102" s="3"/>
      <c r="J102" s="3"/>
      <c r="K102" s="3"/>
      <c r="L102" s="3" t="s">
        <v>80</v>
      </c>
      <c r="M102" s="3">
        <v>80</v>
      </c>
      <c r="N102" s="3" t="s">
        <v>84</v>
      </c>
      <c r="O102" s="3"/>
      <c r="P102" s="3"/>
      <c r="Q102" s="3">
        <v>1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11</v>
      </c>
      <c r="B103" s="3" t="s">
        <v>79</v>
      </c>
      <c r="C103" s="3" t="s">
        <v>125</v>
      </c>
      <c r="D103" s="3"/>
      <c r="E103" s="3" t="s">
        <v>125</v>
      </c>
      <c r="F103" s="3"/>
      <c r="G103" s="3"/>
      <c r="H103" s="3"/>
      <c r="I103" s="3"/>
      <c r="J103" s="3"/>
      <c r="K103" s="3"/>
      <c r="L103" s="3" t="s">
        <v>80</v>
      </c>
      <c r="M103" s="3">
        <v>90</v>
      </c>
      <c r="N103" s="3" t="s">
        <v>127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12</v>
      </c>
      <c r="B104" s="3" t="s">
        <v>79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80</v>
      </c>
      <c r="M104" s="3">
        <v>10</v>
      </c>
      <c r="N104" s="3" t="s">
        <v>90</v>
      </c>
      <c r="O104" s="3"/>
      <c r="P104" s="3"/>
      <c r="Q104" s="3">
        <v>2.4889999999999999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12</v>
      </c>
      <c r="B105" s="3" t="s">
        <v>79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80</v>
      </c>
      <c r="M105" s="3">
        <v>20</v>
      </c>
      <c r="N105" s="3" t="s">
        <v>129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12</v>
      </c>
      <c r="B106" s="3" t="s">
        <v>79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80</v>
      </c>
      <c r="M106" s="3">
        <v>30</v>
      </c>
      <c r="N106" s="3" t="s">
        <v>92</v>
      </c>
      <c r="O106" s="3"/>
      <c r="P106" s="3"/>
      <c r="Q106" s="3">
        <v>15.010999999999999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12</v>
      </c>
      <c r="B107" s="3" t="s">
        <v>79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80</v>
      </c>
      <c r="M107" s="3">
        <v>40</v>
      </c>
      <c r="N107" s="3" t="s">
        <v>93</v>
      </c>
      <c r="O107" s="3"/>
      <c r="P107" s="3"/>
      <c r="Q107" s="3">
        <v>15.010999999999999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12</v>
      </c>
      <c r="B108" s="3" t="s">
        <v>79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80</v>
      </c>
      <c r="M108" s="3">
        <v>50</v>
      </c>
      <c r="N108" s="3" t="s">
        <v>88</v>
      </c>
      <c r="O108" s="3"/>
      <c r="P108" s="3"/>
      <c r="Q108" s="3">
        <v>92.475999999999999</v>
      </c>
      <c r="R108" s="3" t="s">
        <v>89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12</v>
      </c>
      <c r="B109" s="3" t="s">
        <v>79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80</v>
      </c>
      <c r="M109" s="3">
        <v>60</v>
      </c>
      <c r="N109" s="3" t="s">
        <v>91</v>
      </c>
      <c r="O109" s="3"/>
      <c r="P109" s="3"/>
      <c r="Q109" s="3">
        <v>0.70399999999999996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12</v>
      </c>
      <c r="B110" s="3" t="s">
        <v>79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80</v>
      </c>
      <c r="M110" s="3">
        <v>70</v>
      </c>
      <c r="N110" s="3" t="s">
        <v>94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12</v>
      </c>
      <c r="B111" s="3" t="s">
        <v>79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80</v>
      </c>
      <c r="M111" s="3">
        <v>80</v>
      </c>
      <c r="N111" s="3" t="s">
        <v>84</v>
      </c>
      <c r="O111" s="3"/>
      <c r="P111" s="3"/>
      <c r="Q111" s="3">
        <v>1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12</v>
      </c>
      <c r="B112" s="3" t="s">
        <v>79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80</v>
      </c>
      <c r="M112" s="3">
        <v>90</v>
      </c>
      <c r="N112" s="3" t="s">
        <v>130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Quilting</dc:creator>
  <cp:lastModifiedBy>Quilting</cp:lastModifiedBy>
  <cp:lastPrinted>2022-05-27T11:55:11Z</cp:lastPrinted>
  <dcterms:created xsi:type="dcterms:W3CDTF">2006-09-16T00:00:00Z</dcterms:created>
  <dcterms:modified xsi:type="dcterms:W3CDTF">2026-01-06T04:20:43Z</dcterms:modified>
</cp:coreProperties>
</file>