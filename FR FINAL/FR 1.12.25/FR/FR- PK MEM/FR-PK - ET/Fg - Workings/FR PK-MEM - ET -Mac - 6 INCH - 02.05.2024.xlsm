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G3" i="13" l="1"/>
  <c r="E3" i="13"/>
  <c r="E2" i="13" l="1"/>
  <c r="G15" i="13" l="1"/>
  <c r="G8" i="13" l="1"/>
  <c r="H16" i="13" l="1"/>
  <c r="D16" i="13"/>
  <c r="H15" i="13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<sst xmlns="http://schemas.openxmlformats.org/spreadsheetml/2006/main" count="9626" uniqueCount="339">
  <si>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</si>
  <si>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</si>
  <si>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</si>
  <si>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</si>
  <si>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</si>
  <si>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</si>
  <si>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</si>
  <si>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</si>
  <si>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</si>
  <si>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</si>
  <si>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</si>
  <si>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</si>
  <si>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</si>
  <si>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</si>
  <si>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</si>
  <si>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</si>
  <si>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</si>
  <si>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</si>
  <si>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</si>
  <si>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</si>
  <si>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</si>
  <si>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</si>
  <si>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</si>
  <si>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</si>
  <si>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</si>
  <si>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</si>
  <si>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</si>
  <si>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</si>
  <si>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</si>
  <si>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</si>
  <si>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</si>
  <si>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</si>
  <si>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</si>
  <si>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</si>
  <si>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</si>
  <si>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</si>
  <si>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</si>
  <si>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</si>
  <si>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</si>
  <si>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</si>
  <si>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</si>
  <si>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</si>
  <si>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</si>
  <si>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</si>
  <si>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</si>
  <si>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</si>
  <si>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</si>
  <si>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</si>
  <si>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</si>
  <si>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</si>
  <si>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</si>
  <si>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</si>
  <si>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</si>
  <si>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</si>
  <si>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</si>
  <si>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</si>
  <si>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</si>
  <si>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</si>
  <si>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</si>
  <si>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</si>
  <si>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</si>
  <si>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</si>
  <si>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</si>
  <si>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</si>
  <si>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</si>
  <si>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</si>
  <si>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</si>
  <si>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</si>
  <si>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</si>
  <si>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</si>
  <si>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</si>
  <si>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</si>
  <si>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</si>
  <si>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</si>
  <si>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</si>
  <si>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</si>
  <si>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</si>
  <si>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</si>
  <si>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</si>
  <si>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</si>
  <si>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</si>
  <si>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</si>
  <si>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</si>
  <si>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</si>
  <si>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</si>
  <si>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</si>
  <si>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</si>
  <si>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</si>
  <si>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</si>
  <si>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</si>
  <si>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</si>
  <si>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</si>
  <si>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</si>
  <si>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</si>
  <si>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</si>
  <si>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</si>
  <si>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</si>
  <si>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</si>
  <si>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</si>
  <si>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</si>
  <si>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</si>
  <si>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</si>
  <si>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</si>
  <si>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</si>
  <si>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</si>
  <si>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</si>
  <si>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</si>
  <si>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</si>
  <si>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</si>
  <si>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</si>
  <si>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</si>
  <si>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</si>
  <si>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</si>
  <si>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</si>
  <si>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</si>
  <si>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</si>
  <si>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</si>
  <si>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</si>
  <si>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</si>
  <si>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</si>
  <si>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</si>
  <si>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</si>
  <si>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</si>
  <si>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</si>
  <si>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</si>
  <si>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</si>
  <si>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</si>
  <si>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</si>
  <si>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</si>
  <si>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</si>
  <si>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</si>
  <si>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</si>
  <si>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</si>
  <si>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</si>
  <si>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</si>
  <si>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</si>
  <si>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</si>
  <si>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</si>
  <si>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RTHTMTPKMFET72X33X06</t>
  </si>
  <si>
    <t>OEFRPKSR71X32X110</t>
  </si>
  <si>
    <t>SFG-FRPKET-MEM-BOR-72X33X06</t>
  </si>
  <si>
    <t>SFG-FRBNPK-ET-CVR-72X33X06</t>
  </si>
  <si>
    <t>RML-CS-PL-6.5"</t>
  </si>
  <si>
    <t>28D-PU-FOAM-71.50X32.50X10MM</t>
  </si>
  <si>
    <t>RTHTMTPKMFET72X39X06</t>
  </si>
  <si>
    <t>OEFRPKSR71X38X110</t>
  </si>
  <si>
    <t>SFG-FRPKET-MEM-BOR-72X39X06</t>
  </si>
  <si>
    <t>SFG-FRBNPK-ET-CVR-72X39X06</t>
  </si>
  <si>
    <t>28D-PU-FOAM-71.50X38.50X10MM</t>
  </si>
  <si>
    <t>RTHTMTPKMFET72X45X06</t>
  </si>
  <si>
    <t>OEFRPKSR71X44X110</t>
  </si>
  <si>
    <t>SFG-FRPKET-MEM-BOR-72X45X06</t>
  </si>
  <si>
    <t>SFG-FRBNPK-ET-CVR-72X45X06</t>
  </si>
  <si>
    <t>28D-PU-FOAM-71.50X44.50X10MM</t>
  </si>
  <si>
    <t>RTHTMTPKMFET72X51X06</t>
  </si>
  <si>
    <t>OEFRPKSR71X50X110</t>
  </si>
  <si>
    <t>SFG-FRPKET-MEM-BOR-72X51X06</t>
  </si>
  <si>
    <t>SFG-FRBNPK-ET-CVR-72X51X06</t>
  </si>
  <si>
    <t>28D-PU-FOAM-71.50X50.50X10MM</t>
  </si>
  <si>
    <t>RTHTMTPKMFET72X54X06</t>
  </si>
  <si>
    <t>OEFRPKSR71X53X110</t>
  </si>
  <si>
    <t>SFG-FRPKET-MEM-BOR-72X54X06</t>
  </si>
  <si>
    <t>SFG-FRBNPK-ET-CVR-72X54X06</t>
  </si>
  <si>
    <t>28D-PU-FOAM-71.50X53.50X10MM</t>
  </si>
  <si>
    <t>RTHTMTPKMFET72X57X06</t>
  </si>
  <si>
    <t>OEFRPKSR71X56X110</t>
  </si>
  <si>
    <t>SFG-FRPKET-MEM-BOR-72X57X06</t>
  </si>
  <si>
    <t>SFG-FRBNPK-ET-CVR-72X57X06</t>
  </si>
  <si>
    <t>28D-PU-FOAM-71.50X56.50X10MM</t>
  </si>
  <si>
    <t>RTHTMTPKMFET72X63X06</t>
  </si>
  <si>
    <t>OEFRPKSR71X62X110</t>
  </si>
  <si>
    <t>SFG-FRPKET-MEM-BOR-72X63X06</t>
  </si>
  <si>
    <t>SFG-FRBNPK-ET-CVR-72X63X06</t>
  </si>
  <si>
    <t>28D-PU-FOAM-71.50X62.50X10MM</t>
  </si>
  <si>
    <t>RTHTMTPKMFET72X69X06</t>
  </si>
  <si>
    <t>OEFRPKSR71X68X110</t>
  </si>
  <si>
    <t>SFG-FRPKET-MEM-BOR-72X69X06</t>
  </si>
  <si>
    <t>SFG-FRBNPK-ET-CVR-72X69X06</t>
  </si>
  <si>
    <t>28D-PU-FOAM-71.50X68.50X10MM</t>
  </si>
  <si>
    <t>RTHTMTPKMFET75X33X06</t>
  </si>
  <si>
    <t>OEFRPKSR74X32X110</t>
  </si>
  <si>
    <t>SFG-FRPKET-MEM-BOR-75X33X06</t>
  </si>
  <si>
    <t>SFG-FRBNPK-ET-CVR-75X33X06</t>
  </si>
  <si>
    <t>28D-PU-FOAM-74.50X32.50X10MM</t>
  </si>
  <si>
    <t>RTHTMTPKMFET75X39X06</t>
  </si>
  <si>
    <t>OEFRPKSR74X38X110</t>
  </si>
  <si>
    <t>SFG-FRPKET-MEM-BOR-75X39X06</t>
  </si>
  <si>
    <t>SFG-FRBNPK-ET-CVR-75X39X06</t>
  </si>
  <si>
    <t>28D-PU-FOAM-74.50X38.50X10MM</t>
  </si>
  <si>
    <t>RTHTMTPKMFET75X45X06</t>
  </si>
  <si>
    <t>OEFRPKSR74X44X110</t>
  </si>
  <si>
    <t>SFG-FRPKET-MEM-BOR-75X45X06</t>
  </si>
  <si>
    <t>SFG-FRBNPK-ET-CVR-75X45X06</t>
  </si>
  <si>
    <t>28D-PU-FOAM-74.50X44.50X10MM</t>
  </si>
  <si>
    <t>RTHTMTPKMFET75X51X06</t>
  </si>
  <si>
    <t>OEFRPKSR74X50X110</t>
  </si>
  <si>
    <t>SFG-FRPKET-MEM-BOR-75X51X06</t>
  </si>
  <si>
    <t>SFG-FRBNPK-ET-CVR-75X51X06</t>
  </si>
  <si>
    <t>28D-PU-FOAM-74.50X50.50X10MM</t>
  </si>
  <si>
    <t>RTHTMTPKMFET75X54X06</t>
  </si>
  <si>
    <t>OEFRPKSR74X53X110</t>
  </si>
  <si>
    <t>SFG-FRPKET-MEM-BOR-75X54X06</t>
  </si>
  <si>
    <t>SFG-FRBNPK-ET-CVR-75X54X06</t>
  </si>
  <si>
    <t>28D-PU-FOAM-74.50X53.50X10MM</t>
  </si>
  <si>
    <t>RTHTMTPKMFET75X57X06</t>
  </si>
  <si>
    <t>OEFRPKSR74X56X110</t>
  </si>
  <si>
    <t>SFG-FRPKET-MEM-BOR-75X57X06</t>
  </si>
  <si>
    <t>SFG-FRBNPK-ET-CVR-75X57X06</t>
  </si>
  <si>
    <t>28D-PU-FOAM-74.50X56.50X10MM</t>
  </si>
  <si>
    <t>RTHTMTPKMFET75X63X06</t>
  </si>
  <si>
    <t>OEFRPKSR74X62X110</t>
  </si>
  <si>
    <t>SFG-FRPKET-MEM-BOR-75X63X06</t>
  </si>
  <si>
    <t>SFG-FRBNPK-ET-CVR-75X63X06</t>
  </si>
  <si>
    <t>28D-PU-FOAM-74.50X62.50X10MM</t>
  </si>
  <si>
    <t>RTHTMTPKMFET75X69X06</t>
  </si>
  <si>
    <t>OEFRPKSR74X68X110</t>
  </si>
  <si>
    <t>SFG-FRPKET-MEM-BOR-75X69X06</t>
  </si>
  <si>
    <t>SFG-FRBNPK-ET-CVR-75X69X06</t>
  </si>
  <si>
    <t>28D-PU-FOAM-74.50X68.50X10MM</t>
  </si>
  <si>
    <t>RTHTMTPKMFET78X33X06</t>
  </si>
  <si>
    <t>OEFRPKSR77X32X110</t>
  </si>
  <si>
    <t>SFG-FRPKET-MEM-BOR-78X33X06</t>
  </si>
  <si>
    <t>SFG-FRBNPK-ET-CVR-78X33X06</t>
  </si>
  <si>
    <t>28D-PU-FOAM-77.50X32.50X10MM</t>
  </si>
  <si>
    <t>RTHTMTPKMFET78X39X06</t>
  </si>
  <si>
    <t>OEFRPKSR77X38X110</t>
  </si>
  <si>
    <t>SFG-FRPKET-MEM-BOR-78X39X06</t>
  </si>
  <si>
    <t>SFG-FRBNPK-ET-CVR-78X39X06</t>
  </si>
  <si>
    <t>28D-PU-FOAM-77.50X38.50X10MM</t>
  </si>
  <si>
    <t>RTHTMTPKMFET78X45X06</t>
  </si>
  <si>
    <t>OEFRPKSR77X44X110</t>
  </si>
  <si>
    <t>SFG-FRPKET-MEM-BOR-78X45X06</t>
  </si>
  <si>
    <t>SFG-FRBNPK-ET-CVR-78X45X06</t>
  </si>
  <si>
    <t>28D-PU-FOAM-77.50X44.50X10MM</t>
  </si>
  <si>
    <t>RTHTMTPKMFET78X51X06</t>
  </si>
  <si>
    <t>OEFRPKSR77X50X110</t>
  </si>
  <si>
    <t>SFG-FRPKET-MEM-BOR-78X51X06</t>
  </si>
  <si>
    <t>SFG-FRBNPK-ET-CVR-78X51X06</t>
  </si>
  <si>
    <t>28D-PU-FOAM-77.50X50.50X10MM</t>
  </si>
  <si>
    <t>RTHTMTPKMFET78X54X06</t>
  </si>
  <si>
    <t>OEFRPKSR77X53X110</t>
  </si>
  <si>
    <t>SFG-FRPKET-MEM-BOR-78X54X06</t>
  </si>
  <si>
    <t>SFG-FRBNPK-ET-CVR-78X54X06</t>
  </si>
  <si>
    <t>28D-PU-FOAM-77.50X53.50X10MM</t>
  </si>
  <si>
    <t>RTHTMTPKMFET78X57X06</t>
  </si>
  <si>
    <t>OEFRPKSR77X56X110</t>
  </si>
  <si>
    <t>SFG-FRPKET-MEM-BOR-78X57X06</t>
  </si>
  <si>
    <t>SFG-FRBNPK-ET-CVR-78X57X06</t>
  </si>
  <si>
    <t>28D-PU-FOAM-77.50X56.50X10MM</t>
  </si>
  <si>
    <t>RTHTMTPKMFET78X63X06</t>
  </si>
  <si>
    <t>OEFRPKSR77X62X110</t>
  </si>
  <si>
    <t>SFG-FRPKET-MEM-BOR-78X63X06</t>
  </si>
  <si>
    <t>SFG-FRBNPK-ET-CVR-78X63X06</t>
  </si>
  <si>
    <t>28D-PU-FOAM-77.50X62.50X10MM</t>
  </si>
  <si>
    <t>RTHTMTPKMFET78X69X06</t>
  </si>
  <si>
    <t>OEFRPKSR77X68X110</t>
  </si>
  <si>
    <t>SFG-FRPKET-MEM-BOR-78X69X06</t>
  </si>
  <si>
    <t>SFG-FRBNPK-ET-CVR-78X69X06</t>
  </si>
  <si>
    <t>28D-PU-FOAM-77.50X68.50X10MM</t>
  </si>
  <si>
    <t>RTHTMTPKMFET80X33X06</t>
  </si>
  <si>
    <t>OEFRPKSR79X32X110</t>
  </si>
  <si>
    <t>SFG-FRPKET-MEM-BOR-80X33X06</t>
  </si>
  <si>
    <t>SFG-FRBNPK-ET-CVR-80X33X06</t>
  </si>
  <si>
    <t>28D-PU-FOAM-79.50X32.50X10MM</t>
  </si>
  <si>
    <t>RTHTMTPKMFET80X39X06</t>
  </si>
  <si>
    <t>OEFRPKSR79X38X110</t>
  </si>
  <si>
    <t>SFG-FRPKET-MEM-BOR-80X39X06</t>
  </si>
  <si>
    <t>SFG-FRBNPK-ET-CVR-80X39X06</t>
  </si>
  <si>
    <t>28D-PU-FOAM-79.50X38.50X10MM</t>
  </si>
  <si>
    <t>RTHTMTPKMFET80X45X06</t>
  </si>
  <si>
    <t>OEFRPKSR79X44X110</t>
  </si>
  <si>
    <t>SFG-FRPKET-MEM-BOR-80X45X06</t>
  </si>
  <si>
    <t>SFG-FRBNPK-ET-CVR-80X45X06</t>
  </si>
  <si>
    <t>28D-PU-FOAM-79.50X44.50X10MM</t>
  </si>
  <si>
    <t>RTHTMTPKMFET80X51X06</t>
  </si>
  <si>
    <t>OEFRPKSR79X50X110</t>
  </si>
  <si>
    <t>SFG-FRPKET-MEM-BOR-80X51X06</t>
  </si>
  <si>
    <t>SFG-FRBNPK-ET-CVR-80X51X06</t>
  </si>
  <si>
    <t>28D-PU-FOAM-79.50X50.50X10MM</t>
  </si>
  <si>
    <t>RTHTMTPKMFET80X54X06</t>
  </si>
  <si>
    <t>OEFRPKSR79X53X110</t>
  </si>
  <si>
    <t>SFG-FRPKET-MEM-BOR-80X54X06</t>
  </si>
  <si>
    <t>SFG-FRBNPK-ET-CVR-80X54X06</t>
  </si>
  <si>
    <t>28D-PU-FOAM-79.50X53.50X10MM</t>
  </si>
  <si>
    <t>RTHTMTPKMFET80X57X06</t>
  </si>
  <si>
    <t>OEFRPKSR79X56X110</t>
  </si>
  <si>
    <t>SFG-FRPKET-MEM-BOR-80X57X06</t>
  </si>
  <si>
    <t>SFG-FRBNPK-ET-CVR-80X57X06</t>
  </si>
  <si>
    <t>28D-PU-FOAM-79.50X56.50X10MM</t>
  </si>
  <si>
    <t>RTHTMTPKMFET80X63X06</t>
  </si>
  <si>
    <t>OEFRPKSR79X62X110</t>
  </si>
  <si>
    <t>SFG-FRPKET-MEM-BOR-80X63X06</t>
  </si>
  <si>
    <t>SFG-FRBNPK-ET-CVR-80X63X06</t>
  </si>
  <si>
    <t>28D-PU-FOAM-79.50X62.50X10MM</t>
  </si>
  <si>
    <t>RTHTMTPKMFET80X69X06</t>
  </si>
  <si>
    <t>OEFRPKSR79X68X110</t>
  </si>
  <si>
    <t>SFG-FRPKET-MEM-BOR-80X69X06</t>
  </si>
  <si>
    <t>SFG-FRBNPK-ET-CVR-80X69X06</t>
  </si>
  <si>
    <t>28D-PU-FOAM-79.50X68.50X10MM</t>
  </si>
  <si>
    <t>RTHTMTPKMFET84X33X06</t>
  </si>
  <si>
    <t>OEFRPKSR83X32X110</t>
  </si>
  <si>
    <t>SFG-FRPKET-MEM-BOR-84X33X06</t>
  </si>
  <si>
    <t>SFG-FRBNPK-ET-CVR-84X33X06</t>
  </si>
  <si>
    <t>28D-PU-FOAM-83.50X32.50X10MM</t>
  </si>
  <si>
    <t>RTHTMTPKMFET84X39X06</t>
  </si>
  <si>
    <t>OEFRPKSR83X38X110</t>
  </si>
  <si>
    <t>SFG-FRPKET-MEM-BOR-84X39X06</t>
  </si>
  <si>
    <t>SFG-FRBNPK-ET-CVR-84X39X06</t>
  </si>
  <si>
    <t>28D-PU-FOAM-83.50X38.50X10MM</t>
  </si>
  <si>
    <t>RTHTMTPKMFET84X45X06</t>
  </si>
  <si>
    <t>OEFRPKSR83X44X110</t>
  </si>
  <si>
    <t>SFG-FRPKET-MEM-BOR-84X45X06</t>
  </si>
  <si>
    <t>SFG-FRBNPK-ET-CVR-84X45X06</t>
  </si>
  <si>
    <t>28D-PU-FOAM-83.50X44.50X10MM</t>
  </si>
  <si>
    <t>RTHTMTPKMFET84X51X06</t>
  </si>
  <si>
    <t>OEFRPKSR83X50X110</t>
  </si>
  <si>
    <t>SFG-FRPKET-MEM-BOR-84X51X06</t>
  </si>
  <si>
    <t>SFG-FRBNPK-ET-CVR-84X51X06</t>
  </si>
  <si>
    <t>28D-PU-FOAM-83.50X50.50X10MM</t>
  </si>
  <si>
    <t>RTHTMTPKMFET84X54X06</t>
  </si>
  <si>
    <t>OEFRPKSR83X53X110</t>
  </si>
  <si>
    <t>SFG-FRPKET-MEM-BOR-84X54X06</t>
  </si>
  <si>
    <t>SFG-FRBNPK-ET-CVR-84X54X06</t>
  </si>
  <si>
    <t>28D-PU-FOAM-83.50X53.50X10MM</t>
  </si>
  <si>
    <t>RTHTMTPKMFET84X57X06</t>
  </si>
  <si>
    <t>OEFRPKSR83X56X110</t>
  </si>
  <si>
    <t>SFG-FRPKET-MEM-BOR-84X57X06</t>
  </si>
  <si>
    <t>SFG-FRBNPK-ET-CVR-84X57X06</t>
  </si>
  <si>
    <t>28D-PU-FOAM-83.50X56.50X10MM</t>
  </si>
  <si>
    <t>RTHTMTPKMFET84X63X06</t>
  </si>
  <si>
    <t>OEFRPKSR83X62X110</t>
  </si>
  <si>
    <t>SFG-FRPKET-MEM-BOR-84X63X06</t>
  </si>
  <si>
    <t>SFG-FRBNPK-ET-CVR-84X63X06</t>
  </si>
  <si>
    <t>28D-PU-FOAM-83.50X62.50X10MM</t>
  </si>
  <si>
    <t>RTHTMTPKMFET84X69X06</t>
  </si>
  <si>
    <t>OEFRPKSR83X68X110</t>
  </si>
  <si>
    <t>SFG-FRPKET-MEM-BOR-84X69X06</t>
  </si>
  <si>
    <t>SFG-FRBNPK-ET-CVR-84X69X06</t>
  </si>
  <si>
    <t>28D-PU-FOAM-83.50X68.50X10MM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</si>
</sst>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95</v>
      </c>
      <c r="S1" s="35" t="s">
        <v>96</v>
      </c>
      <c r="T1" s="35" t="s">
        <v>97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RTHTMTPKMFET75X36X06</v>
      </c>
      <c r="E2" s="1" t="str">
        <f>"OERTCPK75MMBOXSR"&amp;(K2-0.5)&amp;"0"&amp;"X"&amp;(L2-0.5)&amp;"0"&amp;"X"&amp;IF(M2=6,"110-",IF(M2=8,"160",IF(M2=10,"200",0)))</f>
        <v>OERTCPK75MMBOXSR74.50X35.50X110-</v>
      </c>
      <c r="F2" s="38" t="s">
        <v>11</v>
      </c>
      <c r="G2" s="39">
        <v>1</v>
      </c>
      <c r="H2" s="39">
        <f t="shared" ref="H2" si="0">ROUND(G2,3)</f>
        <v>1</v>
      </c>
      <c r="I2" s="20" t="s">
        <v>22</v>
      </c>
      <c r="J2" s="5"/>
      <c r="K2" s="6">
        <v>75</v>
      </c>
      <c r="L2" s="6">
        <v>36</v>
      </c>
      <c r="M2" s="34">
        <v>6</v>
      </c>
      <c r="N2" s="6" t="s">
        <v>129</v>
      </c>
      <c r="P2" s="4" t="s">
        <v>111</v>
      </c>
      <c r="R2" s="31" t="s">
        <v>112</v>
      </c>
      <c r="S2" s="31" t="s">
        <v>113</v>
      </c>
      <c r="T2" s="31">
        <v>6</v>
      </c>
      <c r="U2" s="32" t="s">
        <v>129</v>
      </c>
    </row>
    <row r="3" spans="1:21" s="18" customFormat="1" x14ac:dyDescent="0.25">
      <c r="A3" s="33">
        <v>2</v>
      </c>
      <c r="B3" s="7" t="s">
        <v>12</v>
      </c>
      <c r="C3" s="9" t="s">
        <v>16</v>
      </c>
      <c r="D3" s="7" t="str">
        <f t="shared" ref="D3:D16" si="1">"RTHTMTPKMFET"&amp;$K$2&amp;"X"&amp;$L$2&amp;"X"&amp;IF($M$2=10,$M$2,"0"&amp;$M$2)</f>
        <v>RTHTMTPKMFET75X36X06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4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9">
        <f t="shared" ref="H3" si="2"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1" t="s">
        <v>112</v>
      </c>
      <c r="S3" s="31" t="s">
        <v>114</v>
      </c>
      <c r="T3" s="31">
        <v>6</v>
      </c>
      <c r="U3" s="32" t="s">
        <v>129</v>
      </c>
    </row>
    <row r="4" spans="1:21" x14ac:dyDescent="0.25">
      <c r="A4" s="33">
        <v>3</v>
      </c>
      <c r="B4" s="7" t="s">
        <v>23</v>
      </c>
      <c r="C4" s="9" t="s">
        <v>24</v>
      </c>
      <c r="D4" s="7" t="str">
        <f t="shared" si="1"/>
        <v>RTHTMTPKMFET75X36X06</v>
      </c>
      <c r="E4" s="19" t="s">
        <v>130</v>
      </c>
      <c r="F4" s="11" t="s">
        <v>18</v>
      </c>
      <c r="G4" s="10">
        <f>IF(K2&lt;79,(L2+1),(K2+1))*0.0254</f>
        <v>0.93979999999999997</v>
      </c>
      <c r="H4" s="39">
        <f t="shared" ref="H4:H16" si="3">ROUND(G4,3)</f>
        <v>0.94</v>
      </c>
      <c r="I4" s="20" t="s">
        <v>22</v>
      </c>
      <c r="J4" s="12"/>
      <c r="O4" s="18"/>
      <c r="R4" s="31" t="s">
        <v>112</v>
      </c>
      <c r="S4" s="31" t="s">
        <v>115</v>
      </c>
      <c r="T4" s="31">
        <v>6</v>
      </c>
      <c r="U4" s="32" t="s">
        <v>129</v>
      </c>
    </row>
    <row r="5" spans="1:21" x14ac:dyDescent="0.25">
      <c r="A5" s="33">
        <v>4</v>
      </c>
      <c r="B5" s="7" t="s">
        <v>23</v>
      </c>
      <c r="C5" s="9" t="s">
        <v>133</v>
      </c>
      <c r="D5" s="7" t="str">
        <f t="shared" si="1"/>
        <v>RTHTMTPKMFET75X36X06</v>
      </c>
      <c r="E5" s="19" t="str">
        <f>"SFG-FRPKET-MEM-BOR-"&amp;K2&amp;"X"&amp;L2&amp;"X"&amp;IF(M2=10,10,"0"&amp;M2)</f>
        <v>SFG-FRPKET-MEM-BOR-75X36X06</v>
      </c>
      <c r="F5" s="11" t="s">
        <v>11</v>
      </c>
      <c r="G5" s="10">
        <v>1</v>
      </c>
      <c r="H5" s="39">
        <f t="shared" si="3"/>
        <v>1</v>
      </c>
      <c r="I5" s="20" t="s">
        <v>22</v>
      </c>
      <c r="J5" s="12"/>
      <c r="O5" s="18"/>
      <c r="R5" s="31" t="s">
        <v>112</v>
      </c>
      <c r="S5" s="31" t="s">
        <v>116</v>
      </c>
      <c r="T5" s="31">
        <v>6</v>
      </c>
      <c r="U5" s="32" t="s">
        <v>129</v>
      </c>
    </row>
    <row r="6" spans="1:21" x14ac:dyDescent="0.25">
      <c r="A6" s="33">
        <v>5</v>
      </c>
      <c r="B6" s="7" t="s">
        <v>23</v>
      </c>
      <c r="C6" s="9" t="s">
        <v>134</v>
      </c>
      <c r="D6" s="7" t="str">
        <f t="shared" si="1"/>
        <v>RTHTMTPKMFET75X36X06</v>
      </c>
      <c r="E6" s="19" t="str">
        <f>"SFG-FRBNPK-ET-CVR-"&amp;K2&amp;"X"&amp;L2&amp;"X"&amp;IF(M2=10,10,"0"&amp;M2)</f>
        <v>SFG-FRBNPK-ET-CVR-75X36X06</v>
      </c>
      <c r="F6" s="11" t="s">
        <v>11</v>
      </c>
      <c r="G6" s="10">
        <v>1</v>
      </c>
      <c r="H6" s="39">
        <f t="shared" si="3"/>
        <v>1</v>
      </c>
      <c r="I6" s="20" t="s">
        <v>22</v>
      </c>
      <c r="J6" s="12"/>
      <c r="R6" s="31" t="s">
        <v>112</v>
      </c>
      <c r="S6" s="31" t="s">
        <v>117</v>
      </c>
      <c r="T6" s="31">
        <v>6</v>
      </c>
      <c r="U6" s="32" t="s">
        <v>129</v>
      </c>
    </row>
    <row r="7" spans="1:21" x14ac:dyDescent="0.25">
      <c r="A7" s="33">
        <v>6</v>
      </c>
      <c r="B7" s="7" t="s">
        <v>23</v>
      </c>
      <c r="C7" s="9" t="s">
        <v>135</v>
      </c>
      <c r="D7" s="7" t="str">
        <f t="shared" si="1"/>
        <v>RTHTMTPKMFET75X36X06</v>
      </c>
      <c r="E7" s="36" t="s">
        <v>131</v>
      </c>
      <c r="F7" s="11" t="s">
        <v>18</v>
      </c>
      <c r="G7" s="10">
        <f>IF(K2&lt;79,(L2+1),(K2+1))*0.0254</f>
        <v>0.93979999999999997</v>
      </c>
      <c r="H7" s="39">
        <f t="shared" si="3"/>
        <v>0.94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1" t="s">
        <v>112</v>
      </c>
      <c r="S7" s="31" t="s">
        <v>118</v>
      </c>
      <c r="T7" s="31">
        <v>6</v>
      </c>
      <c r="U7" s="32" t="s">
        <v>129</v>
      </c>
    </row>
    <row r="8" spans="1:21" x14ac:dyDescent="0.25">
      <c r="A8" s="33">
        <v>7</v>
      </c>
      <c r="B8" s="7" t="s">
        <v>136</v>
      </c>
      <c r="C8" s="9" t="s">
        <v>16</v>
      </c>
      <c r="D8" s="7" t="str">
        <f t="shared" si="1"/>
        <v>RTHTMTPKMFET75X36X06</v>
      </c>
      <c r="E8" s="9" t="s">
        <v>125</v>
      </c>
      <c r="F8" s="11" t="s">
        <v>126</v>
      </c>
      <c r="G8" s="10">
        <f>((K2-0.5)*(L2-0.5)/144)*0.00729*2</f>
        <v>0.26778093749999998</v>
      </c>
      <c r="H8" s="39">
        <f t="shared" si="3"/>
        <v>0.26800000000000002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112</v>
      </c>
      <c r="S8" s="31" t="s">
        <v>119</v>
      </c>
      <c r="T8" s="31">
        <v>6</v>
      </c>
      <c r="U8" s="32" t="s">
        <v>129</v>
      </c>
    </row>
    <row r="9" spans="1:21" x14ac:dyDescent="0.25">
      <c r="A9" s="33">
        <v>8</v>
      </c>
      <c r="B9" s="7" t="s">
        <v>26</v>
      </c>
      <c r="C9" s="37" t="s">
        <v>27</v>
      </c>
      <c r="D9" s="7" t="str">
        <f t="shared" si="1"/>
        <v>RTHTMTPKMFET75X36X06</v>
      </c>
      <c r="E9" s="37" t="s">
        <v>127</v>
      </c>
      <c r="F9" s="15" t="s">
        <v>18</v>
      </c>
      <c r="G9" s="10">
        <f>(K2+L2+4)*2*0.0254*3</f>
        <v>17.526</v>
      </c>
      <c r="H9" s="39">
        <f t="shared" si="3"/>
        <v>17.526</v>
      </c>
      <c r="I9" s="8" t="s">
        <v>15</v>
      </c>
      <c r="J9" s="12"/>
      <c r="K9" s="18"/>
      <c r="L9" s="18"/>
      <c r="M9" s="18"/>
      <c r="N9" s="18"/>
      <c r="O9" s="18"/>
      <c r="P9" s="22"/>
      <c r="Q9" s="18"/>
      <c r="R9" s="31" t="s">
        <v>112</v>
      </c>
      <c r="S9" s="31" t="s">
        <v>120</v>
      </c>
      <c r="T9" s="31">
        <v>6</v>
      </c>
      <c r="U9" s="32" t="s">
        <v>129</v>
      </c>
    </row>
    <row r="10" spans="1:21" x14ac:dyDescent="0.25">
      <c r="A10" s="33">
        <v>9</v>
      </c>
      <c r="B10" s="7" t="s">
        <v>26</v>
      </c>
      <c r="C10" s="37" t="s">
        <v>27</v>
      </c>
      <c r="D10" s="7" t="str">
        <f t="shared" si="1"/>
        <v>RTHTMTPKMFET75X36X06</v>
      </c>
      <c r="E10" s="37" t="s">
        <v>25</v>
      </c>
      <c r="F10" s="15" t="s">
        <v>18</v>
      </c>
      <c r="G10" s="10">
        <f>(K2+L2+4)*2*0.0254*(4.73+1.42)*3</f>
        <v>107.78489999999999</v>
      </c>
      <c r="H10" s="39">
        <f t="shared" si="3"/>
        <v>107.785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121</v>
      </c>
      <c r="S10" s="31" t="s">
        <v>113</v>
      </c>
      <c r="T10" s="31">
        <v>6</v>
      </c>
      <c r="U10" s="32" t="s">
        <v>129</v>
      </c>
    </row>
    <row r="11" spans="1:21" x14ac:dyDescent="0.25">
      <c r="A11" s="33">
        <v>10</v>
      </c>
      <c r="B11" s="7" t="s">
        <v>28</v>
      </c>
      <c r="C11" s="37" t="s">
        <v>28</v>
      </c>
      <c r="D11" s="7" t="str">
        <f t="shared" si="1"/>
        <v>RTHTMTPKMFET75X36X06</v>
      </c>
      <c r="E11" s="37" t="str">
        <f>IF(M2=6,"RML-CS-PL-6.5""",IF(M2=8,"RML-CS-PL-8.5",IF(M2=10,"RML-CS-PL-10.5",IF(M2=12,"RML-CS-PL-12.25"))))</f>
        <v>RML-CS-PL-6.5"</v>
      </c>
      <c r="F11" s="15" t="s">
        <v>11</v>
      </c>
      <c r="G11" s="10">
        <v>4</v>
      </c>
      <c r="H11" s="39">
        <f t="shared" si="3"/>
        <v>4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1" t="s">
        <v>121</v>
      </c>
      <c r="S11" s="31" t="s">
        <v>114</v>
      </c>
      <c r="T11" s="31">
        <v>6</v>
      </c>
      <c r="U11" s="32" t="s">
        <v>129</v>
      </c>
    </row>
    <row r="12" spans="1:21" x14ac:dyDescent="0.25">
      <c r="A12" s="33">
        <v>11</v>
      </c>
      <c r="B12" s="7" t="s">
        <v>28</v>
      </c>
      <c r="C12" s="37" t="s">
        <v>28</v>
      </c>
      <c r="D12" s="7" t="str">
        <f t="shared" si="1"/>
        <v>RTHTMTPKMFET75X36X06</v>
      </c>
      <c r="E12" s="37" t="s">
        <v>29</v>
      </c>
      <c r="F12" s="15" t="s">
        <v>11</v>
      </c>
      <c r="G12" s="10">
        <v>1</v>
      </c>
      <c r="H12" s="39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121</v>
      </c>
      <c r="S12" s="31" t="s">
        <v>115</v>
      </c>
      <c r="T12" s="31">
        <v>6</v>
      </c>
      <c r="U12" s="32" t="s">
        <v>129</v>
      </c>
    </row>
    <row r="13" spans="1:21" x14ac:dyDescent="0.25">
      <c r="A13" s="33">
        <v>12</v>
      </c>
      <c r="B13" s="7" t="s">
        <v>28</v>
      </c>
      <c r="C13" s="37" t="s">
        <v>28</v>
      </c>
      <c r="D13" s="7" t="str">
        <f t="shared" si="1"/>
        <v>RTHTMTPKMFET75X36X06</v>
      </c>
      <c r="E13" s="37" t="s">
        <v>30</v>
      </c>
      <c r="F13" s="15" t="s">
        <v>11</v>
      </c>
      <c r="G13" s="14">
        <v>1</v>
      </c>
      <c r="H13" s="39">
        <f t="shared" si="3"/>
        <v>1</v>
      </c>
      <c r="I13" s="8" t="s">
        <v>15</v>
      </c>
      <c r="J13" s="12"/>
      <c r="K13" s="21"/>
      <c r="R13" s="31" t="s">
        <v>121</v>
      </c>
      <c r="S13" s="31" t="s">
        <v>116</v>
      </c>
      <c r="T13" s="31">
        <v>6</v>
      </c>
      <c r="U13" s="32" t="s">
        <v>129</v>
      </c>
    </row>
    <row r="14" spans="1:21" x14ac:dyDescent="0.25">
      <c r="A14" s="33">
        <v>13</v>
      </c>
      <c r="B14" s="7" t="s">
        <v>28</v>
      </c>
      <c r="C14" s="9" t="s">
        <v>28</v>
      </c>
      <c r="D14" s="7" t="str">
        <f t="shared" si="1"/>
        <v>RTHTMTPKMFET75X36X06</v>
      </c>
      <c r="E14" s="9" t="s">
        <v>31</v>
      </c>
      <c r="F14" s="11" t="s">
        <v>11</v>
      </c>
      <c r="G14" s="14">
        <v>1</v>
      </c>
      <c r="H14" s="39">
        <f t="shared" si="3"/>
        <v>1</v>
      </c>
      <c r="I14" s="8" t="s">
        <v>15</v>
      </c>
      <c r="J14" s="12"/>
      <c r="M14" s="21"/>
      <c r="O14" s="21"/>
      <c r="R14" s="31" t="s">
        <v>121</v>
      </c>
      <c r="S14" s="31" t="s">
        <v>117</v>
      </c>
      <c r="T14" s="31">
        <v>6</v>
      </c>
      <c r="U14" s="32" t="s">
        <v>129</v>
      </c>
    </row>
    <row r="15" spans="1:21" x14ac:dyDescent="0.25">
      <c r="A15" s="33">
        <v>14</v>
      </c>
      <c r="B15" s="7" t="s">
        <v>28</v>
      </c>
      <c r="C15" s="9" t="s">
        <v>28</v>
      </c>
      <c r="D15" s="7" t="str">
        <f t="shared" si="1"/>
        <v>RTHTMTPKMFET75X36X06</v>
      </c>
      <c r="E15" s="9" t="s">
        <v>132</v>
      </c>
      <c r="F15" s="11" t="s">
        <v>14</v>
      </c>
      <c r="G15" s="10">
        <f>IF(K2&lt;79,((L2*2)+(M2*2)+4),((K2*2)+(M2*2)+4))*0.0254*89.5*0.0254*0.00009*1300</f>
        <v>0.59450977871999999</v>
      </c>
      <c r="H15" s="39">
        <f t="shared" si="3"/>
        <v>0.59499999999999997</v>
      </c>
      <c r="I15" s="8" t="s">
        <v>15</v>
      </c>
      <c r="J15" s="12"/>
      <c r="N15"/>
      <c r="O15"/>
      <c r="R15" s="31" t="s">
        <v>121</v>
      </c>
      <c r="S15" s="31" t="s">
        <v>118</v>
      </c>
      <c r="T15" s="31">
        <v>6</v>
      </c>
      <c r="U15" s="32" t="s">
        <v>129</v>
      </c>
    </row>
    <row r="16" spans="1:21" x14ac:dyDescent="0.25">
      <c r="A16" s="33">
        <v>15</v>
      </c>
      <c r="B16" s="7" t="s">
        <v>128</v>
      </c>
      <c r="C16" s="9" t="s">
        <v>137</v>
      </c>
      <c r="D16" s="7" t="str">
        <f t="shared" si="1"/>
        <v>RTHTMTPKMFET75X36X06</v>
      </c>
      <c r="E16" s="41" t="str">
        <f>"60D-RB-MAT-FOAM-"&amp;(K2-0.5)&amp;"0"&amp;"X"&amp;(L2-0.5)&amp;"0"&amp;"X15MM"</f>
        <v>60D-RB-MAT-FOAM-74.50X35.50X15MM</v>
      </c>
      <c r="F16" s="8" t="s">
        <v>11</v>
      </c>
      <c r="G16" s="14">
        <v>1</v>
      </c>
      <c r="H16" s="39">
        <f t="shared" si="3"/>
        <v>1</v>
      </c>
      <c r="I16" s="20" t="s">
        <v>22</v>
      </c>
      <c r="J16" s="12"/>
      <c r="M16" s="21"/>
      <c r="N16"/>
      <c r="O16"/>
      <c r="R16" s="31" t="s">
        <v>121</v>
      </c>
      <c r="S16" s="31" t="s">
        <v>119</v>
      </c>
      <c r="T16" s="31">
        <v>6</v>
      </c>
      <c r="U16" s="32" t="s">
        <v>129</v>
      </c>
    </row>
    <row r="17" spans="5:21" x14ac:dyDescent="0.25">
      <c r="J17" s="12"/>
      <c r="N17"/>
      <c r="O17"/>
      <c r="R17" s="31" t="s">
        <v>121</v>
      </c>
      <c r="S17" s="31" t="s">
        <v>120</v>
      </c>
      <c r="T17" s="31">
        <v>6</v>
      </c>
      <c r="U17" s="32" t="s">
        <v>129</v>
      </c>
    </row>
    <row r="18" spans="5:21" x14ac:dyDescent="0.25">
      <c r="J18" s="12"/>
      <c r="N18"/>
      <c r="O18"/>
      <c r="R18" s="31" t="s">
        <v>122</v>
      </c>
      <c r="S18" s="31" t="s">
        <v>113</v>
      </c>
      <c r="T18" s="31">
        <v>6</v>
      </c>
      <c r="U18" s="32" t="s">
        <v>129</v>
      </c>
    </row>
    <row r="19" spans="5:21" x14ac:dyDescent="0.25">
      <c r="J19" s="12"/>
      <c r="N19"/>
      <c r="O19"/>
      <c r="R19" s="31" t="s">
        <v>122</v>
      </c>
      <c r="S19" s="31" t="s">
        <v>114</v>
      </c>
      <c r="T19" s="31">
        <v>6</v>
      </c>
      <c r="U19" s="32" t="s">
        <v>129</v>
      </c>
    </row>
    <row r="20" spans="5:21" x14ac:dyDescent="0.25">
      <c r="J20" s="12"/>
      <c r="N20" s="30"/>
      <c r="O20"/>
      <c r="R20" s="31" t="s">
        <v>122</v>
      </c>
      <c r="S20" s="31" t="s">
        <v>115</v>
      </c>
      <c r="T20" s="31">
        <v>6</v>
      </c>
      <c r="U20" s="32" t="s">
        <v>129</v>
      </c>
    </row>
    <row r="21" spans="5:21" x14ac:dyDescent="0.25">
      <c r="J21" s="12"/>
      <c r="N21"/>
      <c r="O21"/>
      <c r="R21" s="31" t="s">
        <v>122</v>
      </c>
      <c r="S21" s="31" t="s">
        <v>116</v>
      </c>
      <c r="T21" s="31">
        <v>6</v>
      </c>
      <c r="U21" s="32" t="s">
        <v>129</v>
      </c>
    </row>
    <row r="22" spans="5:21" x14ac:dyDescent="0.25">
      <c r="J22" s="12"/>
      <c r="N22"/>
      <c r="O22"/>
      <c r="R22" s="31" t="s">
        <v>122</v>
      </c>
      <c r="S22" s="31" t="s">
        <v>117</v>
      </c>
      <c r="T22" s="31">
        <v>6</v>
      </c>
      <c r="U22" s="32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122</v>
      </c>
      <c r="S23" s="31" t="s">
        <v>118</v>
      </c>
      <c r="T23" s="31">
        <v>6</v>
      </c>
      <c r="U23" s="32" t="s">
        <v>129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122</v>
      </c>
      <c r="S24" s="31" t="s">
        <v>119</v>
      </c>
      <c r="T24" s="31">
        <v>6</v>
      </c>
      <c r="U24" s="32" t="s">
        <v>129</v>
      </c>
    </row>
    <row r="25" spans="5:21" x14ac:dyDescent="0.25">
      <c r="N25"/>
      <c r="O25"/>
      <c r="R25" s="31" t="s">
        <v>122</v>
      </c>
      <c r="S25" s="31" t="s">
        <v>120</v>
      </c>
      <c r="T25" s="31">
        <v>6</v>
      </c>
      <c r="U25" s="32" t="s">
        <v>129</v>
      </c>
    </row>
    <row r="26" spans="5:21" x14ac:dyDescent="0.25">
      <c r="N26"/>
      <c r="O26"/>
      <c r="R26" s="31" t="s">
        <v>123</v>
      </c>
      <c r="S26" s="31" t="s">
        <v>113</v>
      </c>
      <c r="T26" s="31">
        <v>6</v>
      </c>
      <c r="U26" s="32" t="s">
        <v>129</v>
      </c>
    </row>
    <row r="27" spans="5:21" x14ac:dyDescent="0.25">
      <c r="N27"/>
      <c r="O27"/>
      <c r="R27" s="31" t="s">
        <v>123</v>
      </c>
      <c r="S27" s="31" t="s">
        <v>114</v>
      </c>
      <c r="T27" s="31">
        <v>6</v>
      </c>
      <c r="U27" s="32" t="s">
        <v>129</v>
      </c>
    </row>
    <row r="28" spans="5:21" x14ac:dyDescent="0.25">
      <c r="E28" s="21"/>
      <c r="I28" s="21"/>
      <c r="M28" s="21"/>
      <c r="N28"/>
      <c r="O28"/>
      <c r="R28" s="31" t="s">
        <v>123</v>
      </c>
      <c r="S28" s="31" t="s">
        <v>115</v>
      </c>
      <c r="T28" s="31">
        <v>6</v>
      </c>
      <c r="U28" s="32" t="s">
        <v>129</v>
      </c>
    </row>
    <row r="29" spans="5:21" x14ac:dyDescent="0.25">
      <c r="E29" s="21"/>
      <c r="N29"/>
      <c r="O29"/>
      <c r="R29" s="31" t="s">
        <v>123</v>
      </c>
      <c r="S29" s="31" t="s">
        <v>116</v>
      </c>
      <c r="T29" s="31">
        <v>6</v>
      </c>
      <c r="U29" s="32" t="s">
        <v>129</v>
      </c>
    </row>
    <row r="30" spans="5:21" x14ac:dyDescent="0.25">
      <c r="H30" s="21"/>
      <c r="N30"/>
      <c r="O30"/>
      <c r="R30" s="31" t="s">
        <v>123</v>
      </c>
      <c r="S30" s="31" t="s">
        <v>117</v>
      </c>
      <c r="T30" s="31">
        <v>6</v>
      </c>
      <c r="U30" s="32" t="s">
        <v>129</v>
      </c>
    </row>
    <row r="31" spans="5:21" x14ac:dyDescent="0.25">
      <c r="N31"/>
      <c r="O31"/>
      <c r="R31" s="31" t="s">
        <v>123</v>
      </c>
      <c r="S31" s="31" t="s">
        <v>118</v>
      </c>
      <c r="T31" s="31">
        <v>6</v>
      </c>
      <c r="U31" s="32" t="s">
        <v>129</v>
      </c>
    </row>
    <row r="32" spans="5:21" x14ac:dyDescent="0.25">
      <c r="N32"/>
      <c r="O32"/>
      <c r="R32" s="31" t="s">
        <v>123</v>
      </c>
      <c r="S32" s="31" t="s">
        <v>119</v>
      </c>
      <c r="T32" s="31">
        <v>6</v>
      </c>
      <c r="U32" s="32" t="s">
        <v>129</v>
      </c>
    </row>
    <row r="33" spans="14:21" x14ac:dyDescent="0.25">
      <c r="N33"/>
      <c r="O33"/>
      <c r="R33" s="31" t="s">
        <v>123</v>
      </c>
      <c r="S33" s="31" t="s">
        <v>120</v>
      </c>
      <c r="T33" s="31">
        <v>6</v>
      </c>
      <c r="U33" s="32" t="s">
        <v>129</v>
      </c>
    </row>
    <row r="34" spans="14:21" x14ac:dyDescent="0.25">
      <c r="N34"/>
      <c r="O34"/>
      <c r="R34" s="31" t="s">
        <v>124</v>
      </c>
      <c r="S34" s="31" t="s">
        <v>113</v>
      </c>
      <c r="T34" s="31">
        <v>6</v>
      </c>
      <c r="U34" s="32" t="s">
        <v>129</v>
      </c>
    </row>
    <row r="35" spans="14:21" x14ac:dyDescent="0.25">
      <c r="N35"/>
      <c r="O35"/>
      <c r="R35" s="31" t="s">
        <v>124</v>
      </c>
      <c r="S35" s="31" t="s">
        <v>114</v>
      </c>
      <c r="T35" s="31">
        <v>6</v>
      </c>
      <c r="U35" s="32" t="s">
        <v>129</v>
      </c>
    </row>
    <row r="36" spans="14:21" x14ac:dyDescent="0.25">
      <c r="N36"/>
      <c r="O36"/>
      <c r="R36" s="31" t="s">
        <v>124</v>
      </c>
      <c r="S36" s="31" t="s">
        <v>115</v>
      </c>
      <c r="T36" s="31">
        <v>6</v>
      </c>
      <c r="U36" s="32" t="s">
        <v>129</v>
      </c>
    </row>
    <row r="37" spans="14:21" x14ac:dyDescent="0.25">
      <c r="N37"/>
      <c r="O37"/>
      <c r="R37" s="31" t="s">
        <v>124</v>
      </c>
      <c r="S37" s="31" t="s">
        <v>116</v>
      </c>
      <c r="T37" s="31">
        <v>6</v>
      </c>
      <c r="U37" s="32" t="s">
        <v>129</v>
      </c>
    </row>
    <row r="38" spans="14:21" x14ac:dyDescent="0.25">
      <c r="N38"/>
      <c r="O38"/>
      <c r="R38" s="31" t="s">
        <v>124</v>
      </c>
      <c r="S38" s="31" t="s">
        <v>117</v>
      </c>
      <c r="T38" s="31">
        <v>6</v>
      </c>
      <c r="U38" s="32" t="s">
        <v>129</v>
      </c>
    </row>
    <row r="39" spans="14:21" x14ac:dyDescent="0.25">
      <c r="N39"/>
      <c r="O39"/>
      <c r="R39" s="31" t="s">
        <v>124</v>
      </c>
      <c r="S39" s="31" t="s">
        <v>118</v>
      </c>
      <c r="T39" s="31">
        <v>6</v>
      </c>
      <c r="U39" s="32" t="s">
        <v>129</v>
      </c>
    </row>
    <row r="40" spans="14:21" x14ac:dyDescent="0.25">
      <c r="N40"/>
      <c r="O40"/>
      <c r="R40" s="31" t="s">
        <v>124</v>
      </c>
      <c r="S40" s="31" t="s">
        <v>119</v>
      </c>
      <c r="T40" s="31">
        <v>6</v>
      </c>
      <c r="U40" s="32" t="s">
        <v>129</v>
      </c>
    </row>
    <row r="41" spans="14:21" x14ac:dyDescent="0.25">
      <c r="N41"/>
      <c r="O41"/>
      <c r="R41" s="31" t="s">
        <v>124</v>
      </c>
      <c r="S41" s="31" t="s">
        <v>120</v>
      </c>
      <c r="T41" s="31">
        <v>6</v>
      </c>
      <c r="U41" s="32" t="s">
        <v>129</v>
      </c>
    </row>
    <row r="42" spans="14:21" x14ac:dyDescent="0.25">
      <c r="N42"/>
      <c r="O42"/>
      <c r="R42" s="31">
        <v>72</v>
      </c>
      <c r="S42" s="31">
        <v>30</v>
      </c>
      <c r="T42" s="31">
        <v>6</v>
      </c>
      <c r="U42" s="32" t="s">
        <v>129</v>
      </c>
    </row>
    <row r="43" spans="14:21" x14ac:dyDescent="0.25">
      <c r="N43"/>
      <c r="O43"/>
      <c r="R43" s="31">
        <v>72</v>
      </c>
      <c r="S43" s="31">
        <v>36</v>
      </c>
      <c r="T43" s="31">
        <v>6</v>
      </c>
      <c r="U43" s="32" t="s">
        <v>129</v>
      </c>
    </row>
    <row r="44" spans="14:21" x14ac:dyDescent="0.25">
      <c r="N44"/>
      <c r="O44"/>
      <c r="R44" s="31">
        <v>72</v>
      </c>
      <c r="S44" s="31">
        <v>42</v>
      </c>
      <c r="T44" s="31">
        <v>6</v>
      </c>
      <c r="U44" s="32" t="s">
        <v>129</v>
      </c>
    </row>
    <row r="45" spans="14:21" x14ac:dyDescent="0.25">
      <c r="N45"/>
      <c r="O45"/>
      <c r="R45" s="31">
        <v>72</v>
      </c>
      <c r="S45" s="31">
        <v>48</v>
      </c>
      <c r="T45" s="31">
        <v>6</v>
      </c>
      <c r="U45" s="32" t="s">
        <v>129</v>
      </c>
    </row>
    <row r="46" spans="14:21" x14ac:dyDescent="0.25">
      <c r="N46"/>
      <c r="O46"/>
      <c r="R46" s="31">
        <v>72</v>
      </c>
      <c r="S46" s="31">
        <v>60</v>
      </c>
      <c r="T46" s="31">
        <v>6</v>
      </c>
      <c r="U46" s="32" t="s">
        <v>129</v>
      </c>
    </row>
    <row r="47" spans="14:21" x14ac:dyDescent="0.25">
      <c r="N47"/>
      <c r="O47"/>
      <c r="R47" s="31">
        <v>72</v>
      </c>
      <c r="S47" s="31">
        <v>66</v>
      </c>
      <c r="T47" s="31">
        <v>6</v>
      </c>
      <c r="U47" s="32" t="s">
        <v>129</v>
      </c>
    </row>
    <row r="48" spans="14:21" x14ac:dyDescent="0.25">
      <c r="N48"/>
      <c r="O48"/>
      <c r="R48" s="31">
        <v>72</v>
      </c>
      <c r="S48" s="31">
        <v>72</v>
      </c>
      <c r="T48" s="31">
        <v>6</v>
      </c>
      <c r="U48" s="32" t="s">
        <v>129</v>
      </c>
    </row>
    <row r="49" spans="14:21" x14ac:dyDescent="0.25">
      <c r="N49"/>
      <c r="O49"/>
      <c r="R49" s="31">
        <v>75</v>
      </c>
      <c r="S49" s="31">
        <v>30</v>
      </c>
      <c r="T49" s="31">
        <v>6</v>
      </c>
      <c r="U49" s="32" t="s">
        <v>129</v>
      </c>
    </row>
    <row r="50" spans="14:21" x14ac:dyDescent="0.25">
      <c r="R50" s="31">
        <v>75</v>
      </c>
      <c r="S50" s="31">
        <v>36</v>
      </c>
      <c r="T50" s="31">
        <v>6</v>
      </c>
      <c r="U50" s="32" t="s">
        <v>129</v>
      </c>
    </row>
    <row r="51" spans="14:21" x14ac:dyDescent="0.25">
      <c r="R51" s="31">
        <v>75</v>
      </c>
      <c r="S51" s="31">
        <v>42</v>
      </c>
      <c r="T51" s="31">
        <v>6</v>
      </c>
      <c r="U51" s="32" t="s">
        <v>129</v>
      </c>
    </row>
    <row r="52" spans="14:21" x14ac:dyDescent="0.25">
      <c r="R52" s="31">
        <v>75</v>
      </c>
      <c r="S52" s="31">
        <v>48</v>
      </c>
      <c r="T52" s="31">
        <v>6</v>
      </c>
      <c r="U52" s="32" t="s">
        <v>129</v>
      </c>
    </row>
    <row r="53" spans="14:21" x14ac:dyDescent="0.25">
      <c r="R53" s="31">
        <v>75</v>
      </c>
      <c r="S53" s="31">
        <v>60</v>
      </c>
      <c r="T53" s="31">
        <v>6</v>
      </c>
      <c r="U53" s="32" t="s">
        <v>129</v>
      </c>
    </row>
    <row r="54" spans="14:21" x14ac:dyDescent="0.25">
      <c r="R54" s="31">
        <v>75</v>
      </c>
      <c r="S54" s="31">
        <v>66</v>
      </c>
      <c r="T54" s="31">
        <v>6</v>
      </c>
      <c r="U54" s="32" t="s">
        <v>129</v>
      </c>
    </row>
    <row r="55" spans="14:21" x14ac:dyDescent="0.25">
      <c r="R55" s="31">
        <v>75</v>
      </c>
      <c r="S55" s="31">
        <v>72</v>
      </c>
      <c r="T55" s="31">
        <v>6</v>
      </c>
      <c r="U55" s="32" t="s">
        <v>129</v>
      </c>
    </row>
    <row r="56" spans="14:21" x14ac:dyDescent="0.25">
      <c r="R56" s="31">
        <v>78</v>
      </c>
      <c r="S56" s="31">
        <v>30</v>
      </c>
      <c r="T56" s="31">
        <v>6</v>
      </c>
      <c r="U56" s="32" t="s">
        <v>129</v>
      </c>
    </row>
    <row r="57" spans="14:21" x14ac:dyDescent="0.25">
      <c r="R57" s="31">
        <v>78</v>
      </c>
      <c r="S57" s="31">
        <v>36</v>
      </c>
      <c r="T57" s="31">
        <v>6</v>
      </c>
      <c r="U57" s="32" t="s">
        <v>129</v>
      </c>
    </row>
    <row r="58" spans="14:21" x14ac:dyDescent="0.25">
      <c r="R58" s="31">
        <v>78</v>
      </c>
      <c r="S58" s="31">
        <v>42</v>
      </c>
      <c r="T58" s="31">
        <v>6</v>
      </c>
      <c r="U58" s="32" t="s">
        <v>129</v>
      </c>
    </row>
    <row r="59" spans="14:21" x14ac:dyDescent="0.25">
      <c r="R59" s="31">
        <v>78</v>
      </c>
      <c r="S59" s="31">
        <v>48</v>
      </c>
      <c r="T59" s="31">
        <v>6</v>
      </c>
      <c r="U59" s="32" t="s">
        <v>129</v>
      </c>
    </row>
    <row r="60" spans="14:21" x14ac:dyDescent="0.25">
      <c r="R60" s="31">
        <v>78</v>
      </c>
      <c r="S60" s="31">
        <v>60</v>
      </c>
      <c r="T60" s="31">
        <v>6</v>
      </c>
      <c r="U60" s="32" t="s">
        <v>129</v>
      </c>
    </row>
    <row r="61" spans="14:21" x14ac:dyDescent="0.25">
      <c r="R61" s="31">
        <v>78</v>
      </c>
      <c r="S61" s="31">
        <v>66</v>
      </c>
      <c r="T61" s="31">
        <v>6</v>
      </c>
      <c r="U61" s="32" t="s">
        <v>129</v>
      </c>
    </row>
    <row r="62" spans="14:21" x14ac:dyDescent="0.25">
      <c r="R62" s="31">
        <v>78</v>
      </c>
      <c r="S62" s="31">
        <v>72</v>
      </c>
      <c r="T62" s="31">
        <v>6</v>
      </c>
      <c r="U62" s="32" t="s">
        <v>129</v>
      </c>
    </row>
    <row r="63" spans="14:21" x14ac:dyDescent="0.25">
      <c r="R63" s="31">
        <v>80</v>
      </c>
      <c r="S63" s="31">
        <v>30</v>
      </c>
      <c r="T63" s="31">
        <v>6</v>
      </c>
      <c r="U63" s="32" t="s">
        <v>129</v>
      </c>
    </row>
    <row r="64" spans="14:21" x14ac:dyDescent="0.25">
      <c r="R64" s="31">
        <v>80</v>
      </c>
      <c r="S64" s="31">
        <v>36</v>
      </c>
      <c r="T64" s="31">
        <v>6</v>
      </c>
      <c r="U64" s="32" t="s">
        <v>129</v>
      </c>
    </row>
    <row r="65" spans="18:21" x14ac:dyDescent="0.25">
      <c r="R65" s="31">
        <v>80</v>
      </c>
      <c r="S65" s="31">
        <v>42</v>
      </c>
      <c r="T65" s="31">
        <v>6</v>
      </c>
      <c r="U65" s="32" t="s">
        <v>129</v>
      </c>
    </row>
    <row r="66" spans="18:21" x14ac:dyDescent="0.25">
      <c r="R66" s="31">
        <v>80</v>
      </c>
      <c r="S66" s="31">
        <v>48</v>
      </c>
      <c r="T66" s="31">
        <v>6</v>
      </c>
      <c r="U66" s="32" t="s">
        <v>129</v>
      </c>
    </row>
    <row r="67" spans="18:21" x14ac:dyDescent="0.25">
      <c r="R67" s="31">
        <v>80</v>
      </c>
      <c r="S67" s="31">
        <v>60</v>
      </c>
      <c r="T67" s="31">
        <v>6</v>
      </c>
      <c r="U67" s="32" t="s">
        <v>129</v>
      </c>
    </row>
    <row r="68" spans="18:21" x14ac:dyDescent="0.25">
      <c r="R68" s="31">
        <v>80</v>
      </c>
      <c r="S68" s="31">
        <v>66</v>
      </c>
      <c r="T68" s="31">
        <v>6</v>
      </c>
      <c r="U68" s="32" t="s">
        <v>129</v>
      </c>
    </row>
    <row r="69" spans="18:21" x14ac:dyDescent="0.25">
      <c r="R69" s="31">
        <v>80</v>
      </c>
      <c r="S69" s="31">
        <v>72</v>
      </c>
      <c r="T69" s="31">
        <v>6</v>
      </c>
      <c r="U69" s="32" t="s">
        <v>129</v>
      </c>
    </row>
    <row r="70" spans="18:21" x14ac:dyDescent="0.25">
      <c r="R70" s="31">
        <v>84</v>
      </c>
      <c r="S70" s="31">
        <v>30</v>
      </c>
      <c r="T70" s="31">
        <v>6</v>
      </c>
      <c r="U70" s="32" t="s">
        <v>129</v>
      </c>
    </row>
    <row r="71" spans="18:21" x14ac:dyDescent="0.25">
      <c r="R71" s="31">
        <v>84</v>
      </c>
      <c r="S71" s="31">
        <v>36</v>
      </c>
      <c r="T71" s="31">
        <v>6</v>
      </c>
      <c r="U71" s="32" t="s">
        <v>129</v>
      </c>
    </row>
    <row r="72" spans="18:21" x14ac:dyDescent="0.25">
      <c r="R72" s="31">
        <v>84</v>
      </c>
      <c r="S72" s="31">
        <v>42</v>
      </c>
      <c r="T72" s="31">
        <v>6</v>
      </c>
      <c r="U72" s="32" t="s">
        <v>129</v>
      </c>
    </row>
    <row r="73" spans="18:21" x14ac:dyDescent="0.25">
      <c r="R73" s="31">
        <v>84</v>
      </c>
      <c r="S73" s="31">
        <v>48</v>
      </c>
      <c r="T73" s="31">
        <v>6</v>
      </c>
      <c r="U73" s="32" t="s">
        <v>129</v>
      </c>
    </row>
    <row r="74" spans="18:21" x14ac:dyDescent="0.25">
      <c r="R74" s="31">
        <v>84</v>
      </c>
      <c r="S74" s="31">
        <v>60</v>
      </c>
      <c r="T74" s="31">
        <v>6</v>
      </c>
      <c r="U74" s="32" t="s">
        <v>129</v>
      </c>
    </row>
    <row r="75" spans="18:21" x14ac:dyDescent="0.25">
      <c r="R75" s="31">
        <v>84</v>
      </c>
      <c r="S75" s="31">
        <v>66</v>
      </c>
      <c r="T75" s="31">
        <v>6</v>
      </c>
      <c r="U75" s="32" t="s">
        <v>129</v>
      </c>
    </row>
    <row r="76" spans="18:21" x14ac:dyDescent="0.25">
      <c r="R76" s="31">
        <v>84</v>
      </c>
      <c r="S76" s="31">
        <v>72</v>
      </c>
      <c r="T76" s="31">
        <v>6</v>
      </c>
      <c r="U76" s="32" t="s">
        <v>129</v>
      </c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89</v>
      </c>
      <c r="B1" s="28" t="s">
        <v>90</v>
      </c>
      <c r="C1" s="29" t="s">
        <v>91</v>
      </c>
      <c r="D1" s="28" t="s">
        <v>92</v>
      </c>
      <c r="E1" s="28" t="s">
        <v>4</v>
      </c>
      <c r="F1" s="28" t="s">
        <v>93</v>
      </c>
      <c r="G1" s="29" t="s">
        <v>94</v>
      </c>
    </row>
    <row r="2" spans="1:7" x14ac:dyDescent="0.25">
      <c r="A2">
        <v>1</v>
      </c>
      <c r="B2" t="s">
        <v>138</v>
      </c>
      <c r="C2">
        <v>10</v>
      </c>
      <c r="D2" t="s">
        <v>139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138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138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138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138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138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138</v>
      </c>
      <c r="C8">
        <v>70</v>
      </c>
      <c r="D8" t="s">
        <v>140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138</v>
      </c>
      <c r="C9">
        <v>80</v>
      </c>
      <c r="D9" t="s">
        <v>141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138</v>
      </c>
      <c r="C10">
        <v>90</v>
      </c>
      <c r="D10" t="s">
        <v>131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138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138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138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138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138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138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138</v>
      </c>
      <c r="C17">
        <v>160</v>
      </c>
      <c r="D17" t="s">
        <v>142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138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138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138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138</v>
      </c>
      <c r="C21">
        <v>200</v>
      </c>
      <c r="D21" t="s">
        <v>132</v>
      </c>
      <c r="E21" t="s">
        <v>14</v>
      </c>
      <c r="F21">
        <v>0.55400000000000005</v>
      </c>
      <c r="G21" t="s">
        <v>15</v>
      </c>
    </row>
    <row r="22" spans="1:7" x14ac:dyDescent="0.25">
      <c r="A22">
        <v>1</v>
      </c>
      <c r="B22" t="s">
        <v>138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144</v>
      </c>
      <c r="C23">
        <v>10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144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144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144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144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144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144</v>
      </c>
      <c r="C29">
        <v>70</v>
      </c>
      <c r="D29" t="s">
        <v>146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144</v>
      </c>
      <c r="C30">
        <v>80</v>
      </c>
      <c r="D30" t="s">
        <v>147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144</v>
      </c>
      <c r="C31">
        <v>90</v>
      </c>
      <c r="D31" t="s">
        <v>131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144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144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144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144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144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144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144</v>
      </c>
      <c r="C38">
        <v>160</v>
      </c>
      <c r="D38" t="s">
        <v>142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144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144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144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144</v>
      </c>
      <c r="C42">
        <v>200</v>
      </c>
      <c r="D42" t="s">
        <v>132</v>
      </c>
      <c r="E42" t="s">
        <v>14</v>
      </c>
      <c r="F42">
        <v>0.63500000000000001</v>
      </c>
      <c r="G42" t="s">
        <v>15</v>
      </c>
    </row>
    <row r="43" spans="1:7" x14ac:dyDescent="0.25">
      <c r="A43">
        <v>2</v>
      </c>
      <c r="B43" t="s">
        <v>144</v>
      </c>
      <c r="C43">
        <v>210</v>
      </c>
      <c r="D43" t="s">
        <v>148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149</v>
      </c>
      <c r="C44">
        <v>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149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149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149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149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149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149</v>
      </c>
      <c r="C50">
        <v>70</v>
      </c>
      <c r="D50" t="s">
        <v>151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149</v>
      </c>
      <c r="C51">
        <v>80</v>
      </c>
      <c r="D51" t="s">
        <v>152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149</v>
      </c>
      <c r="C52">
        <v>90</v>
      </c>
      <c r="D52" t="s">
        <v>131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149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149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149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149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149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149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149</v>
      </c>
      <c r="C59">
        <v>160</v>
      </c>
      <c r="D59" t="s">
        <v>142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149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149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149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149</v>
      </c>
      <c r="C63">
        <v>200</v>
      </c>
      <c r="D63" t="s">
        <v>132</v>
      </c>
      <c r="E63" t="s">
        <v>14</v>
      </c>
      <c r="F63">
        <v>0.71599999999999997</v>
      </c>
      <c r="G63" t="s">
        <v>15</v>
      </c>
    </row>
    <row r="64" spans="1:7" x14ac:dyDescent="0.25">
      <c r="A64">
        <v>3</v>
      </c>
      <c r="B64" t="s">
        <v>149</v>
      </c>
      <c r="C64">
        <v>210</v>
      </c>
      <c r="D64" t="s">
        <v>153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154</v>
      </c>
      <c r="C65">
        <v>10</v>
      </c>
      <c r="D65" t="s">
        <v>155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154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154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154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154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154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154</v>
      </c>
      <c r="C71">
        <v>70</v>
      </c>
      <c r="D71" t="s">
        <v>156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154</v>
      </c>
      <c r="C72">
        <v>80</v>
      </c>
      <c r="D72" t="s">
        <v>157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154</v>
      </c>
      <c r="C73">
        <v>90</v>
      </c>
      <c r="D73" t="s">
        <v>131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154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154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154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154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154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154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154</v>
      </c>
      <c r="C80">
        <v>160</v>
      </c>
      <c r="D80" t="s">
        <v>142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154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154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154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154</v>
      </c>
      <c r="C84">
        <v>200</v>
      </c>
      <c r="D84" t="s">
        <v>132</v>
      </c>
      <c r="E84" t="s">
        <v>14</v>
      </c>
      <c r="F84">
        <v>0.79700000000000004</v>
      </c>
      <c r="G84" t="s">
        <v>15</v>
      </c>
    </row>
    <row r="85" spans="1:7" x14ac:dyDescent="0.25">
      <c r="A85">
        <v>4</v>
      </c>
      <c r="B85" t="s">
        <v>154</v>
      </c>
      <c r="C85">
        <v>210</v>
      </c>
      <c r="D85" t="s">
        <v>158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159</v>
      </c>
      <c r="C86">
        <v>10</v>
      </c>
      <c r="D86" t="s">
        <v>160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159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159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159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159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159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159</v>
      </c>
      <c r="C92">
        <v>70</v>
      </c>
      <c r="D92" t="s">
        <v>161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159</v>
      </c>
      <c r="C93">
        <v>80</v>
      </c>
      <c r="D93" t="s">
        <v>162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159</v>
      </c>
      <c r="C94">
        <v>90</v>
      </c>
      <c r="D94" t="s">
        <v>131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159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159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159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159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159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159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159</v>
      </c>
      <c r="C101">
        <v>160</v>
      </c>
      <c r="D101" t="s">
        <v>142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159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159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159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159</v>
      </c>
      <c r="C105">
        <v>200</v>
      </c>
      <c r="D105" t="s">
        <v>132</v>
      </c>
      <c r="E105" t="s">
        <v>14</v>
      </c>
      <c r="F105">
        <v>0.83799999999999997</v>
      </c>
      <c r="G105" t="s">
        <v>15</v>
      </c>
    </row>
    <row r="106" spans="1:7" x14ac:dyDescent="0.25">
      <c r="A106">
        <v>5</v>
      </c>
      <c r="B106" t="s">
        <v>159</v>
      </c>
      <c r="C106">
        <v>210</v>
      </c>
      <c r="D106" t="s">
        <v>163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164</v>
      </c>
      <c r="C107">
        <v>10</v>
      </c>
      <c r="D107" t="s">
        <v>165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164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164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164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164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164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164</v>
      </c>
      <c r="C113">
        <v>70</v>
      </c>
      <c r="D113" t="s">
        <v>166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164</v>
      </c>
      <c r="C114">
        <v>80</v>
      </c>
      <c r="D114" t="s">
        <v>167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164</v>
      </c>
      <c r="C115">
        <v>90</v>
      </c>
      <c r="D115" t="s">
        <v>131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164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164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164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164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164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164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164</v>
      </c>
      <c r="C122">
        <v>160</v>
      </c>
      <c r="D122" t="s">
        <v>142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164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164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164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164</v>
      </c>
      <c r="C126">
        <v>200</v>
      </c>
      <c r="D126" t="s">
        <v>132</v>
      </c>
      <c r="E126" t="s">
        <v>14</v>
      </c>
      <c r="F126">
        <v>0.878</v>
      </c>
      <c r="G126" t="s">
        <v>15</v>
      </c>
    </row>
    <row r="127" spans="1:7" x14ac:dyDescent="0.25">
      <c r="A127">
        <v>6</v>
      </c>
      <c r="B127" t="s">
        <v>164</v>
      </c>
      <c r="C127">
        <v>210</v>
      </c>
      <c r="D127" t="s">
        <v>168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169</v>
      </c>
      <c r="C128">
        <v>10</v>
      </c>
      <c r="D128" t="s">
        <v>170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169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169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169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169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169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169</v>
      </c>
      <c r="C134">
        <v>70</v>
      </c>
      <c r="D134" t="s">
        <v>171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169</v>
      </c>
      <c r="C135">
        <v>80</v>
      </c>
      <c r="D135" t="s">
        <v>172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169</v>
      </c>
      <c r="C136">
        <v>90</v>
      </c>
      <c r="D136" t="s">
        <v>131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169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169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169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169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169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169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169</v>
      </c>
      <c r="C143">
        <v>160</v>
      </c>
      <c r="D143" t="s">
        <v>142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169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169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169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169</v>
      </c>
      <c r="C147">
        <v>200</v>
      </c>
      <c r="D147" t="s">
        <v>132</v>
      </c>
      <c r="E147" t="s">
        <v>14</v>
      </c>
      <c r="F147">
        <v>0.95899999999999996</v>
      </c>
      <c r="G147" t="s">
        <v>15</v>
      </c>
    </row>
    <row r="148" spans="1:7" x14ac:dyDescent="0.25">
      <c r="A148">
        <v>7</v>
      </c>
      <c r="B148" t="s">
        <v>169</v>
      </c>
      <c r="C148">
        <v>210</v>
      </c>
      <c r="D148" t="s">
        <v>173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174</v>
      </c>
      <c r="C149">
        <v>10</v>
      </c>
      <c r="D149" t="s">
        <v>175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174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174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174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174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174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174</v>
      </c>
      <c r="C155">
        <v>70</v>
      </c>
      <c r="D155" t="s">
        <v>176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174</v>
      </c>
      <c r="C156">
        <v>80</v>
      </c>
      <c r="D156" t="s">
        <v>177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174</v>
      </c>
      <c r="C157">
        <v>90</v>
      </c>
      <c r="D157" t="s">
        <v>131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174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174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174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174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174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174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174</v>
      </c>
      <c r="C164">
        <v>160</v>
      </c>
      <c r="D164" t="s">
        <v>142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174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174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174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174</v>
      </c>
      <c r="C168">
        <v>200</v>
      </c>
      <c r="D168" t="s">
        <v>132</v>
      </c>
      <c r="E168" t="s">
        <v>14</v>
      </c>
      <c r="F168">
        <v>1.04</v>
      </c>
      <c r="G168" t="s">
        <v>15</v>
      </c>
    </row>
    <row r="169" spans="1:7" x14ac:dyDescent="0.25">
      <c r="A169">
        <v>8</v>
      </c>
      <c r="B169" t="s">
        <v>174</v>
      </c>
      <c r="C169">
        <v>210</v>
      </c>
      <c r="D169" t="s">
        <v>178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179</v>
      </c>
      <c r="C170">
        <v>10</v>
      </c>
      <c r="D170" t="s">
        <v>180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179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179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179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179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179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179</v>
      </c>
      <c r="C176">
        <v>70</v>
      </c>
      <c r="D176" t="s">
        <v>181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179</v>
      </c>
      <c r="C177">
        <v>80</v>
      </c>
      <c r="D177" t="s">
        <v>182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179</v>
      </c>
      <c r="C178">
        <v>90</v>
      </c>
      <c r="D178" t="s">
        <v>131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179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179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179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179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179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179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179</v>
      </c>
      <c r="C185">
        <v>160</v>
      </c>
      <c r="D185" t="s">
        <v>142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179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179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179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179</v>
      </c>
      <c r="C189">
        <v>200</v>
      </c>
      <c r="D189" t="s">
        <v>132</v>
      </c>
      <c r="E189" t="s">
        <v>14</v>
      </c>
      <c r="F189">
        <v>0.55400000000000005</v>
      </c>
      <c r="G189" t="s">
        <v>15</v>
      </c>
    </row>
    <row r="190" spans="1:7" x14ac:dyDescent="0.25">
      <c r="A190">
        <v>9</v>
      </c>
      <c r="B190" t="s">
        <v>179</v>
      </c>
      <c r="C190">
        <v>210</v>
      </c>
      <c r="D190" t="s">
        <v>183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184</v>
      </c>
      <c r="C191">
        <v>10</v>
      </c>
      <c r="D191" t="s">
        <v>185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184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184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184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184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184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184</v>
      </c>
      <c r="C197">
        <v>70</v>
      </c>
      <c r="D197" t="s">
        <v>186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184</v>
      </c>
      <c r="C198">
        <v>80</v>
      </c>
      <c r="D198" t="s">
        <v>187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184</v>
      </c>
      <c r="C199">
        <v>90</v>
      </c>
      <c r="D199" t="s">
        <v>131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184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184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184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184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184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184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184</v>
      </c>
      <c r="C206">
        <v>160</v>
      </c>
      <c r="D206" t="s">
        <v>142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184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184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184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184</v>
      </c>
      <c r="C210">
        <v>200</v>
      </c>
      <c r="D210" t="s">
        <v>132</v>
      </c>
      <c r="E210" t="s">
        <v>14</v>
      </c>
      <c r="F210">
        <v>0.63500000000000001</v>
      </c>
      <c r="G210" t="s">
        <v>15</v>
      </c>
    </row>
    <row r="211" spans="1:7" x14ac:dyDescent="0.25">
      <c r="A211">
        <v>10</v>
      </c>
      <c r="B211" t="s">
        <v>184</v>
      </c>
      <c r="C211">
        <v>210</v>
      </c>
      <c r="D211" t="s">
        <v>188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189</v>
      </c>
      <c r="C212">
        <v>10</v>
      </c>
      <c r="D212" t="s">
        <v>190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189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189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189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189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189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189</v>
      </c>
      <c r="C218">
        <v>70</v>
      </c>
      <c r="D218" t="s">
        <v>191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189</v>
      </c>
      <c r="C219">
        <v>80</v>
      </c>
      <c r="D219" t="s">
        <v>192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189</v>
      </c>
      <c r="C220">
        <v>90</v>
      </c>
      <c r="D220" t="s">
        <v>131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189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189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189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189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189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189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189</v>
      </c>
      <c r="C227">
        <v>160</v>
      </c>
      <c r="D227" t="s">
        <v>142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189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189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189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189</v>
      </c>
      <c r="C231">
        <v>200</v>
      </c>
      <c r="D231" t="s">
        <v>132</v>
      </c>
      <c r="E231" t="s">
        <v>14</v>
      </c>
      <c r="F231">
        <v>0.71599999999999997</v>
      </c>
      <c r="G231" t="s">
        <v>15</v>
      </c>
    </row>
    <row r="232" spans="1:7" x14ac:dyDescent="0.25">
      <c r="A232">
        <v>11</v>
      </c>
      <c r="B232" t="s">
        <v>189</v>
      </c>
      <c r="C232">
        <v>210</v>
      </c>
      <c r="D232" t="s">
        <v>193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194</v>
      </c>
      <c r="C233">
        <v>10</v>
      </c>
      <c r="D233" t="s">
        <v>195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194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194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194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194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194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194</v>
      </c>
      <c r="C239">
        <v>70</v>
      </c>
      <c r="D239" t="s">
        <v>196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194</v>
      </c>
      <c r="C240">
        <v>80</v>
      </c>
      <c r="D240" t="s">
        <v>197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194</v>
      </c>
      <c r="C241">
        <v>90</v>
      </c>
      <c r="D241" t="s">
        <v>131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194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194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194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194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194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194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194</v>
      </c>
      <c r="C248">
        <v>160</v>
      </c>
      <c r="D248" t="s">
        <v>142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194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194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194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194</v>
      </c>
      <c r="C252">
        <v>200</v>
      </c>
      <c r="D252" t="s">
        <v>132</v>
      </c>
      <c r="E252" t="s">
        <v>14</v>
      </c>
      <c r="F252">
        <v>0.79700000000000004</v>
      </c>
      <c r="G252" t="s">
        <v>15</v>
      </c>
    </row>
    <row r="253" spans="1:7" x14ac:dyDescent="0.25">
      <c r="A253">
        <v>12</v>
      </c>
      <c r="B253" t="s">
        <v>194</v>
      </c>
      <c r="C253">
        <v>210</v>
      </c>
      <c r="D253" t="s">
        <v>198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199</v>
      </c>
      <c r="C254">
        <v>10</v>
      </c>
      <c r="D254" t="s">
        <v>200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199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199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199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199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199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199</v>
      </c>
      <c r="C260">
        <v>70</v>
      </c>
      <c r="D260" t="s">
        <v>201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199</v>
      </c>
      <c r="C261">
        <v>80</v>
      </c>
      <c r="D261" t="s">
        <v>202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199</v>
      </c>
      <c r="C262">
        <v>90</v>
      </c>
      <c r="D262" t="s">
        <v>131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199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199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199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199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199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199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199</v>
      </c>
      <c r="C269">
        <v>160</v>
      </c>
      <c r="D269" t="s">
        <v>142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199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199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199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199</v>
      </c>
      <c r="C273">
        <v>200</v>
      </c>
      <c r="D273" t="s">
        <v>132</v>
      </c>
      <c r="E273" t="s">
        <v>14</v>
      </c>
      <c r="F273">
        <v>0.83799999999999997</v>
      </c>
      <c r="G273" t="s">
        <v>15</v>
      </c>
    </row>
    <row r="274" spans="1:7" x14ac:dyDescent="0.25">
      <c r="A274">
        <v>13</v>
      </c>
      <c r="B274" t="s">
        <v>199</v>
      </c>
      <c r="C274">
        <v>210</v>
      </c>
      <c r="D274" t="s">
        <v>203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204</v>
      </c>
      <c r="C275">
        <v>10</v>
      </c>
      <c r="D275" t="s">
        <v>205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204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204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204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204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204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204</v>
      </c>
      <c r="C281">
        <v>70</v>
      </c>
      <c r="D281" t="s">
        <v>206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204</v>
      </c>
      <c r="C282">
        <v>80</v>
      </c>
      <c r="D282" t="s">
        <v>207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204</v>
      </c>
      <c r="C283">
        <v>90</v>
      </c>
      <c r="D283" t="s">
        <v>131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204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204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204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204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204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204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204</v>
      </c>
      <c r="C290">
        <v>160</v>
      </c>
      <c r="D290" t="s">
        <v>142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204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204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204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204</v>
      </c>
      <c r="C294">
        <v>200</v>
      </c>
      <c r="D294" t="s">
        <v>132</v>
      </c>
      <c r="E294" t="s">
        <v>14</v>
      </c>
      <c r="F294">
        <v>0.878</v>
      </c>
      <c r="G294" t="s">
        <v>15</v>
      </c>
    </row>
    <row r="295" spans="1:7" x14ac:dyDescent="0.25">
      <c r="A295">
        <v>14</v>
      </c>
      <c r="B295" t="s">
        <v>204</v>
      </c>
      <c r="C295">
        <v>210</v>
      </c>
      <c r="D295" t="s">
        <v>208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209</v>
      </c>
      <c r="C296">
        <v>10</v>
      </c>
      <c r="D296" t="s">
        <v>210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209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209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209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209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209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209</v>
      </c>
      <c r="C302">
        <v>70</v>
      </c>
      <c r="D302" t="s">
        <v>211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209</v>
      </c>
      <c r="C303">
        <v>80</v>
      </c>
      <c r="D303" t="s">
        <v>212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209</v>
      </c>
      <c r="C304">
        <v>90</v>
      </c>
      <c r="D304" t="s">
        <v>131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209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209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209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209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209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209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209</v>
      </c>
      <c r="C311">
        <v>160</v>
      </c>
      <c r="D311" t="s">
        <v>142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209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209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209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209</v>
      </c>
      <c r="C315">
        <v>200</v>
      </c>
      <c r="D315" t="s">
        <v>132</v>
      </c>
      <c r="E315" t="s">
        <v>14</v>
      </c>
      <c r="F315">
        <v>0.95899999999999996</v>
      </c>
      <c r="G315" t="s">
        <v>15</v>
      </c>
    </row>
    <row r="316" spans="1:7" x14ac:dyDescent="0.25">
      <c r="A316">
        <v>15</v>
      </c>
      <c r="B316" t="s">
        <v>209</v>
      </c>
      <c r="C316">
        <v>210</v>
      </c>
      <c r="D316" t="s">
        <v>213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214</v>
      </c>
      <c r="C317">
        <v>10</v>
      </c>
      <c r="D317" t="s">
        <v>215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214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214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214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214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214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214</v>
      </c>
      <c r="C323">
        <v>70</v>
      </c>
      <c r="D323" t="s">
        <v>216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214</v>
      </c>
      <c r="C324">
        <v>80</v>
      </c>
      <c r="D324" t="s">
        <v>217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214</v>
      </c>
      <c r="C325">
        <v>90</v>
      </c>
      <c r="D325" t="s">
        <v>131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214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214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214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214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214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214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214</v>
      </c>
      <c r="C332">
        <v>160</v>
      </c>
      <c r="D332" t="s">
        <v>142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214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214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214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214</v>
      </c>
      <c r="C336">
        <v>200</v>
      </c>
      <c r="D336" t="s">
        <v>132</v>
      </c>
      <c r="E336" t="s">
        <v>14</v>
      </c>
      <c r="F336">
        <v>1.04</v>
      </c>
      <c r="G336" t="s">
        <v>15</v>
      </c>
    </row>
    <row r="337" spans="1:7" x14ac:dyDescent="0.25">
      <c r="A337">
        <v>16</v>
      </c>
      <c r="B337" t="s">
        <v>214</v>
      </c>
      <c r="C337">
        <v>210</v>
      </c>
      <c r="D337" t="s">
        <v>218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219</v>
      </c>
      <c r="C338">
        <v>10</v>
      </c>
      <c r="D338" t="s">
        <v>220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219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219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219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219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219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219</v>
      </c>
      <c r="C344">
        <v>70</v>
      </c>
      <c r="D344" t="s">
        <v>221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219</v>
      </c>
      <c r="C345">
        <v>80</v>
      </c>
      <c r="D345" t="s">
        <v>222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219</v>
      </c>
      <c r="C346">
        <v>90</v>
      </c>
      <c r="D346" t="s">
        <v>131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219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219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219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219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219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219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219</v>
      </c>
      <c r="C353">
        <v>160</v>
      </c>
      <c r="D353" t="s">
        <v>142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219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219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219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219</v>
      </c>
      <c r="C357">
        <v>200</v>
      </c>
      <c r="D357" t="s">
        <v>132</v>
      </c>
      <c r="E357" t="s">
        <v>14</v>
      </c>
      <c r="F357">
        <v>0.55400000000000005</v>
      </c>
      <c r="G357" t="s">
        <v>15</v>
      </c>
    </row>
    <row r="358" spans="1:7" x14ac:dyDescent="0.25">
      <c r="A358">
        <v>17</v>
      </c>
      <c r="B358" t="s">
        <v>219</v>
      </c>
      <c r="C358">
        <v>210</v>
      </c>
      <c r="D358" t="s">
        <v>223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224</v>
      </c>
      <c r="C359">
        <v>10</v>
      </c>
      <c r="D359" t="s">
        <v>225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224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224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224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224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224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224</v>
      </c>
      <c r="C365">
        <v>70</v>
      </c>
      <c r="D365" t="s">
        <v>226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224</v>
      </c>
      <c r="C366">
        <v>80</v>
      </c>
      <c r="D366" t="s">
        <v>227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224</v>
      </c>
      <c r="C367">
        <v>90</v>
      </c>
      <c r="D367" t="s">
        <v>131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224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224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224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224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224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224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224</v>
      </c>
      <c r="C374">
        <v>160</v>
      </c>
      <c r="D374" t="s">
        <v>142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224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224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224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224</v>
      </c>
      <c r="C378">
        <v>200</v>
      </c>
      <c r="D378" t="s">
        <v>132</v>
      </c>
      <c r="E378" t="s">
        <v>14</v>
      </c>
      <c r="F378">
        <v>0.63500000000000001</v>
      </c>
      <c r="G378" t="s">
        <v>15</v>
      </c>
    </row>
    <row r="379" spans="1:7" x14ac:dyDescent="0.25">
      <c r="A379">
        <v>18</v>
      </c>
      <c r="B379" t="s">
        <v>224</v>
      </c>
      <c r="C379">
        <v>210</v>
      </c>
      <c r="D379" t="s">
        <v>228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229</v>
      </c>
      <c r="C380">
        <v>10</v>
      </c>
      <c r="D380" t="s">
        <v>230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229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229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229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229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229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229</v>
      </c>
      <c r="C386">
        <v>70</v>
      </c>
      <c r="D386" t="s">
        <v>231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229</v>
      </c>
      <c r="C387">
        <v>80</v>
      </c>
      <c r="D387" t="s">
        <v>232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229</v>
      </c>
      <c r="C388">
        <v>90</v>
      </c>
      <c r="D388" t="s">
        <v>131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229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229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229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229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229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229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229</v>
      </c>
      <c r="C395">
        <v>160</v>
      </c>
      <c r="D395" t="s">
        <v>142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229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229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229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229</v>
      </c>
      <c r="C399">
        <v>200</v>
      </c>
      <c r="D399" t="s">
        <v>132</v>
      </c>
      <c r="E399" t="s">
        <v>14</v>
      </c>
      <c r="F399">
        <v>0.71599999999999997</v>
      </c>
      <c r="G399" t="s">
        <v>15</v>
      </c>
    </row>
    <row r="400" spans="1:7" x14ac:dyDescent="0.25">
      <c r="A400">
        <v>19</v>
      </c>
      <c r="B400" t="s">
        <v>229</v>
      </c>
      <c r="C400">
        <v>210</v>
      </c>
      <c r="D400" t="s">
        <v>233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234</v>
      </c>
      <c r="C401">
        <v>10</v>
      </c>
      <c r="D401" t="s">
        <v>235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234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234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234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234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234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234</v>
      </c>
      <c r="C407">
        <v>70</v>
      </c>
      <c r="D407" t="s">
        <v>236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234</v>
      </c>
      <c r="C408">
        <v>80</v>
      </c>
      <c r="D408" t="s">
        <v>237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234</v>
      </c>
      <c r="C409">
        <v>90</v>
      </c>
      <c r="D409" t="s">
        <v>131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234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234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234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234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234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234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234</v>
      </c>
      <c r="C416">
        <v>160</v>
      </c>
      <c r="D416" t="s">
        <v>142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234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234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234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234</v>
      </c>
      <c r="C420">
        <v>200</v>
      </c>
      <c r="D420" t="s">
        <v>132</v>
      </c>
      <c r="E420" t="s">
        <v>14</v>
      </c>
      <c r="F420">
        <v>0.79700000000000004</v>
      </c>
      <c r="G420" t="s">
        <v>15</v>
      </c>
    </row>
    <row r="421" spans="1:7" x14ac:dyDescent="0.25">
      <c r="A421">
        <v>20</v>
      </c>
      <c r="B421" t="s">
        <v>234</v>
      </c>
      <c r="C421">
        <v>210</v>
      </c>
      <c r="D421" t="s">
        <v>238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239</v>
      </c>
      <c r="C422">
        <v>10</v>
      </c>
      <c r="D422" t="s">
        <v>240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239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239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239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239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239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239</v>
      </c>
      <c r="C428">
        <v>70</v>
      </c>
      <c r="D428" t="s">
        <v>241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239</v>
      </c>
      <c r="C429">
        <v>80</v>
      </c>
      <c r="D429" t="s">
        <v>242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239</v>
      </c>
      <c r="C430">
        <v>90</v>
      </c>
      <c r="D430" t="s">
        <v>131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239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239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239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239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239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239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239</v>
      </c>
      <c r="C437">
        <v>160</v>
      </c>
      <c r="D437" t="s">
        <v>142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239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239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239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239</v>
      </c>
      <c r="C441">
        <v>200</v>
      </c>
      <c r="D441" t="s">
        <v>132</v>
      </c>
      <c r="E441" t="s">
        <v>14</v>
      </c>
      <c r="F441">
        <v>0.83799999999999997</v>
      </c>
      <c r="G441" t="s">
        <v>15</v>
      </c>
    </row>
    <row r="442" spans="1:7" x14ac:dyDescent="0.25">
      <c r="A442">
        <v>21</v>
      </c>
      <c r="B442" t="s">
        <v>239</v>
      </c>
      <c r="C442">
        <v>210</v>
      </c>
      <c r="D442" t="s">
        <v>243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244</v>
      </c>
      <c r="C443">
        <v>10</v>
      </c>
      <c r="D443" t="s">
        <v>245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244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244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244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244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244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244</v>
      </c>
      <c r="C449">
        <v>70</v>
      </c>
      <c r="D449" t="s">
        <v>246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244</v>
      </c>
      <c r="C450">
        <v>80</v>
      </c>
      <c r="D450" t="s">
        <v>247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244</v>
      </c>
      <c r="C451">
        <v>90</v>
      </c>
      <c r="D451" t="s">
        <v>131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244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244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244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244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244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244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244</v>
      </c>
      <c r="C458">
        <v>160</v>
      </c>
      <c r="D458" t="s">
        <v>142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244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244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244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244</v>
      </c>
      <c r="C462">
        <v>200</v>
      </c>
      <c r="D462" t="s">
        <v>132</v>
      </c>
      <c r="E462" t="s">
        <v>14</v>
      </c>
      <c r="F462">
        <v>0.878</v>
      </c>
      <c r="G462" t="s">
        <v>15</v>
      </c>
    </row>
    <row r="463" spans="1:7" x14ac:dyDescent="0.25">
      <c r="A463">
        <v>22</v>
      </c>
      <c r="B463" t="s">
        <v>244</v>
      </c>
      <c r="C463">
        <v>210</v>
      </c>
      <c r="D463" t="s">
        <v>248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249</v>
      </c>
      <c r="C464">
        <v>10</v>
      </c>
      <c r="D464" t="s">
        <v>250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249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249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249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249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249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249</v>
      </c>
      <c r="C470">
        <v>70</v>
      </c>
      <c r="D470" t="s">
        <v>251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249</v>
      </c>
      <c r="C471">
        <v>80</v>
      </c>
      <c r="D471" t="s">
        <v>252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249</v>
      </c>
      <c r="C472">
        <v>90</v>
      </c>
      <c r="D472" t="s">
        <v>131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249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249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249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249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249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249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249</v>
      </c>
      <c r="C479">
        <v>160</v>
      </c>
      <c r="D479" t="s">
        <v>142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249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249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249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249</v>
      </c>
      <c r="C483">
        <v>200</v>
      </c>
      <c r="D483" t="s">
        <v>132</v>
      </c>
      <c r="E483" t="s">
        <v>14</v>
      </c>
      <c r="F483">
        <v>0.95899999999999996</v>
      </c>
      <c r="G483" t="s">
        <v>15</v>
      </c>
    </row>
    <row r="484" spans="1:7" x14ac:dyDescent="0.25">
      <c r="A484">
        <v>23</v>
      </c>
      <c r="B484" t="s">
        <v>249</v>
      </c>
      <c r="C484">
        <v>210</v>
      </c>
      <c r="D484" t="s">
        <v>253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254</v>
      </c>
      <c r="C485">
        <v>10</v>
      </c>
      <c r="D485" t="s">
        <v>255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254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254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254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254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254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254</v>
      </c>
      <c r="C491">
        <v>70</v>
      </c>
      <c r="D491" t="s">
        <v>256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254</v>
      </c>
      <c r="C492">
        <v>80</v>
      </c>
      <c r="D492" t="s">
        <v>257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254</v>
      </c>
      <c r="C493">
        <v>90</v>
      </c>
      <c r="D493" t="s">
        <v>131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254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254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254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254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254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254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254</v>
      </c>
      <c r="C500">
        <v>160</v>
      </c>
      <c r="D500" t="s">
        <v>142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254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254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254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254</v>
      </c>
      <c r="C504">
        <v>200</v>
      </c>
      <c r="D504" t="s">
        <v>132</v>
      </c>
      <c r="E504" t="s">
        <v>14</v>
      </c>
      <c r="F504">
        <v>1.04</v>
      </c>
      <c r="G504" t="s">
        <v>15</v>
      </c>
    </row>
    <row r="505" spans="1:7" x14ac:dyDescent="0.25">
      <c r="A505">
        <v>24</v>
      </c>
      <c r="B505" t="s">
        <v>254</v>
      </c>
      <c r="C505">
        <v>210</v>
      </c>
      <c r="D505" t="s">
        <v>258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259</v>
      </c>
      <c r="C506">
        <v>10</v>
      </c>
      <c r="D506" t="s">
        <v>260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259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259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259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259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259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259</v>
      </c>
      <c r="C512">
        <v>70</v>
      </c>
      <c r="D512" t="s">
        <v>261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259</v>
      </c>
      <c r="C513">
        <v>80</v>
      </c>
      <c r="D513" t="s">
        <v>262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259</v>
      </c>
      <c r="C514">
        <v>90</v>
      </c>
      <c r="D514" t="s">
        <v>131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259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259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259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259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259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259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259</v>
      </c>
      <c r="C521">
        <v>160</v>
      </c>
      <c r="D521" t="s">
        <v>142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259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259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259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259</v>
      </c>
      <c r="C525">
        <v>200</v>
      </c>
      <c r="D525" t="s">
        <v>132</v>
      </c>
      <c r="E525" t="s">
        <v>14</v>
      </c>
      <c r="F525">
        <v>1.1890000000000001</v>
      </c>
      <c r="G525" t="s">
        <v>15</v>
      </c>
    </row>
    <row r="526" spans="1:7" x14ac:dyDescent="0.25">
      <c r="A526">
        <v>25</v>
      </c>
      <c r="B526" t="s">
        <v>259</v>
      </c>
      <c r="C526">
        <v>210</v>
      </c>
      <c r="D526" t="s">
        <v>263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264</v>
      </c>
      <c r="C527">
        <v>10</v>
      </c>
      <c r="D527" t="s">
        <v>265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264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264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264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264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264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264</v>
      </c>
      <c r="C533">
        <v>70</v>
      </c>
      <c r="D533" t="s">
        <v>266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264</v>
      </c>
      <c r="C534">
        <v>80</v>
      </c>
      <c r="D534" t="s">
        <v>267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264</v>
      </c>
      <c r="C535">
        <v>90</v>
      </c>
      <c r="D535" t="s">
        <v>131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264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264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264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264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264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264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264</v>
      </c>
      <c r="C542">
        <v>160</v>
      </c>
      <c r="D542" t="s">
        <v>142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264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264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264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264</v>
      </c>
      <c r="C546">
        <v>200</v>
      </c>
      <c r="D546" t="s">
        <v>132</v>
      </c>
      <c r="E546" t="s">
        <v>14</v>
      </c>
      <c r="F546">
        <v>1.1890000000000001</v>
      </c>
      <c r="G546" t="s">
        <v>15</v>
      </c>
    </row>
    <row r="547" spans="1:7" x14ac:dyDescent="0.25">
      <c r="A547">
        <v>26</v>
      </c>
      <c r="B547" t="s">
        <v>264</v>
      </c>
      <c r="C547">
        <v>210</v>
      </c>
      <c r="D547" t="s">
        <v>268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269</v>
      </c>
      <c r="C548">
        <v>10</v>
      </c>
      <c r="D548" t="s">
        <v>270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269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269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269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269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269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269</v>
      </c>
      <c r="C554">
        <v>70</v>
      </c>
      <c r="D554" t="s">
        <v>271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269</v>
      </c>
      <c r="C555">
        <v>80</v>
      </c>
      <c r="D555" t="s">
        <v>272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269</v>
      </c>
      <c r="C556">
        <v>90</v>
      </c>
      <c r="D556" t="s">
        <v>131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269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269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269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269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269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269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269</v>
      </c>
      <c r="C563">
        <v>160</v>
      </c>
      <c r="D563" t="s">
        <v>142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269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269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269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269</v>
      </c>
      <c r="C567">
        <v>200</v>
      </c>
      <c r="D567" t="s">
        <v>132</v>
      </c>
      <c r="E567" t="s">
        <v>14</v>
      </c>
      <c r="F567">
        <v>1.1890000000000001</v>
      </c>
      <c r="G567" t="s">
        <v>15</v>
      </c>
    </row>
    <row r="568" spans="1:7" x14ac:dyDescent="0.25">
      <c r="A568">
        <v>27</v>
      </c>
      <c r="B568" t="s">
        <v>269</v>
      </c>
      <c r="C568">
        <v>210</v>
      </c>
      <c r="D568" t="s">
        <v>273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274</v>
      </c>
      <c r="C569">
        <v>10</v>
      </c>
      <c r="D569" t="s">
        <v>275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274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274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274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274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274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274</v>
      </c>
      <c r="C575">
        <v>70</v>
      </c>
      <c r="D575" t="s">
        <v>276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274</v>
      </c>
      <c r="C576">
        <v>80</v>
      </c>
      <c r="D576" t="s">
        <v>277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274</v>
      </c>
      <c r="C577">
        <v>90</v>
      </c>
      <c r="D577" t="s">
        <v>131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274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274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274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274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274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274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274</v>
      </c>
      <c r="C584">
        <v>160</v>
      </c>
      <c r="D584" t="s">
        <v>142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274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274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274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274</v>
      </c>
      <c r="C588">
        <v>200</v>
      </c>
      <c r="D588" t="s">
        <v>132</v>
      </c>
      <c r="E588" t="s">
        <v>14</v>
      </c>
      <c r="F588">
        <v>1.1890000000000001</v>
      </c>
      <c r="G588" t="s">
        <v>15</v>
      </c>
    </row>
    <row r="589" spans="1:7" x14ac:dyDescent="0.25">
      <c r="A589">
        <v>28</v>
      </c>
      <c r="B589" t="s">
        <v>274</v>
      </c>
      <c r="C589">
        <v>210</v>
      </c>
      <c r="D589" t="s">
        <v>278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279</v>
      </c>
      <c r="C590">
        <v>10</v>
      </c>
      <c r="D590" t="s">
        <v>280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279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279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279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279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279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279</v>
      </c>
      <c r="C596">
        <v>70</v>
      </c>
      <c r="D596" t="s">
        <v>281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279</v>
      </c>
      <c r="C597">
        <v>80</v>
      </c>
      <c r="D597" t="s">
        <v>282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279</v>
      </c>
      <c r="C598">
        <v>90</v>
      </c>
      <c r="D598" t="s">
        <v>131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279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279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279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279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279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279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279</v>
      </c>
      <c r="C605">
        <v>160</v>
      </c>
      <c r="D605" t="s">
        <v>142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279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279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279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279</v>
      </c>
      <c r="C609">
        <v>200</v>
      </c>
      <c r="D609" t="s">
        <v>132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29</v>
      </c>
      <c r="B610" t="s">
        <v>279</v>
      </c>
      <c r="C610">
        <v>210</v>
      </c>
      <c r="D610" t="s">
        <v>283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284</v>
      </c>
      <c r="C611">
        <v>10</v>
      </c>
      <c r="D611" t="s">
        <v>285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284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284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284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284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284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284</v>
      </c>
      <c r="C617">
        <v>70</v>
      </c>
      <c r="D617" t="s">
        <v>286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284</v>
      </c>
      <c r="C618">
        <v>80</v>
      </c>
      <c r="D618" t="s">
        <v>287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284</v>
      </c>
      <c r="C619">
        <v>90</v>
      </c>
      <c r="D619" t="s">
        <v>131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284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284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284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284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284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284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284</v>
      </c>
      <c r="C626">
        <v>160</v>
      </c>
      <c r="D626" t="s">
        <v>142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284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284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284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284</v>
      </c>
      <c r="C630">
        <v>200</v>
      </c>
      <c r="D630" t="s">
        <v>132</v>
      </c>
      <c r="E630" t="s">
        <v>14</v>
      </c>
      <c r="F630">
        <v>1.1890000000000001</v>
      </c>
      <c r="G630" t="s">
        <v>15</v>
      </c>
    </row>
    <row r="631" spans="1:7" x14ac:dyDescent="0.25">
      <c r="A631">
        <v>30</v>
      </c>
      <c r="B631" t="s">
        <v>284</v>
      </c>
      <c r="C631">
        <v>210</v>
      </c>
      <c r="D631" t="s">
        <v>288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289</v>
      </c>
      <c r="C632">
        <v>10</v>
      </c>
      <c r="D632" t="s">
        <v>290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289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289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289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289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289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289</v>
      </c>
      <c r="C638">
        <v>70</v>
      </c>
      <c r="D638" t="s">
        <v>291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289</v>
      </c>
      <c r="C639">
        <v>80</v>
      </c>
      <c r="D639" t="s">
        <v>292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289</v>
      </c>
      <c r="C640">
        <v>90</v>
      </c>
      <c r="D640" t="s">
        <v>131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289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289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289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289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289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289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289</v>
      </c>
      <c r="C647">
        <v>160</v>
      </c>
      <c r="D647" t="s">
        <v>142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289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289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289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289</v>
      </c>
      <c r="C651">
        <v>200</v>
      </c>
      <c r="D651" t="s">
        <v>132</v>
      </c>
      <c r="E651" t="s">
        <v>14</v>
      </c>
      <c r="F651">
        <v>1.1890000000000001</v>
      </c>
      <c r="G651" t="s">
        <v>15</v>
      </c>
    </row>
    <row r="652" spans="1:7" x14ac:dyDescent="0.25">
      <c r="A652">
        <v>31</v>
      </c>
      <c r="B652" t="s">
        <v>289</v>
      </c>
      <c r="C652">
        <v>210</v>
      </c>
      <c r="D652" t="s">
        <v>293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294</v>
      </c>
      <c r="C653">
        <v>10</v>
      </c>
      <c r="D653" t="s">
        <v>295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294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294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294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294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294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294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294</v>
      </c>
      <c r="C660">
        <v>80</v>
      </c>
      <c r="D660" t="s">
        <v>296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294</v>
      </c>
      <c r="C661">
        <v>90</v>
      </c>
      <c r="D661" t="s">
        <v>297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294</v>
      </c>
      <c r="C662">
        <v>100</v>
      </c>
      <c r="D662" t="s">
        <v>131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294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294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294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294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294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294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294</v>
      </c>
      <c r="C669">
        <v>170</v>
      </c>
      <c r="D669" t="s">
        <v>142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294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294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294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294</v>
      </c>
      <c r="C673">
        <v>210</v>
      </c>
      <c r="D673" t="s">
        <v>132</v>
      </c>
      <c r="E673" t="s">
        <v>14</v>
      </c>
      <c r="F673">
        <v>1.1890000000000001</v>
      </c>
      <c r="G673" t="s">
        <v>15</v>
      </c>
    </row>
    <row r="674" spans="1:7" x14ac:dyDescent="0.25">
      <c r="A674">
        <v>32</v>
      </c>
      <c r="B674" t="s">
        <v>294</v>
      </c>
      <c r="C674">
        <v>220</v>
      </c>
      <c r="D674" t="s">
        <v>298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299</v>
      </c>
      <c r="C675">
        <v>10</v>
      </c>
      <c r="D675" t="s">
        <v>300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299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299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299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299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299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299</v>
      </c>
      <c r="C681">
        <v>70</v>
      </c>
      <c r="D681" t="s">
        <v>301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299</v>
      </c>
      <c r="C682">
        <v>80</v>
      </c>
      <c r="D682" t="s">
        <v>302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299</v>
      </c>
      <c r="C683">
        <v>90</v>
      </c>
      <c r="D683" t="s">
        <v>131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299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299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299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299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299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299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299</v>
      </c>
      <c r="C690">
        <v>160</v>
      </c>
      <c r="D690" t="s">
        <v>142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299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299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299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299</v>
      </c>
      <c r="C694">
        <v>200</v>
      </c>
      <c r="D694" t="s">
        <v>132</v>
      </c>
      <c r="E694" t="s">
        <v>14</v>
      </c>
      <c r="F694">
        <v>1.2430000000000001</v>
      </c>
      <c r="G694" t="s">
        <v>15</v>
      </c>
    </row>
    <row r="695" spans="1:7" x14ac:dyDescent="0.25">
      <c r="A695">
        <v>33</v>
      </c>
      <c r="B695" t="s">
        <v>299</v>
      </c>
      <c r="C695">
        <v>210</v>
      </c>
      <c r="D695" t="s">
        <v>303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304</v>
      </c>
      <c r="C696">
        <v>10</v>
      </c>
      <c r="D696" t="s">
        <v>305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304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304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304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304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304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304</v>
      </c>
      <c r="C702">
        <v>70</v>
      </c>
      <c r="D702" t="s">
        <v>306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304</v>
      </c>
      <c r="C703">
        <v>80</v>
      </c>
      <c r="D703" t="s">
        <v>307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304</v>
      </c>
      <c r="C704">
        <v>90</v>
      </c>
      <c r="D704" t="s">
        <v>131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304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304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304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304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304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304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304</v>
      </c>
      <c r="C711">
        <v>160</v>
      </c>
      <c r="D711" t="s">
        <v>142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304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304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304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304</v>
      </c>
      <c r="C715">
        <v>200</v>
      </c>
      <c r="D715" t="s">
        <v>132</v>
      </c>
      <c r="E715" t="s">
        <v>14</v>
      </c>
      <c r="F715">
        <v>1.2430000000000001</v>
      </c>
      <c r="G715" t="s">
        <v>15</v>
      </c>
    </row>
    <row r="716" spans="1:7" x14ac:dyDescent="0.25">
      <c r="A716">
        <v>34</v>
      </c>
      <c r="B716" t="s">
        <v>304</v>
      </c>
      <c r="C716">
        <v>210</v>
      </c>
      <c r="D716" t="s">
        <v>308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309</v>
      </c>
      <c r="C717">
        <v>10</v>
      </c>
      <c r="D717" t="s">
        <v>310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309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309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309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309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309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309</v>
      </c>
      <c r="C723">
        <v>70</v>
      </c>
      <c r="D723" t="s">
        <v>311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309</v>
      </c>
      <c r="C724">
        <v>80</v>
      </c>
      <c r="D724" t="s">
        <v>312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309</v>
      </c>
      <c r="C725">
        <v>90</v>
      </c>
      <c r="D725" t="s">
        <v>131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309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309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309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309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309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309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309</v>
      </c>
      <c r="C732">
        <v>160</v>
      </c>
      <c r="D732" t="s">
        <v>142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309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309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309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309</v>
      </c>
      <c r="C736">
        <v>200</v>
      </c>
      <c r="D736" t="s">
        <v>132</v>
      </c>
      <c r="E736" t="s">
        <v>14</v>
      </c>
      <c r="F736">
        <v>1.2430000000000001</v>
      </c>
      <c r="G736" t="s">
        <v>15</v>
      </c>
    </row>
    <row r="737" spans="1:7" x14ac:dyDescent="0.25">
      <c r="A737">
        <v>35</v>
      </c>
      <c r="B737" t="s">
        <v>309</v>
      </c>
      <c r="C737">
        <v>210</v>
      </c>
      <c r="D737" t="s">
        <v>313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314</v>
      </c>
      <c r="C738">
        <v>10</v>
      </c>
      <c r="D738" t="s">
        <v>315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314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314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314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314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314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314</v>
      </c>
      <c r="C744">
        <v>70</v>
      </c>
      <c r="D744" t="s">
        <v>316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314</v>
      </c>
      <c r="C745">
        <v>80</v>
      </c>
      <c r="D745" t="s">
        <v>317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314</v>
      </c>
      <c r="C746">
        <v>90</v>
      </c>
      <c r="D746" t="s">
        <v>131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314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314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314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314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314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314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314</v>
      </c>
      <c r="C753">
        <v>160</v>
      </c>
      <c r="D753" t="s">
        <v>142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314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314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314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314</v>
      </c>
      <c r="C757">
        <v>200</v>
      </c>
      <c r="D757" t="s">
        <v>132</v>
      </c>
      <c r="E757" t="s">
        <v>14</v>
      </c>
      <c r="F757">
        <v>1.2430000000000001</v>
      </c>
      <c r="G757" t="s">
        <v>15</v>
      </c>
    </row>
    <row r="758" spans="1:7" x14ac:dyDescent="0.25">
      <c r="A758">
        <v>36</v>
      </c>
      <c r="B758" t="s">
        <v>314</v>
      </c>
      <c r="C758">
        <v>210</v>
      </c>
      <c r="D758" t="s">
        <v>318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319</v>
      </c>
      <c r="C759">
        <v>10</v>
      </c>
      <c r="D759" t="s">
        <v>320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319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319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319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319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319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319</v>
      </c>
      <c r="C765">
        <v>70</v>
      </c>
      <c r="D765" t="s">
        <v>321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319</v>
      </c>
      <c r="C766">
        <v>80</v>
      </c>
      <c r="D766" t="s">
        <v>322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319</v>
      </c>
      <c r="C767">
        <v>90</v>
      </c>
      <c r="D767" t="s">
        <v>131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319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319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319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319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319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319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319</v>
      </c>
      <c r="C774">
        <v>160</v>
      </c>
      <c r="D774" t="s">
        <v>142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319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319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319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319</v>
      </c>
      <c r="C778">
        <v>200</v>
      </c>
      <c r="D778" t="s">
        <v>132</v>
      </c>
      <c r="E778" t="s">
        <v>14</v>
      </c>
      <c r="F778">
        <v>1.2430000000000001</v>
      </c>
      <c r="G778" t="s">
        <v>15</v>
      </c>
    </row>
    <row r="779" spans="1:7" x14ac:dyDescent="0.25">
      <c r="A779">
        <v>37</v>
      </c>
      <c r="B779" t="s">
        <v>319</v>
      </c>
      <c r="C779">
        <v>210</v>
      </c>
      <c r="D779" t="s">
        <v>323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324</v>
      </c>
      <c r="C780">
        <v>10</v>
      </c>
      <c r="D780" t="s">
        <v>325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324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324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324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324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324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324</v>
      </c>
      <c r="C786">
        <v>70</v>
      </c>
      <c r="D786" t="s">
        <v>326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324</v>
      </c>
      <c r="C787">
        <v>80</v>
      </c>
      <c r="D787" t="s">
        <v>327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324</v>
      </c>
      <c r="C788">
        <v>90</v>
      </c>
      <c r="D788" t="s">
        <v>131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324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324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324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324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324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324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324</v>
      </c>
      <c r="C795">
        <v>160</v>
      </c>
      <c r="D795" t="s">
        <v>142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324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324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324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324</v>
      </c>
      <c r="C799">
        <v>200</v>
      </c>
      <c r="D799" t="s">
        <v>132</v>
      </c>
      <c r="E799" t="s">
        <v>14</v>
      </c>
      <c r="F799">
        <v>1.2430000000000001</v>
      </c>
      <c r="G799" t="s">
        <v>15</v>
      </c>
    </row>
    <row r="800" spans="1:7" x14ac:dyDescent="0.25">
      <c r="A800">
        <v>38</v>
      </c>
      <c r="B800" t="s">
        <v>324</v>
      </c>
      <c r="C800">
        <v>210</v>
      </c>
      <c r="D800" t="s">
        <v>328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329</v>
      </c>
      <c r="C801">
        <v>10</v>
      </c>
      <c r="D801" t="s">
        <v>330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329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329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329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329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329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329</v>
      </c>
      <c r="C807">
        <v>70</v>
      </c>
      <c r="D807" t="s">
        <v>331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329</v>
      </c>
      <c r="C808">
        <v>80</v>
      </c>
      <c r="D808" t="s">
        <v>332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329</v>
      </c>
      <c r="C809">
        <v>90</v>
      </c>
      <c r="D809" t="s">
        <v>131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329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329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329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329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329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329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329</v>
      </c>
      <c r="C816">
        <v>160</v>
      </c>
      <c r="D816" t="s">
        <v>142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329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329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329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329</v>
      </c>
      <c r="C820">
        <v>200</v>
      </c>
      <c r="D820" t="s">
        <v>132</v>
      </c>
      <c r="E820" t="s">
        <v>14</v>
      </c>
      <c r="F820">
        <v>1.2430000000000001</v>
      </c>
      <c r="G820" t="s">
        <v>15</v>
      </c>
    </row>
    <row r="821" spans="1:7" x14ac:dyDescent="0.25">
      <c r="A821">
        <v>39</v>
      </c>
      <c r="B821" t="s">
        <v>329</v>
      </c>
      <c r="C821">
        <v>210</v>
      </c>
      <c r="D821" t="s">
        <v>333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334</v>
      </c>
      <c r="C822">
        <v>10</v>
      </c>
      <c r="D822" t="s">
        <v>335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334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334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334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334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334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334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334</v>
      </c>
      <c r="C829">
        <v>80</v>
      </c>
      <c r="D829" t="s">
        <v>336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334</v>
      </c>
      <c r="C830">
        <v>90</v>
      </c>
      <c r="D830" t="s">
        <v>337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334</v>
      </c>
      <c r="C831">
        <v>100</v>
      </c>
      <c r="D831" t="s">
        <v>131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334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334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334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334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334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334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334</v>
      </c>
      <c r="C838">
        <v>170</v>
      </c>
      <c r="D838" t="s">
        <v>142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334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334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334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334</v>
      </c>
      <c r="C842">
        <v>210</v>
      </c>
      <c r="D842" t="s">
        <v>132</v>
      </c>
      <c r="E842" t="s">
        <v>14</v>
      </c>
      <c r="F842">
        <v>1.2430000000000001</v>
      </c>
      <c r="G842" t="s">
        <v>15</v>
      </c>
    </row>
    <row r="843" spans="1:7" x14ac:dyDescent="0.25">
      <c r="A843">
        <v>40</v>
      </c>
      <c r="B843" t="s">
        <v>334</v>
      </c>
      <c r="C843">
        <v>220</v>
      </c>
      <c r="D843" t="s">
        <v>338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38</v>
      </c>
      <c r="C2" s="42" t="s">
        <v>39</v>
      </c>
      <c r="D2" s="42" t="s">
        <v>40</v>
      </c>
      <c r="E2" s="42" t="s">
        <v>39</v>
      </c>
      <c r="F2" s="42" t="s">
        <v>40</v>
      </c>
      <c r="G2" s="42" t="s">
        <v>38</v>
      </c>
      <c r="H2" s="42" t="s">
        <v>40</v>
      </c>
      <c r="I2" s="42" t="s">
        <v>40</v>
      </c>
      <c r="J2" s="42" t="s">
        <v>40</v>
      </c>
      <c r="K2" s="42" t="s">
        <v>40</v>
      </c>
      <c r="L2" s="42" t="s">
        <v>38</v>
      </c>
      <c r="M2" s="43" t="s">
        <v>41</v>
      </c>
      <c r="N2" s="24" t="s">
        <v>41</v>
      </c>
      <c r="O2" s="43" t="s">
        <v>41</v>
      </c>
      <c r="P2" s="43" t="s">
        <v>42</v>
      </c>
      <c r="Q2" s="43" t="s">
        <v>41</v>
      </c>
      <c r="R2" s="43" t="s">
        <v>42</v>
      </c>
      <c r="S2" s="43" t="s">
        <v>41</v>
      </c>
      <c r="T2" s="43" t="s">
        <v>41</v>
      </c>
      <c r="U2" s="43" t="s">
        <v>42</v>
      </c>
      <c r="V2" s="43" t="s">
        <v>41</v>
      </c>
      <c r="W2" s="43" t="s">
        <v>41</v>
      </c>
      <c r="X2" s="43" t="s">
        <v>41</v>
      </c>
      <c r="Y2" s="43" t="s">
        <v>42</v>
      </c>
      <c r="Z2" s="43" t="s">
        <v>43</v>
      </c>
      <c r="AA2" s="43" t="s">
        <v>41</v>
      </c>
      <c r="AB2" s="43" t="s">
        <v>41</v>
      </c>
      <c r="AC2" s="43" t="s">
        <v>41</v>
      </c>
      <c r="AD2" s="43" t="s">
        <v>41</v>
      </c>
      <c r="AE2" s="43" t="s">
        <v>41</v>
      </c>
      <c r="AF2" s="43" t="s">
        <v>41</v>
      </c>
      <c r="AG2" s="43" t="s">
        <v>43</v>
      </c>
      <c r="AH2" s="43" t="s">
        <v>43</v>
      </c>
      <c r="AI2" s="43" t="s">
        <v>43</v>
      </c>
      <c r="AJ2" s="43" t="s">
        <v>41</v>
      </c>
      <c r="AK2" s="43" t="s">
        <v>41</v>
      </c>
      <c r="AL2" s="43" t="s">
        <v>41</v>
      </c>
    </row>
    <row r="3" spans="1:38" x14ac:dyDescent="0.25">
      <c r="A3" s="44"/>
      <c r="B3" s="42" t="s">
        <v>44</v>
      </c>
      <c r="C3" s="42" t="s">
        <v>45</v>
      </c>
      <c r="D3" s="42" t="s">
        <v>46</v>
      </c>
      <c r="E3" s="42" t="s">
        <v>45</v>
      </c>
      <c r="F3" s="42" t="s">
        <v>47</v>
      </c>
      <c r="G3" s="42" t="s">
        <v>48</v>
      </c>
      <c r="H3" s="42" t="s">
        <v>49</v>
      </c>
      <c r="I3" s="42" t="s">
        <v>50</v>
      </c>
      <c r="J3" s="42" t="s">
        <v>45</v>
      </c>
      <c r="K3" s="42" t="s">
        <v>45</v>
      </c>
      <c r="L3" s="42" t="s">
        <v>51</v>
      </c>
      <c r="M3" s="43" t="s">
        <v>52</v>
      </c>
      <c r="N3" s="24" t="s">
        <v>45</v>
      </c>
      <c r="O3" s="43" t="s">
        <v>47</v>
      </c>
      <c r="P3" s="43" t="s">
        <v>53</v>
      </c>
      <c r="Q3" s="43" t="s">
        <v>50</v>
      </c>
      <c r="R3" s="43" t="s">
        <v>49</v>
      </c>
      <c r="S3" s="43" t="s">
        <v>54</v>
      </c>
      <c r="T3" s="43" t="s">
        <v>52</v>
      </c>
      <c r="U3" s="43" t="s">
        <v>55</v>
      </c>
      <c r="V3" s="43" t="s">
        <v>49</v>
      </c>
      <c r="W3" s="43" t="s">
        <v>50</v>
      </c>
      <c r="X3" s="43" t="s">
        <v>50</v>
      </c>
      <c r="Y3" s="43" t="s">
        <v>44</v>
      </c>
      <c r="Z3" s="43" t="s">
        <v>51</v>
      </c>
      <c r="AA3" s="43" t="s">
        <v>56</v>
      </c>
      <c r="AB3" s="43" t="s">
        <v>56</v>
      </c>
      <c r="AC3" s="43" t="s">
        <v>50</v>
      </c>
      <c r="AD3" s="43" t="s">
        <v>50</v>
      </c>
      <c r="AE3" s="43" t="s">
        <v>55</v>
      </c>
      <c r="AF3" s="43" t="s">
        <v>54</v>
      </c>
      <c r="AG3" s="43" t="s">
        <v>44</v>
      </c>
      <c r="AH3" s="43" t="s">
        <v>51</v>
      </c>
      <c r="AI3" s="43" t="s">
        <v>51</v>
      </c>
      <c r="AJ3" s="43" t="s">
        <v>45</v>
      </c>
      <c r="AK3" s="43" t="s">
        <v>47</v>
      </c>
      <c r="AL3" s="43" t="s">
        <v>57</v>
      </c>
    </row>
    <row r="4" spans="1:38" x14ac:dyDescent="0.25">
      <c r="A4" s="44"/>
      <c r="B4" s="25" t="s">
        <v>58</v>
      </c>
      <c r="C4" s="25" t="s">
        <v>59</v>
      </c>
      <c r="D4" s="42" t="s">
        <v>60</v>
      </c>
      <c r="E4" s="25" t="s">
        <v>3</v>
      </c>
      <c r="F4" s="42" t="s">
        <v>61</v>
      </c>
      <c r="G4" s="25" t="s">
        <v>62</v>
      </c>
      <c r="H4" s="25" t="s">
        <v>6</v>
      </c>
      <c r="I4" s="25" t="s">
        <v>63</v>
      </c>
      <c r="J4" s="42" t="s">
        <v>64</v>
      </c>
      <c r="K4" s="42" t="s">
        <v>65</v>
      </c>
      <c r="L4" s="42" t="s">
        <v>66</v>
      </c>
      <c r="M4" s="26" t="s">
        <v>67</v>
      </c>
      <c r="N4" s="27" t="s">
        <v>3</v>
      </c>
      <c r="O4" s="43" t="s">
        <v>61</v>
      </c>
      <c r="P4" s="43" t="s">
        <v>68</v>
      </c>
      <c r="Q4" s="43" t="s">
        <v>69</v>
      </c>
      <c r="R4" s="43" t="s">
        <v>4</v>
      </c>
      <c r="S4" s="43" t="s">
        <v>70</v>
      </c>
      <c r="T4" s="43" t="s">
        <v>71</v>
      </c>
      <c r="U4" s="43" t="s">
        <v>72</v>
      </c>
      <c r="V4" s="43" t="s">
        <v>6</v>
      </c>
      <c r="W4" s="43" t="s">
        <v>73</v>
      </c>
      <c r="X4" s="43" t="s">
        <v>74</v>
      </c>
      <c r="Y4" s="43" t="s">
        <v>75</v>
      </c>
      <c r="Z4" s="43" t="s">
        <v>76</v>
      </c>
      <c r="AA4" s="43" t="s">
        <v>77</v>
      </c>
      <c r="AB4" s="43" t="s">
        <v>78</v>
      </c>
      <c r="AC4" s="43" t="s">
        <v>79</v>
      </c>
      <c r="AD4" s="43" t="s">
        <v>80</v>
      </c>
      <c r="AE4" s="43" t="s">
        <v>81</v>
      </c>
      <c r="AF4" s="43" t="s">
        <v>82</v>
      </c>
      <c r="AG4" s="43" t="s">
        <v>83</v>
      </c>
      <c r="AH4" s="43" t="s">
        <v>84</v>
      </c>
      <c r="AI4" s="43" t="s">
        <v>85</v>
      </c>
      <c r="AJ4" s="43" t="s">
        <v>86</v>
      </c>
      <c r="AK4" s="43" t="s">
        <v>87</v>
      </c>
      <c r="AL4" s="43" t="s">
        <v>88</v>
      </c>
    </row>
    <row r="5" spans="1:38" x14ac:dyDescent="0.25">
      <c r="A5" s="3">
        <v>1</v>
      </c>
      <c r="B5" s="3" t="s">
        <v>109</v>
      </c>
      <c r="C5" s="3" t="s">
        <v>138</v>
      </c>
      <c r="D5" s="3"/>
      <c r="E5" s="3" t="s">
        <v>138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138</v>
      </c>
      <c r="D6" s="3"/>
      <c r="E6" s="3" t="s">
        <v>138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138</v>
      </c>
      <c r="D7" s="3"/>
      <c r="E7" s="3" t="s">
        <v>138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138</v>
      </c>
      <c r="D8" s="3"/>
      <c r="E8" s="3" t="s">
        <v>138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138</v>
      </c>
      <c r="D9" s="3"/>
      <c r="E9" s="3" t="s">
        <v>138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138</v>
      </c>
      <c r="D10" s="3"/>
      <c r="E10" s="3" t="s">
        <v>138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138</v>
      </c>
      <c r="D11" s="3"/>
      <c r="E11" s="3" t="s">
        <v>138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138</v>
      </c>
      <c r="D12" s="3"/>
      <c r="E12" s="3" t="s">
        <v>138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138</v>
      </c>
      <c r="D13" s="3"/>
      <c r="E13" s="3" t="s">
        <v>138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131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138</v>
      </c>
      <c r="D14" s="3"/>
      <c r="E14" s="3" t="s">
        <v>138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138</v>
      </c>
      <c r="D15" s="3"/>
      <c r="E15" s="3" t="s">
        <v>138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138</v>
      </c>
      <c r="D16" s="3"/>
      <c r="E16" s="3" t="s">
        <v>138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138</v>
      </c>
      <c r="D17" s="3"/>
      <c r="E17" s="3" t="s">
        <v>138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138</v>
      </c>
      <c r="D18" s="3"/>
      <c r="E18" s="3" t="s">
        <v>138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138</v>
      </c>
      <c r="D19" s="3"/>
      <c r="E19" s="3" t="s">
        <v>138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142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0.55400000000000005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131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132</v>
      </c>
      <c r="O45" s="3"/>
      <c r="P45" s="3"/>
      <c r="Q45" s="3">
        <v>0.63500000000000001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149</v>
      </c>
      <c r="D47" s="3"/>
      <c r="E47" s="3" t="s">
        <v>149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149</v>
      </c>
      <c r="D48" s="3"/>
      <c r="E48" s="3" t="s">
        <v>149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149</v>
      </c>
      <c r="D49" s="3"/>
      <c r="E49" s="3" t="s">
        <v>149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149</v>
      </c>
      <c r="D50" s="3"/>
      <c r="E50" s="3" t="s">
        <v>149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149</v>
      </c>
      <c r="D51" s="3"/>
      <c r="E51" s="3" t="s">
        <v>149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149</v>
      </c>
      <c r="D52" s="3"/>
      <c r="E52" s="3" t="s">
        <v>149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131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142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132</v>
      </c>
      <c r="O66" s="3"/>
      <c r="P66" s="3"/>
      <c r="Q66" s="3">
        <v>0.71599999999999997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154</v>
      </c>
      <c r="D68" s="3"/>
      <c r="E68" s="3" t="s">
        <v>154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154</v>
      </c>
      <c r="D69" s="3"/>
      <c r="E69" s="3" t="s">
        <v>154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154</v>
      </c>
      <c r="D70" s="3"/>
      <c r="E70" s="3" t="s">
        <v>154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154</v>
      </c>
      <c r="D71" s="3"/>
      <c r="E71" s="3" t="s">
        <v>154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154</v>
      </c>
      <c r="D72" s="3"/>
      <c r="E72" s="3" t="s">
        <v>154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154</v>
      </c>
      <c r="D73" s="3"/>
      <c r="E73" s="3" t="s">
        <v>154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154</v>
      </c>
      <c r="D74" s="3"/>
      <c r="E74" s="3" t="s">
        <v>154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154</v>
      </c>
      <c r="D75" s="3"/>
      <c r="E75" s="3" t="s">
        <v>154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154</v>
      </c>
      <c r="D76" s="3"/>
      <c r="E76" s="3" t="s">
        <v>154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131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154</v>
      </c>
      <c r="D77" s="3"/>
      <c r="E77" s="3" t="s">
        <v>154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154</v>
      </c>
      <c r="D78" s="3"/>
      <c r="E78" s="3" t="s">
        <v>154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154</v>
      </c>
      <c r="D79" s="3"/>
      <c r="E79" s="3" t="s">
        <v>154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154</v>
      </c>
      <c r="D80" s="3"/>
      <c r="E80" s="3" t="s">
        <v>154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132</v>
      </c>
      <c r="O87" s="3"/>
      <c r="P87" s="3"/>
      <c r="Q87" s="3">
        <v>0.79700000000000004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159</v>
      </c>
      <c r="D89" s="3"/>
      <c r="E89" s="3" t="s">
        <v>159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159</v>
      </c>
      <c r="D90" s="3"/>
      <c r="E90" s="3" t="s">
        <v>159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159</v>
      </c>
      <c r="D91" s="3"/>
      <c r="E91" s="3" t="s">
        <v>159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159</v>
      </c>
      <c r="D92" s="3"/>
      <c r="E92" s="3" t="s">
        <v>159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159</v>
      </c>
      <c r="D93" s="3"/>
      <c r="E93" s="3" t="s">
        <v>159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159</v>
      </c>
      <c r="D94" s="3"/>
      <c r="E94" s="3" t="s">
        <v>159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159</v>
      </c>
      <c r="D95" s="3"/>
      <c r="E95" s="3" t="s">
        <v>159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159</v>
      </c>
      <c r="D96" s="3"/>
      <c r="E96" s="3" t="s">
        <v>159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159</v>
      </c>
      <c r="D97" s="3"/>
      <c r="E97" s="3" t="s">
        <v>159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131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159</v>
      </c>
      <c r="D98" s="3"/>
      <c r="E98" s="3" t="s">
        <v>159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159</v>
      </c>
      <c r="D99" s="3"/>
      <c r="E99" s="3" t="s">
        <v>159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159</v>
      </c>
      <c r="D100" s="3"/>
      <c r="E100" s="3" t="s">
        <v>159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159</v>
      </c>
      <c r="D101" s="3"/>
      <c r="E101" s="3" t="s">
        <v>159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159</v>
      </c>
      <c r="D102" s="3"/>
      <c r="E102" s="3" t="s">
        <v>159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159</v>
      </c>
      <c r="D103" s="3"/>
      <c r="E103" s="3" t="s">
        <v>159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159</v>
      </c>
      <c r="D104" s="3"/>
      <c r="E104" s="3" t="s">
        <v>159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159</v>
      </c>
      <c r="D105" s="3"/>
      <c r="E105" s="3" t="s">
        <v>159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159</v>
      </c>
      <c r="D106" s="3"/>
      <c r="E106" s="3" t="s">
        <v>159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159</v>
      </c>
      <c r="D107" s="3"/>
      <c r="E107" s="3" t="s">
        <v>159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159</v>
      </c>
      <c r="D108" s="3"/>
      <c r="E108" s="3" t="s">
        <v>159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132</v>
      </c>
      <c r="O108" s="3"/>
      <c r="P108" s="3"/>
      <c r="Q108" s="3">
        <v>0.83799999999999997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159</v>
      </c>
      <c r="D109" s="3"/>
      <c r="E109" s="3" t="s">
        <v>159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165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164</v>
      </c>
      <c r="D115" s="3"/>
      <c r="E115" s="3" t="s">
        <v>164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164</v>
      </c>
      <c r="D116" s="3"/>
      <c r="E116" s="3" t="s">
        <v>164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164</v>
      </c>
      <c r="D117" s="3"/>
      <c r="E117" s="3" t="s">
        <v>164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164</v>
      </c>
      <c r="D118" s="3"/>
      <c r="E118" s="3" t="s">
        <v>164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131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164</v>
      </c>
      <c r="D119" s="3"/>
      <c r="E119" s="3" t="s">
        <v>164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164</v>
      </c>
      <c r="D120" s="3"/>
      <c r="E120" s="3" t="s">
        <v>164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164</v>
      </c>
      <c r="D121" s="3"/>
      <c r="E121" s="3" t="s">
        <v>164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164</v>
      </c>
      <c r="D122" s="3"/>
      <c r="E122" s="3" t="s">
        <v>164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164</v>
      </c>
      <c r="D123" s="3"/>
      <c r="E123" s="3" t="s">
        <v>164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164</v>
      </c>
      <c r="D124" s="3"/>
      <c r="E124" s="3" t="s">
        <v>164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164</v>
      </c>
      <c r="D125" s="3"/>
      <c r="E125" s="3" t="s">
        <v>164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164</v>
      </c>
      <c r="D126" s="3"/>
      <c r="E126" s="3" t="s">
        <v>164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164</v>
      </c>
      <c r="D127" s="3"/>
      <c r="E127" s="3" t="s">
        <v>164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164</v>
      </c>
      <c r="D128" s="3"/>
      <c r="E128" s="3" t="s">
        <v>164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164</v>
      </c>
      <c r="D129" s="3"/>
      <c r="E129" s="3" t="s">
        <v>164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132</v>
      </c>
      <c r="O129" s="3"/>
      <c r="P129" s="3"/>
      <c r="Q129" s="3">
        <v>0.878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164</v>
      </c>
      <c r="D130" s="3"/>
      <c r="E130" s="3" t="s">
        <v>164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169</v>
      </c>
      <c r="D137" s="3"/>
      <c r="E137" s="3" t="s">
        <v>169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169</v>
      </c>
      <c r="D138" s="3"/>
      <c r="E138" s="3" t="s">
        <v>169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169</v>
      </c>
      <c r="D139" s="3"/>
      <c r="E139" s="3" t="s">
        <v>169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131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142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132</v>
      </c>
      <c r="O150" s="3"/>
      <c r="P150" s="3"/>
      <c r="Q150" s="3">
        <v>0.95899999999999996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174</v>
      </c>
      <c r="D152" s="3"/>
      <c r="E152" s="3" t="s">
        <v>174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174</v>
      </c>
      <c r="D153" s="3"/>
      <c r="E153" s="3" t="s">
        <v>174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174</v>
      </c>
      <c r="D154" s="3"/>
      <c r="E154" s="3" t="s">
        <v>174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174</v>
      </c>
      <c r="D155" s="3"/>
      <c r="E155" s="3" t="s">
        <v>174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174</v>
      </c>
      <c r="D156" s="3"/>
      <c r="E156" s="3" t="s">
        <v>174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174</v>
      </c>
      <c r="D157" s="3"/>
      <c r="E157" s="3" t="s">
        <v>174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174</v>
      </c>
      <c r="D158" s="3"/>
      <c r="E158" s="3" t="s">
        <v>174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174</v>
      </c>
      <c r="D159" s="3"/>
      <c r="E159" s="3" t="s">
        <v>174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174</v>
      </c>
      <c r="D160" s="3"/>
      <c r="E160" s="3" t="s">
        <v>174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131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174</v>
      </c>
      <c r="D161" s="3"/>
      <c r="E161" s="3" t="s">
        <v>174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174</v>
      </c>
      <c r="D162" s="3"/>
      <c r="E162" s="3" t="s">
        <v>174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174</v>
      </c>
      <c r="D163" s="3"/>
      <c r="E163" s="3" t="s">
        <v>174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174</v>
      </c>
      <c r="D164" s="3"/>
      <c r="E164" s="3" t="s">
        <v>174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174</v>
      </c>
      <c r="D165" s="3"/>
      <c r="E165" s="3" t="s">
        <v>174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174</v>
      </c>
      <c r="D166" s="3"/>
      <c r="E166" s="3" t="s">
        <v>174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174</v>
      </c>
      <c r="D167" s="3"/>
      <c r="E167" s="3" t="s">
        <v>174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174</v>
      </c>
      <c r="D168" s="3"/>
      <c r="E168" s="3" t="s">
        <v>174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174</v>
      </c>
      <c r="D169" s="3"/>
      <c r="E169" s="3" t="s">
        <v>174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174</v>
      </c>
      <c r="D170" s="3"/>
      <c r="E170" s="3" t="s">
        <v>174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174</v>
      </c>
      <c r="D171" s="3"/>
      <c r="E171" s="3" t="s">
        <v>174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132</v>
      </c>
      <c r="O171" s="3"/>
      <c r="P171" s="3"/>
      <c r="Q171" s="3">
        <v>1.04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174</v>
      </c>
      <c r="D172" s="3"/>
      <c r="E172" s="3" t="s">
        <v>174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179</v>
      </c>
      <c r="D173" s="3"/>
      <c r="E173" s="3" t="s">
        <v>179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179</v>
      </c>
      <c r="D174" s="3"/>
      <c r="E174" s="3" t="s">
        <v>179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179</v>
      </c>
      <c r="D175" s="3"/>
      <c r="E175" s="3" t="s">
        <v>179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179</v>
      </c>
      <c r="D176" s="3"/>
      <c r="E176" s="3" t="s">
        <v>179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179</v>
      </c>
      <c r="D177" s="3"/>
      <c r="E177" s="3" t="s">
        <v>179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179</v>
      </c>
      <c r="D178" s="3"/>
      <c r="E178" s="3" t="s">
        <v>179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179</v>
      </c>
      <c r="D179" s="3"/>
      <c r="E179" s="3" t="s">
        <v>179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179</v>
      </c>
      <c r="D180" s="3"/>
      <c r="E180" s="3" t="s">
        <v>179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179</v>
      </c>
      <c r="D181" s="3"/>
      <c r="E181" s="3" t="s">
        <v>179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131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179</v>
      </c>
      <c r="D182" s="3"/>
      <c r="E182" s="3" t="s">
        <v>179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179</v>
      </c>
      <c r="D183" s="3"/>
      <c r="E183" s="3" t="s">
        <v>179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179</v>
      </c>
      <c r="D184" s="3"/>
      <c r="E184" s="3" t="s">
        <v>179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179</v>
      </c>
      <c r="D185" s="3"/>
      <c r="E185" s="3" t="s">
        <v>179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179</v>
      </c>
      <c r="D186" s="3"/>
      <c r="E186" s="3" t="s">
        <v>179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179</v>
      </c>
      <c r="D187" s="3"/>
      <c r="E187" s="3" t="s">
        <v>179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179</v>
      </c>
      <c r="D188" s="3"/>
      <c r="E188" s="3" t="s">
        <v>179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142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179</v>
      </c>
      <c r="D189" s="3"/>
      <c r="E189" s="3" t="s">
        <v>179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179</v>
      </c>
      <c r="D190" s="3"/>
      <c r="E190" s="3" t="s">
        <v>179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179</v>
      </c>
      <c r="D191" s="3"/>
      <c r="E191" s="3" t="s">
        <v>179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179</v>
      </c>
      <c r="D192" s="3"/>
      <c r="E192" s="3" t="s">
        <v>179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132</v>
      </c>
      <c r="O192" s="3"/>
      <c r="P192" s="3"/>
      <c r="Q192" s="3">
        <v>0.55400000000000005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179</v>
      </c>
      <c r="D193" s="3"/>
      <c r="E193" s="3" t="s">
        <v>179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184</v>
      </c>
      <c r="D194" s="3"/>
      <c r="E194" s="3" t="s">
        <v>184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184</v>
      </c>
      <c r="D195" s="3"/>
      <c r="E195" s="3" t="s">
        <v>184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184</v>
      </c>
      <c r="D196" s="3"/>
      <c r="E196" s="3" t="s">
        <v>184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184</v>
      </c>
      <c r="D197" s="3"/>
      <c r="E197" s="3" t="s">
        <v>184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184</v>
      </c>
      <c r="D198" s="3"/>
      <c r="E198" s="3" t="s">
        <v>184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184</v>
      </c>
      <c r="D199" s="3"/>
      <c r="E199" s="3" t="s">
        <v>184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184</v>
      </c>
      <c r="D200" s="3"/>
      <c r="E200" s="3" t="s">
        <v>184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184</v>
      </c>
      <c r="D201" s="3"/>
      <c r="E201" s="3" t="s">
        <v>184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184</v>
      </c>
      <c r="D202" s="3"/>
      <c r="E202" s="3" t="s">
        <v>184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131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184</v>
      </c>
      <c r="D203" s="3"/>
      <c r="E203" s="3" t="s">
        <v>184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184</v>
      </c>
      <c r="D204" s="3"/>
      <c r="E204" s="3" t="s">
        <v>184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184</v>
      </c>
      <c r="D205" s="3"/>
      <c r="E205" s="3" t="s">
        <v>184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184</v>
      </c>
      <c r="D206" s="3"/>
      <c r="E206" s="3" t="s">
        <v>184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184</v>
      </c>
      <c r="D207" s="3"/>
      <c r="E207" s="3" t="s">
        <v>184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184</v>
      </c>
      <c r="D208" s="3"/>
      <c r="E208" s="3" t="s">
        <v>184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184</v>
      </c>
      <c r="D209" s="3"/>
      <c r="E209" s="3" t="s">
        <v>184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184</v>
      </c>
      <c r="D210" s="3"/>
      <c r="E210" s="3" t="s">
        <v>184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184</v>
      </c>
      <c r="D211" s="3"/>
      <c r="E211" s="3" t="s">
        <v>184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184</v>
      </c>
      <c r="D212" s="3"/>
      <c r="E212" s="3" t="s">
        <v>184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184</v>
      </c>
      <c r="D213" s="3"/>
      <c r="E213" s="3" t="s">
        <v>184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132</v>
      </c>
      <c r="O213" s="3"/>
      <c r="P213" s="3"/>
      <c r="Q213" s="3">
        <v>0.63500000000000001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184</v>
      </c>
      <c r="D214" s="3"/>
      <c r="E214" s="3" t="s">
        <v>184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189</v>
      </c>
      <c r="D215" s="3"/>
      <c r="E215" s="3" t="s">
        <v>189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189</v>
      </c>
      <c r="D216" s="3"/>
      <c r="E216" s="3" t="s">
        <v>189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189</v>
      </c>
      <c r="D217" s="3"/>
      <c r="E217" s="3" t="s">
        <v>189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189</v>
      </c>
      <c r="D218" s="3"/>
      <c r="E218" s="3" t="s">
        <v>189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189</v>
      </c>
      <c r="D219" s="3"/>
      <c r="E219" s="3" t="s">
        <v>189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189</v>
      </c>
      <c r="D220" s="3"/>
      <c r="E220" s="3" t="s">
        <v>189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189</v>
      </c>
      <c r="D221" s="3"/>
      <c r="E221" s="3" t="s">
        <v>189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189</v>
      </c>
      <c r="D222" s="3"/>
      <c r="E222" s="3" t="s">
        <v>189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189</v>
      </c>
      <c r="D223" s="3"/>
      <c r="E223" s="3" t="s">
        <v>189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131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189</v>
      </c>
      <c r="D224" s="3"/>
      <c r="E224" s="3" t="s">
        <v>189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189</v>
      </c>
      <c r="D225" s="3"/>
      <c r="E225" s="3" t="s">
        <v>189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189</v>
      </c>
      <c r="D226" s="3"/>
      <c r="E226" s="3" t="s">
        <v>189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189</v>
      </c>
      <c r="D227" s="3"/>
      <c r="E227" s="3" t="s">
        <v>189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189</v>
      </c>
      <c r="D228" s="3"/>
      <c r="E228" s="3" t="s">
        <v>189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189</v>
      </c>
      <c r="D229" s="3"/>
      <c r="E229" s="3" t="s">
        <v>189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189</v>
      </c>
      <c r="D230" s="3"/>
      <c r="E230" s="3" t="s">
        <v>189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142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189</v>
      </c>
      <c r="D231" s="3"/>
      <c r="E231" s="3" t="s">
        <v>189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189</v>
      </c>
      <c r="D232" s="3"/>
      <c r="E232" s="3" t="s">
        <v>189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189</v>
      </c>
      <c r="D233" s="3"/>
      <c r="E233" s="3" t="s">
        <v>189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189</v>
      </c>
      <c r="D234" s="3"/>
      <c r="E234" s="3" t="s">
        <v>189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132</v>
      </c>
      <c r="O234" s="3"/>
      <c r="P234" s="3"/>
      <c r="Q234" s="3">
        <v>0.71599999999999997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189</v>
      </c>
      <c r="D235" s="3"/>
      <c r="E235" s="3" t="s">
        <v>189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194</v>
      </c>
      <c r="D236" s="3"/>
      <c r="E236" s="3" t="s">
        <v>194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194</v>
      </c>
      <c r="D237" s="3"/>
      <c r="E237" s="3" t="s">
        <v>194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194</v>
      </c>
      <c r="D238" s="3"/>
      <c r="E238" s="3" t="s">
        <v>194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194</v>
      </c>
      <c r="D239" s="3"/>
      <c r="E239" s="3" t="s">
        <v>194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194</v>
      </c>
      <c r="D240" s="3"/>
      <c r="E240" s="3" t="s">
        <v>194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194</v>
      </c>
      <c r="D241" s="3"/>
      <c r="E241" s="3" t="s">
        <v>194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194</v>
      </c>
      <c r="D242" s="3"/>
      <c r="E242" s="3" t="s">
        <v>194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131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194</v>
      </c>
      <c r="D245" s="3"/>
      <c r="E245" s="3" t="s">
        <v>194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194</v>
      </c>
      <c r="D246" s="3"/>
      <c r="E246" s="3" t="s">
        <v>194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194</v>
      </c>
      <c r="D247" s="3"/>
      <c r="E247" s="3" t="s">
        <v>194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194</v>
      </c>
      <c r="D248" s="3"/>
      <c r="E248" s="3" t="s">
        <v>194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194</v>
      </c>
      <c r="D249" s="3"/>
      <c r="E249" s="3" t="s">
        <v>194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194</v>
      </c>
      <c r="D250" s="3"/>
      <c r="E250" s="3" t="s">
        <v>194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194</v>
      </c>
      <c r="D251" s="3"/>
      <c r="E251" s="3" t="s">
        <v>194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194</v>
      </c>
      <c r="D252" s="3"/>
      <c r="E252" s="3" t="s">
        <v>194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194</v>
      </c>
      <c r="D253" s="3"/>
      <c r="E253" s="3" t="s">
        <v>194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194</v>
      </c>
      <c r="D254" s="3"/>
      <c r="E254" s="3" t="s">
        <v>194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194</v>
      </c>
      <c r="D255" s="3"/>
      <c r="E255" s="3" t="s">
        <v>194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132</v>
      </c>
      <c r="O255" s="3"/>
      <c r="P255" s="3"/>
      <c r="Q255" s="3">
        <v>0.79700000000000004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194</v>
      </c>
      <c r="D256" s="3"/>
      <c r="E256" s="3" t="s">
        <v>194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199</v>
      </c>
      <c r="D257" s="3"/>
      <c r="E257" s="3" t="s">
        <v>199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199</v>
      </c>
      <c r="D258" s="3"/>
      <c r="E258" s="3" t="s">
        <v>199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199</v>
      </c>
      <c r="D259" s="3"/>
      <c r="E259" s="3" t="s">
        <v>199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199</v>
      </c>
      <c r="D260" s="3"/>
      <c r="E260" s="3" t="s">
        <v>199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199</v>
      </c>
      <c r="D261" s="3"/>
      <c r="E261" s="3" t="s">
        <v>199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199</v>
      </c>
      <c r="D262" s="3"/>
      <c r="E262" s="3" t="s">
        <v>199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199</v>
      </c>
      <c r="D263" s="3"/>
      <c r="E263" s="3" t="s">
        <v>199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199</v>
      </c>
      <c r="D264" s="3"/>
      <c r="E264" s="3" t="s">
        <v>199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199</v>
      </c>
      <c r="D265" s="3"/>
      <c r="E265" s="3" t="s">
        <v>199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131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199</v>
      </c>
      <c r="D266" s="3"/>
      <c r="E266" s="3" t="s">
        <v>199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199</v>
      </c>
      <c r="D267" s="3"/>
      <c r="E267" s="3" t="s">
        <v>199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199</v>
      </c>
      <c r="D268" s="3"/>
      <c r="E268" s="3" t="s">
        <v>199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199</v>
      </c>
      <c r="D269" s="3"/>
      <c r="E269" s="3" t="s">
        <v>199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199</v>
      </c>
      <c r="D270" s="3"/>
      <c r="E270" s="3" t="s">
        <v>199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142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132</v>
      </c>
      <c r="O276" s="3"/>
      <c r="P276" s="3"/>
      <c r="Q276" s="3">
        <v>0.83799999999999997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199</v>
      </c>
      <c r="D277" s="3"/>
      <c r="E277" s="3" t="s">
        <v>199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204</v>
      </c>
      <c r="D278" s="3"/>
      <c r="E278" s="3" t="s">
        <v>204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204</v>
      </c>
      <c r="D279" s="3"/>
      <c r="E279" s="3" t="s">
        <v>204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204</v>
      </c>
      <c r="D280" s="3"/>
      <c r="E280" s="3" t="s">
        <v>204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204</v>
      </c>
      <c r="D281" s="3"/>
      <c r="E281" s="3" t="s">
        <v>204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204</v>
      </c>
      <c r="D282" s="3"/>
      <c r="E282" s="3" t="s">
        <v>204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204</v>
      </c>
      <c r="D283" s="3"/>
      <c r="E283" s="3" t="s">
        <v>204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204</v>
      </c>
      <c r="D284" s="3"/>
      <c r="E284" s="3" t="s">
        <v>204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204</v>
      </c>
      <c r="D285" s="3"/>
      <c r="E285" s="3" t="s">
        <v>204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207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204</v>
      </c>
      <c r="D286" s="3"/>
      <c r="E286" s="3" t="s">
        <v>204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131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204</v>
      </c>
      <c r="D287" s="3"/>
      <c r="E287" s="3" t="s">
        <v>204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204</v>
      </c>
      <c r="D288" s="3"/>
      <c r="E288" s="3" t="s">
        <v>204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204</v>
      </c>
      <c r="D289" s="3"/>
      <c r="E289" s="3" t="s">
        <v>204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204</v>
      </c>
      <c r="D290" s="3"/>
      <c r="E290" s="3" t="s">
        <v>204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204</v>
      </c>
      <c r="D291" s="3"/>
      <c r="E291" s="3" t="s">
        <v>204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204</v>
      </c>
      <c r="D292" s="3"/>
      <c r="E292" s="3" t="s">
        <v>204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204</v>
      </c>
      <c r="D293" s="3"/>
      <c r="E293" s="3" t="s">
        <v>204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204</v>
      </c>
      <c r="D294" s="3"/>
      <c r="E294" s="3" t="s">
        <v>204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204</v>
      </c>
      <c r="D295" s="3"/>
      <c r="E295" s="3" t="s">
        <v>204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204</v>
      </c>
      <c r="D296" s="3"/>
      <c r="E296" s="3" t="s">
        <v>204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204</v>
      </c>
      <c r="D297" s="3"/>
      <c r="E297" s="3" t="s">
        <v>204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132</v>
      </c>
      <c r="O297" s="3"/>
      <c r="P297" s="3"/>
      <c r="Q297" s="3">
        <v>0.878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204</v>
      </c>
      <c r="D298" s="3"/>
      <c r="E298" s="3" t="s">
        <v>204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209</v>
      </c>
      <c r="D305" s="3"/>
      <c r="E305" s="3" t="s">
        <v>209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209</v>
      </c>
      <c r="D306" s="3"/>
      <c r="E306" s="3" t="s">
        <v>209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209</v>
      </c>
      <c r="D307" s="3"/>
      <c r="E307" s="3" t="s">
        <v>209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131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209</v>
      </c>
      <c r="D308" s="3"/>
      <c r="E308" s="3" t="s">
        <v>209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209</v>
      </c>
      <c r="D309" s="3"/>
      <c r="E309" s="3" t="s">
        <v>209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209</v>
      </c>
      <c r="D310" s="3"/>
      <c r="E310" s="3" t="s">
        <v>209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209</v>
      </c>
      <c r="D311" s="3"/>
      <c r="E311" s="3" t="s">
        <v>209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209</v>
      </c>
      <c r="D312" s="3"/>
      <c r="E312" s="3" t="s">
        <v>209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209</v>
      </c>
      <c r="D313" s="3"/>
      <c r="E313" s="3" t="s">
        <v>209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209</v>
      </c>
      <c r="D314" s="3"/>
      <c r="E314" s="3" t="s">
        <v>209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209</v>
      </c>
      <c r="D315" s="3"/>
      <c r="E315" s="3" t="s">
        <v>209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209</v>
      </c>
      <c r="D316" s="3"/>
      <c r="E316" s="3" t="s">
        <v>209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209</v>
      </c>
      <c r="D317" s="3"/>
      <c r="E317" s="3" t="s">
        <v>209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209</v>
      </c>
      <c r="D318" s="3"/>
      <c r="E318" s="3" t="s">
        <v>209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132</v>
      </c>
      <c r="O318" s="3"/>
      <c r="P318" s="3"/>
      <c r="Q318" s="3">
        <v>0.95899999999999996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209</v>
      </c>
      <c r="D319" s="3"/>
      <c r="E319" s="3" t="s">
        <v>209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131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214</v>
      </c>
      <c r="D329" s="3"/>
      <c r="E329" s="3" t="s">
        <v>214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214</v>
      </c>
      <c r="D330" s="3"/>
      <c r="E330" s="3" t="s">
        <v>214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214</v>
      </c>
      <c r="D331" s="3"/>
      <c r="E331" s="3" t="s">
        <v>214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214</v>
      </c>
      <c r="D332" s="3"/>
      <c r="E332" s="3" t="s">
        <v>214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214</v>
      </c>
      <c r="D333" s="3"/>
      <c r="E333" s="3" t="s">
        <v>214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214</v>
      </c>
      <c r="D334" s="3"/>
      <c r="E334" s="3" t="s">
        <v>214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214</v>
      </c>
      <c r="D335" s="3"/>
      <c r="E335" s="3" t="s">
        <v>214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214</v>
      </c>
      <c r="D336" s="3"/>
      <c r="E336" s="3" t="s">
        <v>214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214</v>
      </c>
      <c r="D337" s="3"/>
      <c r="E337" s="3" t="s">
        <v>214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214</v>
      </c>
      <c r="D338" s="3"/>
      <c r="E338" s="3" t="s">
        <v>214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214</v>
      </c>
      <c r="D339" s="3"/>
      <c r="E339" s="3" t="s">
        <v>214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132</v>
      </c>
      <c r="O339" s="3"/>
      <c r="P339" s="3"/>
      <c r="Q339" s="3">
        <v>1.04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214</v>
      </c>
      <c r="D340" s="3"/>
      <c r="E340" s="3" t="s">
        <v>214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219</v>
      </c>
      <c r="D341" s="3"/>
      <c r="E341" s="3" t="s">
        <v>219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219</v>
      </c>
      <c r="D342" s="3"/>
      <c r="E342" s="3" t="s">
        <v>219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219</v>
      </c>
      <c r="D343" s="3"/>
      <c r="E343" s="3" t="s">
        <v>219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219</v>
      </c>
      <c r="D344" s="3"/>
      <c r="E344" s="3" t="s">
        <v>219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219</v>
      </c>
      <c r="D345" s="3"/>
      <c r="E345" s="3" t="s">
        <v>219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219</v>
      </c>
      <c r="D346" s="3"/>
      <c r="E346" s="3" t="s">
        <v>219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219</v>
      </c>
      <c r="D347" s="3"/>
      <c r="E347" s="3" t="s">
        <v>219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219</v>
      </c>
      <c r="D348" s="3"/>
      <c r="E348" s="3" t="s">
        <v>219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219</v>
      </c>
      <c r="D349" s="3"/>
      <c r="E349" s="3" t="s">
        <v>219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131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219</v>
      </c>
      <c r="D350" s="3"/>
      <c r="E350" s="3" t="s">
        <v>219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219</v>
      </c>
      <c r="D351" s="3"/>
      <c r="E351" s="3" t="s">
        <v>219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219</v>
      </c>
      <c r="D352" s="3"/>
      <c r="E352" s="3" t="s">
        <v>219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219</v>
      </c>
      <c r="D353" s="3"/>
      <c r="E353" s="3" t="s">
        <v>219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219</v>
      </c>
      <c r="D354" s="3"/>
      <c r="E354" s="3" t="s">
        <v>219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219</v>
      </c>
      <c r="D355" s="3"/>
      <c r="E355" s="3" t="s">
        <v>219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219</v>
      </c>
      <c r="D356" s="3"/>
      <c r="E356" s="3" t="s">
        <v>219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142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219</v>
      </c>
      <c r="D357" s="3"/>
      <c r="E357" s="3" t="s">
        <v>219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219</v>
      </c>
      <c r="D358" s="3"/>
      <c r="E358" s="3" t="s">
        <v>219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219</v>
      </c>
      <c r="D359" s="3"/>
      <c r="E359" s="3" t="s">
        <v>219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219</v>
      </c>
      <c r="D360" s="3"/>
      <c r="E360" s="3" t="s">
        <v>219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132</v>
      </c>
      <c r="O360" s="3"/>
      <c r="P360" s="3"/>
      <c r="Q360" s="3">
        <v>0.55400000000000005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219</v>
      </c>
      <c r="D361" s="3"/>
      <c r="E361" s="3" t="s">
        <v>219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224</v>
      </c>
      <c r="D362" s="3"/>
      <c r="E362" s="3" t="s">
        <v>224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224</v>
      </c>
      <c r="D363" s="3"/>
      <c r="E363" s="3" t="s">
        <v>224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224</v>
      </c>
      <c r="D364" s="3"/>
      <c r="E364" s="3" t="s">
        <v>224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224</v>
      </c>
      <c r="D365" s="3"/>
      <c r="E365" s="3" t="s">
        <v>224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224</v>
      </c>
      <c r="D366" s="3"/>
      <c r="E366" s="3" t="s">
        <v>224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224</v>
      </c>
      <c r="D367" s="3"/>
      <c r="E367" s="3" t="s">
        <v>224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224</v>
      </c>
      <c r="D368" s="3"/>
      <c r="E368" s="3" t="s">
        <v>224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224</v>
      </c>
      <c r="D369" s="3"/>
      <c r="E369" s="3" t="s">
        <v>224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224</v>
      </c>
      <c r="D370" s="3"/>
      <c r="E370" s="3" t="s">
        <v>224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131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224</v>
      </c>
      <c r="D371" s="3"/>
      <c r="E371" s="3" t="s">
        <v>224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224</v>
      </c>
      <c r="D372" s="3"/>
      <c r="E372" s="3" t="s">
        <v>224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224</v>
      </c>
      <c r="D373" s="3"/>
      <c r="E373" s="3" t="s">
        <v>224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224</v>
      </c>
      <c r="D374" s="3"/>
      <c r="E374" s="3" t="s">
        <v>224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224</v>
      </c>
      <c r="D375" s="3"/>
      <c r="E375" s="3" t="s">
        <v>224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224</v>
      </c>
      <c r="D376" s="3"/>
      <c r="E376" s="3" t="s">
        <v>224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224</v>
      </c>
      <c r="D377" s="3"/>
      <c r="E377" s="3" t="s">
        <v>224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224</v>
      </c>
      <c r="D378" s="3"/>
      <c r="E378" s="3" t="s">
        <v>224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224</v>
      </c>
      <c r="D379" s="3"/>
      <c r="E379" s="3" t="s">
        <v>224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132</v>
      </c>
      <c r="O381" s="3"/>
      <c r="P381" s="3"/>
      <c r="Q381" s="3">
        <v>0.63500000000000001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229</v>
      </c>
      <c r="D383" s="3"/>
      <c r="E383" s="3" t="s">
        <v>229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229</v>
      </c>
      <c r="D384" s="3"/>
      <c r="E384" s="3" t="s">
        <v>229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229</v>
      </c>
      <c r="D385" s="3"/>
      <c r="E385" s="3" t="s">
        <v>229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229</v>
      </c>
      <c r="D386" s="3"/>
      <c r="E386" s="3" t="s">
        <v>229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229</v>
      </c>
      <c r="D387" s="3"/>
      <c r="E387" s="3" t="s">
        <v>229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229</v>
      </c>
      <c r="D388" s="3"/>
      <c r="E388" s="3" t="s">
        <v>229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229</v>
      </c>
      <c r="D389" s="3"/>
      <c r="E389" s="3" t="s">
        <v>229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229</v>
      </c>
      <c r="D390" s="3"/>
      <c r="E390" s="3" t="s">
        <v>229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229</v>
      </c>
      <c r="D391" s="3"/>
      <c r="E391" s="3" t="s">
        <v>229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131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229</v>
      </c>
      <c r="D392" s="3"/>
      <c r="E392" s="3" t="s">
        <v>229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229</v>
      </c>
      <c r="D393" s="3"/>
      <c r="E393" s="3" t="s">
        <v>229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229</v>
      </c>
      <c r="D394" s="3"/>
      <c r="E394" s="3" t="s">
        <v>229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229</v>
      </c>
      <c r="D395" s="3"/>
      <c r="E395" s="3" t="s">
        <v>229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229</v>
      </c>
      <c r="D396" s="3"/>
      <c r="E396" s="3" t="s">
        <v>229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229</v>
      </c>
      <c r="D397" s="3"/>
      <c r="E397" s="3" t="s">
        <v>229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229</v>
      </c>
      <c r="D398" s="3"/>
      <c r="E398" s="3" t="s">
        <v>229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142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229</v>
      </c>
      <c r="D399" s="3"/>
      <c r="E399" s="3" t="s">
        <v>229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229</v>
      </c>
      <c r="D400" s="3"/>
      <c r="E400" s="3" t="s">
        <v>229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229</v>
      </c>
      <c r="D401" s="3"/>
      <c r="E401" s="3" t="s">
        <v>229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229</v>
      </c>
      <c r="D402" s="3"/>
      <c r="E402" s="3" t="s">
        <v>229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132</v>
      </c>
      <c r="O402" s="3"/>
      <c r="P402" s="3"/>
      <c r="Q402" s="3">
        <v>0.71599999999999997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229</v>
      </c>
      <c r="D403" s="3"/>
      <c r="E403" s="3" t="s">
        <v>229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233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234</v>
      </c>
      <c r="D404" s="3"/>
      <c r="E404" s="3" t="s">
        <v>234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234</v>
      </c>
      <c r="D405" s="3"/>
      <c r="E405" s="3" t="s">
        <v>234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234</v>
      </c>
      <c r="D406" s="3"/>
      <c r="E406" s="3" t="s">
        <v>234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234</v>
      </c>
      <c r="D407" s="3"/>
      <c r="E407" s="3" t="s">
        <v>234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234</v>
      </c>
      <c r="D408" s="3"/>
      <c r="E408" s="3" t="s">
        <v>234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234</v>
      </c>
      <c r="D409" s="3"/>
      <c r="E409" s="3" t="s">
        <v>234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234</v>
      </c>
      <c r="D410" s="3"/>
      <c r="E410" s="3" t="s">
        <v>234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234</v>
      </c>
      <c r="D411" s="3"/>
      <c r="E411" s="3" t="s">
        <v>234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237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234</v>
      </c>
      <c r="D412" s="3"/>
      <c r="E412" s="3" t="s">
        <v>234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131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234</v>
      </c>
      <c r="D413" s="3"/>
      <c r="E413" s="3" t="s">
        <v>234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234</v>
      </c>
      <c r="D414" s="3"/>
      <c r="E414" s="3" t="s">
        <v>234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234</v>
      </c>
      <c r="D415" s="3"/>
      <c r="E415" s="3" t="s">
        <v>234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234</v>
      </c>
      <c r="D416" s="3"/>
      <c r="E416" s="3" t="s">
        <v>234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234</v>
      </c>
      <c r="D417" s="3"/>
      <c r="E417" s="3" t="s">
        <v>234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234</v>
      </c>
      <c r="D418" s="3"/>
      <c r="E418" s="3" t="s">
        <v>234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234</v>
      </c>
      <c r="D419" s="3"/>
      <c r="E419" s="3" t="s">
        <v>234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234</v>
      </c>
      <c r="D420" s="3"/>
      <c r="E420" s="3" t="s">
        <v>234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234</v>
      </c>
      <c r="D421" s="3"/>
      <c r="E421" s="3" t="s">
        <v>234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234</v>
      </c>
      <c r="D422" s="3"/>
      <c r="E422" s="3" t="s">
        <v>234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234</v>
      </c>
      <c r="D423" s="3"/>
      <c r="E423" s="3" t="s">
        <v>234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132</v>
      </c>
      <c r="O423" s="3"/>
      <c r="P423" s="3"/>
      <c r="Q423" s="3">
        <v>0.79700000000000004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234</v>
      </c>
      <c r="D424" s="3"/>
      <c r="E424" s="3" t="s">
        <v>234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239</v>
      </c>
      <c r="D425" s="3"/>
      <c r="E425" s="3" t="s">
        <v>239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239</v>
      </c>
      <c r="D426" s="3"/>
      <c r="E426" s="3" t="s">
        <v>239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239</v>
      </c>
      <c r="D427" s="3"/>
      <c r="E427" s="3" t="s">
        <v>239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239</v>
      </c>
      <c r="D428" s="3"/>
      <c r="E428" s="3" t="s">
        <v>239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239</v>
      </c>
      <c r="D429" s="3"/>
      <c r="E429" s="3" t="s">
        <v>239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131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239</v>
      </c>
      <c r="D439" s="3"/>
      <c r="E439" s="3" t="s">
        <v>239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239</v>
      </c>
      <c r="D440" s="3"/>
      <c r="E440" s="3" t="s">
        <v>239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239</v>
      </c>
      <c r="D441" s="3"/>
      <c r="E441" s="3" t="s">
        <v>239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239</v>
      </c>
      <c r="D442" s="3"/>
      <c r="E442" s="3" t="s">
        <v>239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239</v>
      </c>
      <c r="D443" s="3"/>
      <c r="E443" s="3" t="s">
        <v>239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239</v>
      </c>
      <c r="D444" s="3"/>
      <c r="E444" s="3" t="s">
        <v>239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132</v>
      </c>
      <c r="O444" s="3"/>
      <c r="P444" s="3"/>
      <c r="Q444" s="3">
        <v>0.83799999999999997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239</v>
      </c>
      <c r="D445" s="3"/>
      <c r="E445" s="3" t="s">
        <v>239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244</v>
      </c>
      <c r="D446" s="3"/>
      <c r="E446" s="3" t="s">
        <v>244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244</v>
      </c>
      <c r="D447" s="3"/>
      <c r="E447" s="3" t="s">
        <v>244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244</v>
      </c>
      <c r="D448" s="3"/>
      <c r="E448" s="3" t="s">
        <v>244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244</v>
      </c>
      <c r="D449" s="3"/>
      <c r="E449" s="3" t="s">
        <v>244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244</v>
      </c>
      <c r="D450" s="3"/>
      <c r="E450" s="3" t="s">
        <v>244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244</v>
      </c>
      <c r="D451" s="3"/>
      <c r="E451" s="3" t="s">
        <v>244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244</v>
      </c>
      <c r="D452" s="3"/>
      <c r="E452" s="3" t="s">
        <v>244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244</v>
      </c>
      <c r="D453" s="3"/>
      <c r="E453" s="3" t="s">
        <v>244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244</v>
      </c>
      <c r="D454" s="3"/>
      <c r="E454" s="3" t="s">
        <v>244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131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244</v>
      </c>
      <c r="D455" s="3"/>
      <c r="E455" s="3" t="s">
        <v>244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244</v>
      </c>
      <c r="D456" s="3"/>
      <c r="E456" s="3" t="s">
        <v>244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244</v>
      </c>
      <c r="D457" s="3"/>
      <c r="E457" s="3" t="s">
        <v>244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244</v>
      </c>
      <c r="D458" s="3"/>
      <c r="E458" s="3" t="s">
        <v>244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244</v>
      </c>
      <c r="D459" s="3"/>
      <c r="E459" s="3" t="s">
        <v>244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244</v>
      </c>
      <c r="D460" s="3"/>
      <c r="E460" s="3" t="s">
        <v>244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244</v>
      </c>
      <c r="D461" s="3"/>
      <c r="E461" s="3" t="s">
        <v>244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244</v>
      </c>
      <c r="D462" s="3"/>
      <c r="E462" s="3" t="s">
        <v>244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244</v>
      </c>
      <c r="D463" s="3"/>
      <c r="E463" s="3" t="s">
        <v>244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244</v>
      </c>
      <c r="D464" s="3"/>
      <c r="E464" s="3" t="s">
        <v>244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244</v>
      </c>
      <c r="D465" s="3"/>
      <c r="E465" s="3" t="s">
        <v>244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132</v>
      </c>
      <c r="O465" s="3"/>
      <c r="P465" s="3"/>
      <c r="Q465" s="3">
        <v>0.878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244</v>
      </c>
      <c r="D466" s="3"/>
      <c r="E466" s="3" t="s">
        <v>244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249</v>
      </c>
      <c r="D467" s="3"/>
      <c r="E467" s="3" t="s">
        <v>249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249</v>
      </c>
      <c r="D468" s="3"/>
      <c r="E468" s="3" t="s">
        <v>249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249</v>
      </c>
      <c r="D469" s="3"/>
      <c r="E469" s="3" t="s">
        <v>249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249</v>
      </c>
      <c r="D470" s="3"/>
      <c r="E470" s="3" t="s">
        <v>249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249</v>
      </c>
      <c r="D471" s="3"/>
      <c r="E471" s="3" t="s">
        <v>249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249</v>
      </c>
      <c r="D472" s="3"/>
      <c r="E472" s="3" t="s">
        <v>249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249</v>
      </c>
      <c r="D473" s="3"/>
      <c r="E473" s="3" t="s">
        <v>249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249</v>
      </c>
      <c r="D474" s="3"/>
      <c r="E474" s="3" t="s">
        <v>249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249</v>
      </c>
      <c r="D475" s="3"/>
      <c r="E475" s="3" t="s">
        <v>249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131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249</v>
      </c>
      <c r="D476" s="3"/>
      <c r="E476" s="3" t="s">
        <v>249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249</v>
      </c>
      <c r="D477" s="3"/>
      <c r="E477" s="3" t="s">
        <v>249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249</v>
      </c>
      <c r="D478" s="3"/>
      <c r="E478" s="3" t="s">
        <v>249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249</v>
      </c>
      <c r="D479" s="3"/>
      <c r="E479" s="3" t="s">
        <v>249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249</v>
      </c>
      <c r="D480" s="3"/>
      <c r="E480" s="3" t="s">
        <v>249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249</v>
      </c>
      <c r="D481" s="3"/>
      <c r="E481" s="3" t="s">
        <v>249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249</v>
      </c>
      <c r="D482" s="3"/>
      <c r="E482" s="3" t="s">
        <v>249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142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249</v>
      </c>
      <c r="D483" s="3"/>
      <c r="E483" s="3" t="s">
        <v>249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249</v>
      </c>
      <c r="D484" s="3"/>
      <c r="E484" s="3" t="s">
        <v>249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249</v>
      </c>
      <c r="D485" s="3"/>
      <c r="E485" s="3" t="s">
        <v>249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249</v>
      </c>
      <c r="D486" s="3"/>
      <c r="E486" s="3" t="s">
        <v>249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0.95899999999999996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249</v>
      </c>
      <c r="D487" s="3"/>
      <c r="E487" s="3" t="s">
        <v>249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254</v>
      </c>
      <c r="D488" s="3"/>
      <c r="E488" s="3" t="s">
        <v>254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254</v>
      </c>
      <c r="D489" s="3"/>
      <c r="E489" s="3" t="s">
        <v>254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254</v>
      </c>
      <c r="D490" s="3"/>
      <c r="E490" s="3" t="s">
        <v>254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254</v>
      </c>
      <c r="D491" s="3"/>
      <c r="E491" s="3" t="s">
        <v>254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254</v>
      </c>
      <c r="D492" s="3"/>
      <c r="E492" s="3" t="s">
        <v>254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254</v>
      </c>
      <c r="D493" s="3"/>
      <c r="E493" s="3" t="s">
        <v>254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254</v>
      </c>
      <c r="D494" s="3"/>
      <c r="E494" s="3" t="s">
        <v>254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254</v>
      </c>
      <c r="D495" s="3"/>
      <c r="E495" s="3" t="s">
        <v>254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254</v>
      </c>
      <c r="D496" s="3"/>
      <c r="E496" s="3" t="s">
        <v>254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131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254</v>
      </c>
      <c r="D497" s="3"/>
      <c r="E497" s="3" t="s">
        <v>254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254</v>
      </c>
      <c r="D498" s="3"/>
      <c r="E498" s="3" t="s">
        <v>254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254</v>
      </c>
      <c r="D499" s="3"/>
      <c r="E499" s="3" t="s">
        <v>254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132</v>
      </c>
      <c r="O507" s="3"/>
      <c r="P507" s="3"/>
      <c r="Q507" s="3">
        <v>1.04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259</v>
      </c>
      <c r="D509" s="3"/>
      <c r="E509" s="3" t="s">
        <v>259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259</v>
      </c>
      <c r="D510" s="3"/>
      <c r="E510" s="3" t="s">
        <v>259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259</v>
      </c>
      <c r="D511" s="3"/>
      <c r="E511" s="3" t="s">
        <v>259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259</v>
      </c>
      <c r="D512" s="3"/>
      <c r="E512" s="3" t="s">
        <v>259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259</v>
      </c>
      <c r="D513" s="3"/>
      <c r="E513" s="3" t="s">
        <v>259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259</v>
      </c>
      <c r="D514" s="3"/>
      <c r="E514" s="3" t="s">
        <v>259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259</v>
      </c>
      <c r="D515" s="3"/>
      <c r="E515" s="3" t="s">
        <v>259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259</v>
      </c>
      <c r="D516" s="3"/>
      <c r="E516" s="3" t="s">
        <v>259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259</v>
      </c>
      <c r="D517" s="3"/>
      <c r="E517" s="3" t="s">
        <v>259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131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259</v>
      </c>
      <c r="D518" s="3"/>
      <c r="E518" s="3" t="s">
        <v>259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259</v>
      </c>
      <c r="D519" s="3"/>
      <c r="E519" s="3" t="s">
        <v>259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259</v>
      </c>
      <c r="D520" s="3"/>
      <c r="E520" s="3" t="s">
        <v>259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259</v>
      </c>
      <c r="D521" s="3"/>
      <c r="E521" s="3" t="s">
        <v>259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259</v>
      </c>
      <c r="D522" s="3"/>
      <c r="E522" s="3" t="s">
        <v>259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259</v>
      </c>
      <c r="D523" s="3"/>
      <c r="E523" s="3" t="s">
        <v>259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259</v>
      </c>
      <c r="D524" s="3"/>
      <c r="E524" s="3" t="s">
        <v>259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259</v>
      </c>
      <c r="D525" s="3"/>
      <c r="E525" s="3" t="s">
        <v>259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259</v>
      </c>
      <c r="D526" s="3"/>
      <c r="E526" s="3" t="s">
        <v>259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259</v>
      </c>
      <c r="D527" s="3"/>
      <c r="E527" s="3" t="s">
        <v>259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259</v>
      </c>
      <c r="D528" s="3"/>
      <c r="E528" s="3" t="s">
        <v>259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132</v>
      </c>
      <c r="O528" s="3"/>
      <c r="P528" s="3"/>
      <c r="Q528" s="3">
        <v>1.1890000000000001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259</v>
      </c>
      <c r="D529" s="3"/>
      <c r="E529" s="3" t="s">
        <v>259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264</v>
      </c>
      <c r="D530" s="3"/>
      <c r="E530" s="3" t="s">
        <v>264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264</v>
      </c>
      <c r="D531" s="3"/>
      <c r="E531" s="3" t="s">
        <v>264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264</v>
      </c>
      <c r="D532" s="3"/>
      <c r="E532" s="3" t="s">
        <v>264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264</v>
      </c>
      <c r="D533" s="3"/>
      <c r="E533" s="3" t="s">
        <v>264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264</v>
      </c>
      <c r="D534" s="3"/>
      <c r="E534" s="3" t="s">
        <v>264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264</v>
      </c>
      <c r="D535" s="3"/>
      <c r="E535" s="3" t="s">
        <v>264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264</v>
      </c>
      <c r="D536" s="3"/>
      <c r="E536" s="3" t="s">
        <v>264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264</v>
      </c>
      <c r="D537" s="3"/>
      <c r="E537" s="3" t="s">
        <v>264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264</v>
      </c>
      <c r="D538" s="3"/>
      <c r="E538" s="3" t="s">
        <v>264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131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264</v>
      </c>
      <c r="D539" s="3"/>
      <c r="E539" s="3" t="s">
        <v>264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264</v>
      </c>
      <c r="D540" s="3"/>
      <c r="E540" s="3" t="s">
        <v>264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264</v>
      </c>
      <c r="D541" s="3"/>
      <c r="E541" s="3" t="s">
        <v>264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264</v>
      </c>
      <c r="D542" s="3"/>
      <c r="E542" s="3" t="s">
        <v>264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264</v>
      </c>
      <c r="D543" s="3"/>
      <c r="E543" s="3" t="s">
        <v>264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264</v>
      </c>
      <c r="D544" s="3"/>
      <c r="E544" s="3" t="s">
        <v>264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264</v>
      </c>
      <c r="D545" s="3"/>
      <c r="E545" s="3" t="s">
        <v>264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264</v>
      </c>
      <c r="D546" s="3"/>
      <c r="E546" s="3" t="s">
        <v>264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264</v>
      </c>
      <c r="D547" s="3"/>
      <c r="E547" s="3" t="s">
        <v>264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264</v>
      </c>
      <c r="D548" s="3"/>
      <c r="E548" s="3" t="s">
        <v>264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264</v>
      </c>
      <c r="D549" s="3"/>
      <c r="E549" s="3" t="s">
        <v>264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132</v>
      </c>
      <c r="O549" s="3"/>
      <c r="P549" s="3"/>
      <c r="Q549" s="3">
        <v>1.1890000000000001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264</v>
      </c>
      <c r="D550" s="3"/>
      <c r="E550" s="3" t="s">
        <v>264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269</v>
      </c>
      <c r="D551" s="3"/>
      <c r="E551" s="3" t="s">
        <v>269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269</v>
      </c>
      <c r="D552" s="3"/>
      <c r="E552" s="3" t="s">
        <v>269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269</v>
      </c>
      <c r="D553" s="3"/>
      <c r="E553" s="3" t="s">
        <v>269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269</v>
      </c>
      <c r="D554" s="3"/>
      <c r="E554" s="3" t="s">
        <v>269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269</v>
      </c>
      <c r="D555" s="3"/>
      <c r="E555" s="3" t="s">
        <v>269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269</v>
      </c>
      <c r="D556" s="3"/>
      <c r="E556" s="3" t="s">
        <v>269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269</v>
      </c>
      <c r="D557" s="3"/>
      <c r="E557" s="3" t="s">
        <v>269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269</v>
      </c>
      <c r="D558" s="3"/>
      <c r="E558" s="3" t="s">
        <v>269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269</v>
      </c>
      <c r="D559" s="3"/>
      <c r="E559" s="3" t="s">
        <v>269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131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142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132</v>
      </c>
      <c r="O570" s="3"/>
      <c r="P570" s="3"/>
      <c r="Q570" s="3">
        <v>1.1890000000000001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274</v>
      </c>
      <c r="D577" s="3"/>
      <c r="E577" s="3" t="s">
        <v>274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274</v>
      </c>
      <c r="D578" s="3"/>
      <c r="E578" s="3" t="s">
        <v>274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274</v>
      </c>
      <c r="D579" s="3"/>
      <c r="E579" s="3" t="s">
        <v>274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274</v>
      </c>
      <c r="D580" s="3"/>
      <c r="E580" s="3" t="s">
        <v>274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131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274</v>
      </c>
      <c r="D581" s="3"/>
      <c r="E581" s="3" t="s">
        <v>274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274</v>
      </c>
      <c r="D582" s="3"/>
      <c r="E582" s="3" t="s">
        <v>274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274</v>
      </c>
      <c r="D583" s="3"/>
      <c r="E583" s="3" t="s">
        <v>274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274</v>
      </c>
      <c r="D584" s="3"/>
      <c r="E584" s="3" t="s">
        <v>274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274</v>
      </c>
      <c r="D585" s="3"/>
      <c r="E585" s="3" t="s">
        <v>274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274</v>
      </c>
      <c r="D586" s="3"/>
      <c r="E586" s="3" t="s">
        <v>274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274</v>
      </c>
      <c r="D587" s="3"/>
      <c r="E587" s="3" t="s">
        <v>274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274</v>
      </c>
      <c r="D588" s="3"/>
      <c r="E588" s="3" t="s">
        <v>274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274</v>
      </c>
      <c r="D589" s="3"/>
      <c r="E589" s="3" t="s">
        <v>274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274</v>
      </c>
      <c r="D590" s="3"/>
      <c r="E590" s="3" t="s">
        <v>274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274</v>
      </c>
      <c r="D591" s="3"/>
      <c r="E591" s="3" t="s">
        <v>274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132</v>
      </c>
      <c r="O591" s="3"/>
      <c r="P591" s="3"/>
      <c r="Q591" s="3">
        <v>1.1890000000000001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274</v>
      </c>
      <c r="D592" s="3"/>
      <c r="E592" s="3" t="s">
        <v>274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279</v>
      </c>
      <c r="D593" s="3"/>
      <c r="E593" s="3" t="s">
        <v>279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279</v>
      </c>
      <c r="D594" s="3"/>
      <c r="E594" s="3" t="s">
        <v>279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279</v>
      </c>
      <c r="D595" s="3"/>
      <c r="E595" s="3" t="s">
        <v>279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279</v>
      </c>
      <c r="D596" s="3"/>
      <c r="E596" s="3" t="s">
        <v>279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279</v>
      </c>
      <c r="D597" s="3"/>
      <c r="E597" s="3" t="s">
        <v>279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279</v>
      </c>
      <c r="D598" s="3"/>
      <c r="E598" s="3" t="s">
        <v>279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279</v>
      </c>
      <c r="D599" s="3"/>
      <c r="E599" s="3" t="s">
        <v>279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279</v>
      </c>
      <c r="D600" s="3"/>
      <c r="E600" s="3" t="s">
        <v>279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279</v>
      </c>
      <c r="D601" s="3"/>
      <c r="E601" s="3" t="s">
        <v>279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131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279</v>
      </c>
      <c r="D602" s="3"/>
      <c r="E602" s="3" t="s">
        <v>279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279</v>
      </c>
      <c r="D603" s="3"/>
      <c r="E603" s="3" t="s">
        <v>279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279</v>
      </c>
      <c r="D604" s="3"/>
      <c r="E604" s="3" t="s">
        <v>279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279</v>
      </c>
      <c r="D605" s="3"/>
      <c r="E605" s="3" t="s">
        <v>279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279</v>
      </c>
      <c r="D606" s="3"/>
      <c r="E606" s="3" t="s">
        <v>279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279</v>
      </c>
      <c r="D607" s="3"/>
      <c r="E607" s="3" t="s">
        <v>279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279</v>
      </c>
      <c r="D608" s="3"/>
      <c r="E608" s="3" t="s">
        <v>279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142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279</v>
      </c>
      <c r="D609" s="3"/>
      <c r="E609" s="3" t="s">
        <v>279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279</v>
      </c>
      <c r="D610" s="3"/>
      <c r="E610" s="3" t="s">
        <v>279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279</v>
      </c>
      <c r="D611" s="3"/>
      <c r="E611" s="3" t="s">
        <v>279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279</v>
      </c>
      <c r="D612" s="3"/>
      <c r="E612" s="3" t="s">
        <v>279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132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279</v>
      </c>
      <c r="D613" s="3"/>
      <c r="E613" s="3" t="s">
        <v>279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284</v>
      </c>
      <c r="D614" s="3"/>
      <c r="E614" s="3" t="s">
        <v>284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284</v>
      </c>
      <c r="D615" s="3"/>
      <c r="E615" s="3" t="s">
        <v>284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284</v>
      </c>
      <c r="D616" s="3"/>
      <c r="E616" s="3" t="s">
        <v>284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284</v>
      </c>
      <c r="D617" s="3"/>
      <c r="E617" s="3" t="s">
        <v>284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284</v>
      </c>
      <c r="D618" s="3"/>
      <c r="E618" s="3" t="s">
        <v>284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284</v>
      </c>
      <c r="D619" s="3"/>
      <c r="E619" s="3" t="s">
        <v>284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284</v>
      </c>
      <c r="D620" s="3"/>
      <c r="E620" s="3" t="s">
        <v>284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284</v>
      </c>
      <c r="D621" s="3"/>
      <c r="E621" s="3" t="s">
        <v>284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284</v>
      </c>
      <c r="D622" s="3"/>
      <c r="E622" s="3" t="s">
        <v>284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131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284</v>
      </c>
      <c r="D623" s="3"/>
      <c r="E623" s="3" t="s">
        <v>284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284</v>
      </c>
      <c r="D624" s="3"/>
      <c r="E624" s="3" t="s">
        <v>284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284</v>
      </c>
      <c r="D625" s="3"/>
      <c r="E625" s="3" t="s">
        <v>284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284</v>
      </c>
      <c r="D626" s="3"/>
      <c r="E626" s="3" t="s">
        <v>284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284</v>
      </c>
      <c r="D627" s="3"/>
      <c r="E627" s="3" t="s">
        <v>284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284</v>
      </c>
      <c r="D628" s="3"/>
      <c r="E628" s="3" t="s">
        <v>284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284</v>
      </c>
      <c r="D629" s="3"/>
      <c r="E629" s="3" t="s">
        <v>284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284</v>
      </c>
      <c r="D630" s="3"/>
      <c r="E630" s="3" t="s">
        <v>284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284</v>
      </c>
      <c r="D631" s="3"/>
      <c r="E631" s="3" t="s">
        <v>284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284</v>
      </c>
      <c r="D632" s="3"/>
      <c r="E632" s="3" t="s">
        <v>284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284</v>
      </c>
      <c r="D633" s="3"/>
      <c r="E633" s="3" t="s">
        <v>284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132</v>
      </c>
      <c r="O633" s="3"/>
      <c r="P633" s="3"/>
      <c r="Q633" s="3">
        <v>1.1890000000000001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284</v>
      </c>
      <c r="D634" s="3"/>
      <c r="E634" s="3" t="s">
        <v>284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289</v>
      </c>
      <c r="D635" s="3"/>
      <c r="E635" s="3" t="s">
        <v>289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289</v>
      </c>
      <c r="D636" s="3"/>
      <c r="E636" s="3" t="s">
        <v>289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289</v>
      </c>
      <c r="D637" s="3"/>
      <c r="E637" s="3" t="s">
        <v>289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289</v>
      </c>
      <c r="D638" s="3"/>
      <c r="E638" s="3" t="s">
        <v>289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289</v>
      </c>
      <c r="D639" s="3"/>
      <c r="E639" s="3" t="s">
        <v>289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289</v>
      </c>
      <c r="D640" s="3"/>
      <c r="E640" s="3" t="s">
        <v>289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289</v>
      </c>
      <c r="D641" s="3"/>
      <c r="E641" s="3" t="s">
        <v>289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289</v>
      </c>
      <c r="D642" s="3"/>
      <c r="E642" s="3" t="s">
        <v>289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289</v>
      </c>
      <c r="D643" s="3"/>
      <c r="E643" s="3" t="s">
        <v>289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131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289</v>
      </c>
      <c r="D644" s="3"/>
      <c r="E644" s="3" t="s">
        <v>289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289</v>
      </c>
      <c r="D645" s="3"/>
      <c r="E645" s="3" t="s">
        <v>289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289</v>
      </c>
      <c r="D646" s="3"/>
      <c r="E646" s="3" t="s">
        <v>289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289</v>
      </c>
      <c r="D647" s="3"/>
      <c r="E647" s="3" t="s">
        <v>289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289</v>
      </c>
      <c r="D648" s="3"/>
      <c r="E648" s="3" t="s">
        <v>289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289</v>
      </c>
      <c r="D649" s="3"/>
      <c r="E649" s="3" t="s">
        <v>289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289</v>
      </c>
      <c r="D650" s="3"/>
      <c r="E650" s="3" t="s">
        <v>289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142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289</v>
      </c>
      <c r="D651" s="3"/>
      <c r="E651" s="3" t="s">
        <v>289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289</v>
      </c>
      <c r="D652" s="3"/>
      <c r="E652" s="3" t="s">
        <v>289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289</v>
      </c>
      <c r="D653" s="3"/>
      <c r="E653" s="3" t="s">
        <v>289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289</v>
      </c>
      <c r="D654" s="3"/>
      <c r="E654" s="3" t="s">
        <v>289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132</v>
      </c>
      <c r="O654" s="3"/>
      <c r="P654" s="3"/>
      <c r="Q654" s="3">
        <v>1.1890000000000001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289</v>
      </c>
      <c r="D655" s="3"/>
      <c r="E655" s="3" t="s">
        <v>289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294</v>
      </c>
      <c r="D656" s="3"/>
      <c r="E656" s="3" t="s">
        <v>294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294</v>
      </c>
      <c r="D657" s="3"/>
      <c r="E657" s="3" t="s">
        <v>294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294</v>
      </c>
      <c r="D658" s="3"/>
      <c r="E658" s="3" t="s">
        <v>294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294</v>
      </c>
      <c r="D659" s="3"/>
      <c r="E659" s="3" t="s">
        <v>294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294</v>
      </c>
      <c r="D660" s="3"/>
      <c r="E660" s="3" t="s">
        <v>294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294</v>
      </c>
      <c r="D661" s="3"/>
      <c r="E661" s="3" t="s">
        <v>294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294</v>
      </c>
      <c r="D662" s="3"/>
      <c r="E662" s="3" t="s">
        <v>294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294</v>
      </c>
      <c r="D663" s="3"/>
      <c r="E663" s="3" t="s">
        <v>294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294</v>
      </c>
      <c r="D664" s="3"/>
      <c r="E664" s="3" t="s">
        <v>294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294</v>
      </c>
      <c r="D665" s="3"/>
      <c r="E665" s="3" t="s">
        <v>294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131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294</v>
      </c>
      <c r="D666" s="3"/>
      <c r="E666" s="3" t="s">
        <v>294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294</v>
      </c>
      <c r="D667" s="3"/>
      <c r="E667" s="3" t="s">
        <v>294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294</v>
      </c>
      <c r="D668" s="3"/>
      <c r="E668" s="3" t="s">
        <v>294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294</v>
      </c>
      <c r="D669" s="3"/>
      <c r="E669" s="3" t="s">
        <v>294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294</v>
      </c>
      <c r="D670" s="3"/>
      <c r="E670" s="3" t="s">
        <v>294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294</v>
      </c>
      <c r="D671" s="3"/>
      <c r="E671" s="3" t="s">
        <v>294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294</v>
      </c>
      <c r="D672" s="3"/>
      <c r="E672" s="3" t="s">
        <v>294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294</v>
      </c>
      <c r="D673" s="3"/>
      <c r="E673" s="3" t="s">
        <v>294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294</v>
      </c>
      <c r="D674" s="3"/>
      <c r="E674" s="3" t="s">
        <v>294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294</v>
      </c>
      <c r="D675" s="3"/>
      <c r="E675" s="3" t="s">
        <v>294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294</v>
      </c>
      <c r="D676" s="3"/>
      <c r="E676" s="3" t="s">
        <v>294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132</v>
      </c>
      <c r="O676" s="3"/>
      <c r="P676" s="3"/>
      <c r="Q676" s="3">
        <v>1.1890000000000001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294</v>
      </c>
      <c r="D677" s="3"/>
      <c r="E677" s="3" t="s">
        <v>294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299</v>
      </c>
      <c r="D678" s="3"/>
      <c r="E678" s="3" t="s">
        <v>299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299</v>
      </c>
      <c r="D679" s="3"/>
      <c r="E679" s="3" t="s">
        <v>299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299</v>
      </c>
      <c r="D680" s="3"/>
      <c r="E680" s="3" t="s">
        <v>299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299</v>
      </c>
      <c r="D681" s="3"/>
      <c r="E681" s="3" t="s">
        <v>299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299</v>
      </c>
      <c r="D682" s="3"/>
      <c r="E682" s="3" t="s">
        <v>299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299</v>
      </c>
      <c r="D683" s="3"/>
      <c r="E683" s="3" t="s">
        <v>299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299</v>
      </c>
      <c r="D684" s="3"/>
      <c r="E684" s="3" t="s">
        <v>299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299</v>
      </c>
      <c r="D685" s="3"/>
      <c r="E685" s="3" t="s">
        <v>299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299</v>
      </c>
      <c r="D686" s="3"/>
      <c r="E686" s="3" t="s">
        <v>299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131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299</v>
      </c>
      <c r="D687" s="3"/>
      <c r="E687" s="3" t="s">
        <v>299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299</v>
      </c>
      <c r="D688" s="3"/>
      <c r="E688" s="3" t="s">
        <v>299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299</v>
      </c>
      <c r="D689" s="3"/>
      <c r="E689" s="3" t="s">
        <v>299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299</v>
      </c>
      <c r="D690" s="3"/>
      <c r="E690" s="3" t="s">
        <v>299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299</v>
      </c>
      <c r="D691" s="3"/>
      <c r="E691" s="3" t="s">
        <v>299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299</v>
      </c>
      <c r="D692" s="3"/>
      <c r="E692" s="3" t="s">
        <v>299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299</v>
      </c>
      <c r="D693" s="3"/>
      <c r="E693" s="3" t="s">
        <v>299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142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299</v>
      </c>
      <c r="D694" s="3"/>
      <c r="E694" s="3" t="s">
        <v>299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299</v>
      </c>
      <c r="D695" s="3"/>
      <c r="E695" s="3" t="s">
        <v>299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299</v>
      </c>
      <c r="D696" s="3"/>
      <c r="E696" s="3" t="s">
        <v>299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299</v>
      </c>
      <c r="D697" s="3"/>
      <c r="E697" s="3" t="s">
        <v>299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132</v>
      </c>
      <c r="O697" s="3"/>
      <c r="P697" s="3"/>
      <c r="Q697" s="3">
        <v>1.2430000000000001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299</v>
      </c>
      <c r="D698" s="3"/>
      <c r="E698" s="3" t="s">
        <v>299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304</v>
      </c>
      <c r="D699" s="3"/>
      <c r="E699" s="3" t="s">
        <v>304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304</v>
      </c>
      <c r="D700" s="3"/>
      <c r="E700" s="3" t="s">
        <v>304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304</v>
      </c>
      <c r="D701" s="3"/>
      <c r="E701" s="3" t="s">
        <v>304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304</v>
      </c>
      <c r="D702" s="3"/>
      <c r="E702" s="3" t="s">
        <v>304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304</v>
      </c>
      <c r="D703" s="3"/>
      <c r="E703" s="3" t="s">
        <v>304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304</v>
      </c>
      <c r="D704" s="3"/>
      <c r="E704" s="3" t="s">
        <v>304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304</v>
      </c>
      <c r="D705" s="3"/>
      <c r="E705" s="3" t="s">
        <v>304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304</v>
      </c>
      <c r="D706" s="3"/>
      <c r="E706" s="3" t="s">
        <v>304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304</v>
      </c>
      <c r="D707" s="3"/>
      <c r="E707" s="3" t="s">
        <v>304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131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304</v>
      </c>
      <c r="D708" s="3"/>
      <c r="E708" s="3" t="s">
        <v>304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304</v>
      </c>
      <c r="D709" s="3"/>
      <c r="E709" s="3" t="s">
        <v>304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304</v>
      </c>
      <c r="D710" s="3"/>
      <c r="E710" s="3" t="s">
        <v>304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304</v>
      </c>
      <c r="D711" s="3"/>
      <c r="E711" s="3" t="s">
        <v>304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304</v>
      </c>
      <c r="D712" s="3"/>
      <c r="E712" s="3" t="s">
        <v>304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304</v>
      </c>
      <c r="D713" s="3"/>
      <c r="E713" s="3" t="s">
        <v>304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304</v>
      </c>
      <c r="D714" s="3"/>
      <c r="E714" s="3" t="s">
        <v>304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142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304</v>
      </c>
      <c r="D715" s="3"/>
      <c r="E715" s="3" t="s">
        <v>304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304</v>
      </c>
      <c r="D716" s="3"/>
      <c r="E716" s="3" t="s">
        <v>304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304</v>
      </c>
      <c r="D717" s="3"/>
      <c r="E717" s="3" t="s">
        <v>304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304</v>
      </c>
      <c r="D718" s="3"/>
      <c r="E718" s="3" t="s">
        <v>304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132</v>
      </c>
      <c r="O718" s="3"/>
      <c r="P718" s="3"/>
      <c r="Q718" s="3">
        <v>1.2430000000000001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304</v>
      </c>
      <c r="D719" s="3"/>
      <c r="E719" s="3" t="s">
        <v>304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309</v>
      </c>
      <c r="D720" s="3"/>
      <c r="E720" s="3" t="s">
        <v>309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309</v>
      </c>
      <c r="D721" s="3"/>
      <c r="E721" s="3" t="s">
        <v>309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309</v>
      </c>
      <c r="D722" s="3"/>
      <c r="E722" s="3" t="s">
        <v>309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309</v>
      </c>
      <c r="D723" s="3"/>
      <c r="E723" s="3" t="s">
        <v>309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309</v>
      </c>
      <c r="D724" s="3"/>
      <c r="E724" s="3" t="s">
        <v>309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309</v>
      </c>
      <c r="D725" s="3"/>
      <c r="E725" s="3" t="s">
        <v>309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309</v>
      </c>
      <c r="D726" s="3"/>
      <c r="E726" s="3" t="s">
        <v>309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309</v>
      </c>
      <c r="D727" s="3"/>
      <c r="E727" s="3" t="s">
        <v>309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309</v>
      </c>
      <c r="D728" s="3"/>
      <c r="E728" s="3" t="s">
        <v>309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131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309</v>
      </c>
      <c r="D729" s="3"/>
      <c r="E729" s="3" t="s">
        <v>309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309</v>
      </c>
      <c r="D730" s="3"/>
      <c r="E730" s="3" t="s">
        <v>309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309</v>
      </c>
      <c r="D731" s="3"/>
      <c r="E731" s="3" t="s">
        <v>309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309</v>
      </c>
      <c r="D732" s="3"/>
      <c r="E732" s="3" t="s">
        <v>309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309</v>
      </c>
      <c r="D733" s="3"/>
      <c r="E733" s="3" t="s">
        <v>309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309</v>
      </c>
      <c r="D734" s="3"/>
      <c r="E734" s="3" t="s">
        <v>309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309</v>
      </c>
      <c r="D735" s="3"/>
      <c r="E735" s="3" t="s">
        <v>309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142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309</v>
      </c>
      <c r="D736" s="3"/>
      <c r="E736" s="3" t="s">
        <v>309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309</v>
      </c>
      <c r="D737" s="3"/>
      <c r="E737" s="3" t="s">
        <v>309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309</v>
      </c>
      <c r="D738" s="3"/>
      <c r="E738" s="3" t="s">
        <v>309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309</v>
      </c>
      <c r="D739" s="3"/>
      <c r="E739" s="3" t="s">
        <v>309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132</v>
      </c>
      <c r="O739" s="3"/>
      <c r="P739" s="3"/>
      <c r="Q739" s="3">
        <v>1.2430000000000001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309</v>
      </c>
      <c r="D740" s="3"/>
      <c r="E740" s="3" t="s">
        <v>309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314</v>
      </c>
      <c r="D741" s="3"/>
      <c r="E741" s="3" t="s">
        <v>314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314</v>
      </c>
      <c r="D742" s="3"/>
      <c r="E742" s="3" t="s">
        <v>314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314</v>
      </c>
      <c r="D743" s="3"/>
      <c r="E743" s="3" t="s">
        <v>314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314</v>
      </c>
      <c r="D744" s="3"/>
      <c r="E744" s="3" t="s">
        <v>314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314</v>
      </c>
      <c r="D745" s="3"/>
      <c r="E745" s="3" t="s">
        <v>314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314</v>
      </c>
      <c r="D746" s="3"/>
      <c r="E746" s="3" t="s">
        <v>314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314</v>
      </c>
      <c r="D747" s="3"/>
      <c r="E747" s="3" t="s">
        <v>314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314</v>
      </c>
      <c r="D748" s="3"/>
      <c r="E748" s="3" t="s">
        <v>314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317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314</v>
      </c>
      <c r="D749" s="3"/>
      <c r="E749" s="3" t="s">
        <v>314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131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314</v>
      </c>
      <c r="D750" s="3"/>
      <c r="E750" s="3" t="s">
        <v>314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314</v>
      </c>
      <c r="D751" s="3"/>
      <c r="E751" s="3" t="s">
        <v>314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314</v>
      </c>
      <c r="D752" s="3"/>
      <c r="E752" s="3" t="s">
        <v>314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314</v>
      </c>
      <c r="D753" s="3"/>
      <c r="E753" s="3" t="s">
        <v>314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314</v>
      </c>
      <c r="D754" s="3"/>
      <c r="E754" s="3" t="s">
        <v>314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314</v>
      </c>
      <c r="D755" s="3"/>
      <c r="E755" s="3" t="s">
        <v>314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314</v>
      </c>
      <c r="D756" s="3"/>
      <c r="E756" s="3" t="s">
        <v>314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314</v>
      </c>
      <c r="D757" s="3"/>
      <c r="E757" s="3" t="s">
        <v>314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314</v>
      </c>
      <c r="D758" s="3"/>
      <c r="E758" s="3" t="s">
        <v>314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314</v>
      </c>
      <c r="D759" s="3"/>
      <c r="E759" s="3" t="s">
        <v>314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314</v>
      </c>
      <c r="D760" s="3"/>
      <c r="E760" s="3" t="s">
        <v>314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132</v>
      </c>
      <c r="O760" s="3"/>
      <c r="P760" s="3"/>
      <c r="Q760" s="3">
        <v>1.2430000000000001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314</v>
      </c>
      <c r="D761" s="3"/>
      <c r="E761" s="3" t="s">
        <v>314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319</v>
      </c>
      <c r="D762" s="3"/>
      <c r="E762" s="3" t="s">
        <v>319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320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319</v>
      </c>
      <c r="D763" s="3"/>
      <c r="E763" s="3" t="s">
        <v>319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319</v>
      </c>
      <c r="D764" s="3"/>
      <c r="E764" s="3" t="s">
        <v>319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319</v>
      </c>
      <c r="D765" s="3"/>
      <c r="E765" s="3" t="s">
        <v>319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319</v>
      </c>
      <c r="D766" s="3"/>
      <c r="E766" s="3" t="s">
        <v>319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319</v>
      </c>
      <c r="D767" s="3"/>
      <c r="E767" s="3" t="s">
        <v>319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319</v>
      </c>
      <c r="D768" s="3"/>
      <c r="E768" s="3" t="s">
        <v>319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319</v>
      </c>
      <c r="D769" s="3"/>
      <c r="E769" s="3" t="s">
        <v>319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319</v>
      </c>
      <c r="D770" s="3"/>
      <c r="E770" s="3" t="s">
        <v>319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131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319</v>
      </c>
      <c r="D771" s="3"/>
      <c r="E771" s="3" t="s">
        <v>319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319</v>
      </c>
      <c r="D772" s="3"/>
      <c r="E772" s="3" t="s">
        <v>319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319</v>
      </c>
      <c r="D773" s="3"/>
      <c r="E773" s="3" t="s">
        <v>319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319</v>
      </c>
      <c r="D774" s="3"/>
      <c r="E774" s="3" t="s">
        <v>319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319</v>
      </c>
      <c r="D775" s="3"/>
      <c r="E775" s="3" t="s">
        <v>319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319</v>
      </c>
      <c r="D776" s="3"/>
      <c r="E776" s="3" t="s">
        <v>319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319</v>
      </c>
      <c r="D777" s="3"/>
      <c r="E777" s="3" t="s">
        <v>319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142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319</v>
      </c>
      <c r="D778" s="3"/>
      <c r="E778" s="3" t="s">
        <v>319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319</v>
      </c>
      <c r="D779" s="3"/>
      <c r="E779" s="3" t="s">
        <v>319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319</v>
      </c>
      <c r="D780" s="3"/>
      <c r="E780" s="3" t="s">
        <v>319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319</v>
      </c>
      <c r="D781" s="3"/>
      <c r="E781" s="3" t="s">
        <v>319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132</v>
      </c>
      <c r="O781" s="3"/>
      <c r="P781" s="3"/>
      <c r="Q781" s="3">
        <v>1.2430000000000001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319</v>
      </c>
      <c r="D782" s="3"/>
      <c r="E782" s="3" t="s">
        <v>319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324</v>
      </c>
      <c r="D783" s="3"/>
      <c r="E783" s="3" t="s">
        <v>324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324</v>
      </c>
      <c r="D784" s="3"/>
      <c r="E784" s="3" t="s">
        <v>324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324</v>
      </c>
      <c r="D785" s="3"/>
      <c r="E785" s="3" t="s">
        <v>324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324</v>
      </c>
      <c r="D786" s="3"/>
      <c r="E786" s="3" t="s">
        <v>324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324</v>
      </c>
      <c r="D787" s="3"/>
      <c r="E787" s="3" t="s">
        <v>324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324</v>
      </c>
      <c r="D788" s="3"/>
      <c r="E788" s="3" t="s">
        <v>324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324</v>
      </c>
      <c r="D789" s="3"/>
      <c r="E789" s="3" t="s">
        <v>324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324</v>
      </c>
      <c r="D790" s="3"/>
      <c r="E790" s="3" t="s">
        <v>324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327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324</v>
      </c>
      <c r="D791" s="3"/>
      <c r="E791" s="3" t="s">
        <v>324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131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324</v>
      </c>
      <c r="D792" s="3"/>
      <c r="E792" s="3" t="s">
        <v>324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324</v>
      </c>
      <c r="D793" s="3"/>
      <c r="E793" s="3" t="s">
        <v>324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324</v>
      </c>
      <c r="D794" s="3"/>
      <c r="E794" s="3" t="s">
        <v>324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324</v>
      </c>
      <c r="D795" s="3"/>
      <c r="E795" s="3" t="s">
        <v>324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324</v>
      </c>
      <c r="D796" s="3"/>
      <c r="E796" s="3" t="s">
        <v>324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324</v>
      </c>
      <c r="D797" s="3"/>
      <c r="E797" s="3" t="s">
        <v>324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324</v>
      </c>
      <c r="D798" s="3"/>
      <c r="E798" s="3" t="s">
        <v>324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142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324</v>
      </c>
      <c r="D799" s="3"/>
      <c r="E799" s="3" t="s">
        <v>324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324</v>
      </c>
      <c r="D800" s="3"/>
      <c r="E800" s="3" t="s">
        <v>324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324</v>
      </c>
      <c r="D801" s="3"/>
      <c r="E801" s="3" t="s">
        <v>324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324</v>
      </c>
      <c r="D802" s="3"/>
      <c r="E802" s="3" t="s">
        <v>324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132</v>
      </c>
      <c r="O802" s="3"/>
      <c r="P802" s="3"/>
      <c r="Q802" s="3">
        <v>1.2430000000000001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324</v>
      </c>
      <c r="D803" s="3"/>
      <c r="E803" s="3" t="s">
        <v>324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329</v>
      </c>
      <c r="D804" s="3"/>
      <c r="E804" s="3" t="s">
        <v>329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329</v>
      </c>
      <c r="D805" s="3"/>
      <c r="E805" s="3" t="s">
        <v>329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329</v>
      </c>
      <c r="D806" s="3"/>
      <c r="E806" s="3" t="s">
        <v>329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329</v>
      </c>
      <c r="D807" s="3"/>
      <c r="E807" s="3" t="s">
        <v>329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329</v>
      </c>
      <c r="D808" s="3"/>
      <c r="E808" s="3" t="s">
        <v>329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329</v>
      </c>
      <c r="D809" s="3"/>
      <c r="E809" s="3" t="s">
        <v>329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329</v>
      </c>
      <c r="D810" s="3"/>
      <c r="E810" s="3" t="s">
        <v>329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329</v>
      </c>
      <c r="D811" s="3"/>
      <c r="E811" s="3" t="s">
        <v>329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329</v>
      </c>
      <c r="D812" s="3"/>
      <c r="E812" s="3" t="s">
        <v>329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131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329</v>
      </c>
      <c r="D813" s="3"/>
      <c r="E813" s="3" t="s">
        <v>329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329</v>
      </c>
      <c r="D814" s="3"/>
      <c r="E814" s="3" t="s">
        <v>329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329</v>
      </c>
      <c r="D815" s="3"/>
      <c r="E815" s="3" t="s">
        <v>329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329</v>
      </c>
      <c r="D816" s="3"/>
      <c r="E816" s="3" t="s">
        <v>329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329</v>
      </c>
      <c r="D817" s="3"/>
      <c r="E817" s="3" t="s">
        <v>329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329</v>
      </c>
      <c r="D818" s="3"/>
      <c r="E818" s="3" t="s">
        <v>329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329</v>
      </c>
      <c r="D819" s="3"/>
      <c r="E819" s="3" t="s">
        <v>329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142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329</v>
      </c>
      <c r="D820" s="3"/>
      <c r="E820" s="3" t="s">
        <v>329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329</v>
      </c>
      <c r="D821" s="3"/>
      <c r="E821" s="3" t="s">
        <v>329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329</v>
      </c>
      <c r="D822" s="3"/>
      <c r="E822" s="3" t="s">
        <v>329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329</v>
      </c>
      <c r="D823" s="3"/>
      <c r="E823" s="3" t="s">
        <v>329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132</v>
      </c>
      <c r="O823" s="3"/>
      <c r="P823" s="3"/>
      <c r="Q823" s="3">
        <v>1.2430000000000001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329</v>
      </c>
      <c r="D824" s="3"/>
      <c r="E824" s="3" t="s">
        <v>329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334</v>
      </c>
      <c r="D825" s="3"/>
      <c r="E825" s="3" t="s">
        <v>334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334</v>
      </c>
      <c r="D826" s="3"/>
      <c r="E826" s="3" t="s">
        <v>334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334</v>
      </c>
      <c r="D827" s="3"/>
      <c r="E827" s="3" t="s">
        <v>334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334</v>
      </c>
      <c r="D828" s="3"/>
      <c r="E828" s="3" t="s">
        <v>334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334</v>
      </c>
      <c r="D829" s="3"/>
      <c r="E829" s="3" t="s">
        <v>334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334</v>
      </c>
      <c r="D830" s="3"/>
      <c r="E830" s="3" t="s">
        <v>334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334</v>
      </c>
      <c r="D831" s="3"/>
      <c r="E831" s="3" t="s">
        <v>334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334</v>
      </c>
      <c r="D832" s="3"/>
      <c r="E832" s="3" t="s">
        <v>334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334</v>
      </c>
      <c r="D833" s="3"/>
      <c r="E833" s="3" t="s">
        <v>334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334</v>
      </c>
      <c r="D834" s="3"/>
      <c r="E834" s="3" t="s">
        <v>334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131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334</v>
      </c>
      <c r="D835" s="3"/>
      <c r="E835" s="3" t="s">
        <v>334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334</v>
      </c>
      <c r="D836" s="3"/>
      <c r="E836" s="3" t="s">
        <v>334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334</v>
      </c>
      <c r="D837" s="3"/>
      <c r="E837" s="3" t="s">
        <v>334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334</v>
      </c>
      <c r="D838" s="3"/>
      <c r="E838" s="3" t="s">
        <v>334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334</v>
      </c>
      <c r="D839" s="3"/>
      <c r="E839" s="3" t="s">
        <v>334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334</v>
      </c>
      <c r="D840" s="3"/>
      <c r="E840" s="3" t="s">
        <v>334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334</v>
      </c>
      <c r="D841" s="3"/>
      <c r="E841" s="3" t="s">
        <v>334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142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334</v>
      </c>
      <c r="D842" s="3"/>
      <c r="E842" s="3" t="s">
        <v>334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334</v>
      </c>
      <c r="D843" s="3"/>
      <c r="E843" s="3" t="s">
        <v>334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334</v>
      </c>
      <c r="D844" s="3"/>
      <c r="E844" s="3" t="s">
        <v>334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334</v>
      </c>
      <c r="D845" s="3"/>
      <c r="E845" s="3" t="s">
        <v>334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132</v>
      </c>
      <c r="O845" s="3"/>
      <c r="P845" s="3"/>
      <c r="Q845" s="3">
        <v>1.2430000000000001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334</v>
      </c>
      <c r="D846" s="3"/>
      <c r="E846" s="3" t="s">
        <v>334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2026-03-05T05:52:11Z</dcterms:modified>
</cp:coreProperties>
</file>