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ET\FG - workings\"/>
    </mc:Choice>
  </mc:AlternateContent>
  <bookViews>
    <workbookView xWindow="0" yWindow="0" windowWidth="24000" windowHeight="82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 l="1"/>
  <c r="G7" i="13" l="1"/>
  <c r="G6" i="13"/>
  <c r="G15" i="13" l="1"/>
  <c r="H16" i="13" l="1"/>
  <c r="D16" i="13"/>
  <c r="H15" i="13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G8" i="13"/>
  <c r="H8" i="13" s="1"/>
  <c r="D8" i="13"/>
  <c r="H7" i="13"/>
  <c r="D7" i="13"/>
  <c r="H6" i="13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<sst xmlns="http://schemas.openxmlformats.org/spreadsheetml/2006/main" count="12740" uniqueCount="499">
  <si>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</si>
  <si>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</si>
  <si>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</si>
  <si>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</si>
  <si>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</si>
  <si>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</si>
  <si>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</si>
  <si>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</si>
  <si>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</si>
  <si>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</si>
  <si>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</si>
  <si>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</si>
  <si>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</si>
  <si>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</si>
  <si>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</si>
  <si>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</si>
  <si>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</si>
  <si>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</si>
  <si>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</si>
  <si>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</si>
  <si>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</si>
  <si>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</si>
  <si>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</si>
  <si>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</si>
  <si>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</si>
  <si>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</si>
  <si>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</si>
  <si>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</si>
  <si>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</si>
  <si>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</si>
  <si>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</si>
  <si>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</si>
  <si>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</si>
  <si>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</si>
  <si>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</si>
  <si>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</si>
  <si>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</si>
  <si>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</si>
  <si>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</si>
  <si>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</si>
  <si>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</si>
  <si>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</si>
  <si>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</si>
  <si>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</si>
  <si>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</si>
  <si>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</si>
  <si>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</si>
  <si>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</si>
  <si>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</si>
  <si>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</si>
  <si>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</si>
  <si>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</si>
  <si>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</si>
  <si>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</si>
  <si>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</si>
  <si>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</si>
  <si>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</si>
  <si>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</si>
  <si>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</si>
  <si>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</si>
  <si>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</si>
  <si>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</si>
  <si>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</si>
  <si>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</si>
  <si>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</si>
  <si>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</si>
  <si>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</si>
  <si>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</si>
  <si>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</si>
  <si>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</si>
  <si>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</si>
  <si>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</si>
  <si>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</si>
  <si>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</si>
  <si>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</si>
  <si>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</si>
  <si>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</si>
  <si>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</si>
  <si>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</si>
  <si>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</si>
  <si>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</si>
  <si>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</si>
  <si>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</si>
  <si>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</si>
  <si>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</si>
  <si>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</si>
  <si>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</si>
  <si>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</si>
  <si>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</si>
  <si>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</si>
  <si>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</si>
  <si>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</si>
  <si>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</si>
  <si>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</si>
  <si>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</si>
  <si>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</si>
  <si>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</si>
  <si>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</si>
  <si>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</si>
  <si>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</si>
  <si>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</si>
  <si>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</si>
  <si>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</si>
  <si>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</si>
  <si>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</si>
  <si>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</si>
  <si>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</si>
  <si>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</si>
  <si>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</si>
  <si>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</si>
  <si>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</si>
  <si>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</si>
  <si>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</si>
  <si>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</si>
  <si>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</si>
  <si>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Border</t>
  </si>
  <si>
    <t>ET Cover</t>
  </si>
  <si>
    <t>Back panel</t>
  </si>
  <si>
    <t>SFG-RTHTMTRG-BONPOC-BP</t>
  </si>
  <si>
    <t>Sheet Foam 1 ET</t>
  </si>
  <si>
    <t>RMI-PVC-50</t>
  </si>
  <si>
    <t>RTHTMTBNET72X33X06</t>
  </si>
  <si>
    <t>SFG-FRBNET-BOR-72X33X06</t>
  </si>
  <si>
    <t>SFG-FRBNPK-ET-CVR-72X33X06</t>
  </si>
  <si>
    <t>RML-CS-PL-6.5"</t>
  </si>
  <si>
    <t>RTHTMTBNET72X39X06</t>
  </si>
  <si>
    <t>SFG-FRBNET-BOR-72X39X06</t>
  </si>
  <si>
    <t>SFG-FRBNPK-ET-CVR-72X39X06</t>
  </si>
  <si>
    <t>RTHTMTBNET72X45X06</t>
  </si>
  <si>
    <t>SFG-FRBNET-BOR-72X45X06</t>
  </si>
  <si>
    <t>SFG-FRBNPK-ET-CVR-72X45X06</t>
  </si>
  <si>
    <t>RTHTMTBNET72X51X06</t>
  </si>
  <si>
    <t>SFG-FRBNET-BOR-72X51X06</t>
  </si>
  <si>
    <t>SFG-FRBNPK-ET-CVR-72X51X06</t>
  </si>
  <si>
    <t>RTHTMTBNET72X54X06</t>
  </si>
  <si>
    <t>SFG-FRBNET-BOR-72X54X06</t>
  </si>
  <si>
    <t>SFG-FRBNPK-ET-CVR-72X54X06</t>
  </si>
  <si>
    <t>RTHTMTBNET72X57X06</t>
  </si>
  <si>
    <t>SFG-FRBNET-BOR-72X57X06</t>
  </si>
  <si>
    <t>SFG-FRBNPK-ET-CVR-72X57X06</t>
  </si>
  <si>
    <t>RTHTMTBNET72X63X06</t>
  </si>
  <si>
    <t>SFG-FRBNET-BOR-72X63X06</t>
  </si>
  <si>
    <t>SFG-FRBNPK-ET-CVR-72X63X06</t>
  </si>
  <si>
    <t>RTHTMTBNET72X69X06</t>
  </si>
  <si>
    <t>SFG-FRBNET-BOR-72X69X06</t>
  </si>
  <si>
    <t>SFG-FRBNPK-ET-CVR-72X69X06</t>
  </si>
  <si>
    <t>RTHTMTBNET75X33X06</t>
  </si>
  <si>
    <t>SFG-FRBNET-BOR-75X33X06</t>
  </si>
  <si>
    <t>SFG-FRBNPK-ET-CVR-75X33X06</t>
  </si>
  <si>
    <t>RTHTMTBNET75X39X06</t>
  </si>
  <si>
    <t>SFG-FRBNET-BOR-75X39X06</t>
  </si>
  <si>
    <t>SFG-FRBNPK-ET-CVR-75X39X06</t>
  </si>
  <si>
    <t>RTHTMTBNET75X45X06</t>
  </si>
  <si>
    <t>SFG-FRBNET-BOR-75X45X06</t>
  </si>
  <si>
    <t>SFG-FRBNPK-ET-CVR-75X45X06</t>
  </si>
  <si>
    <t>RTHTMTBNET75X51X06</t>
  </si>
  <si>
    <t>SFG-FRBNET-BOR-75X51X06</t>
  </si>
  <si>
    <t>SFG-FRBNPK-ET-CVR-75X51X06</t>
  </si>
  <si>
    <t>RTHTMTBNET75X54X06</t>
  </si>
  <si>
    <t>SFG-FRBNET-BOR-75X54X06</t>
  </si>
  <si>
    <t>SFG-FRBNPK-ET-CVR-75X54X06</t>
  </si>
  <si>
    <t>RTHTMTBNET75X57X06</t>
  </si>
  <si>
    <t>SFG-FRBNET-BOR-75X57X06</t>
  </si>
  <si>
    <t>SFG-FRBNPK-ET-CVR-75X57X06</t>
  </si>
  <si>
    <t>RTHTMTBNET75X63X06</t>
  </si>
  <si>
    <t>SFG-FRBNET-BOR-75X63X06</t>
  </si>
  <si>
    <t>SFG-FRBNPK-ET-CVR-75X63X06</t>
  </si>
  <si>
    <t>RTHTMTBNET75X69X06</t>
  </si>
  <si>
    <t>SFG-FRBNET-BOR-75X69X06</t>
  </si>
  <si>
    <t>SFG-FRBNPK-ET-CVR-75X69X06</t>
  </si>
  <si>
    <t>RTHTMTBNET78X33X06</t>
  </si>
  <si>
    <t>SFG-FRBNET-BOR-78X33X06</t>
  </si>
  <si>
    <t>SFG-FRBNPK-ET-CVR-78X33X06</t>
  </si>
  <si>
    <t>RTHTMTBNET78X39X06</t>
  </si>
  <si>
    <t>SFG-FRBNET-BOR-78X39X06</t>
  </si>
  <si>
    <t>SFG-FRBNPK-ET-CVR-78X39X06</t>
  </si>
  <si>
    <t>RTHTMTBNET78X45X06</t>
  </si>
  <si>
    <t>SFG-FRBNET-BOR-78X45X06</t>
  </si>
  <si>
    <t>SFG-FRBNPK-ET-CVR-78X45X06</t>
  </si>
  <si>
    <t>RTHTMTBNET78X51X06</t>
  </si>
  <si>
    <t>SFG-FRBNET-BOR-78X51X06</t>
  </si>
  <si>
    <t>SFG-FRBNPK-ET-CVR-78X51X06</t>
  </si>
  <si>
    <t>RTHTMTBNET78X54X06</t>
  </si>
  <si>
    <t>SFG-FRBNET-BOR-78X54X06</t>
  </si>
  <si>
    <t>SFG-FRBNPK-ET-CVR-78X54X06</t>
  </si>
  <si>
    <t>RTHTMTBNET78X57X06</t>
  </si>
  <si>
    <t>SFG-FRBNET-BOR-78X57X06</t>
  </si>
  <si>
    <t>SFG-FRBNPK-ET-CVR-78X57X06</t>
  </si>
  <si>
    <t>RTHTMTBNET78X63X06</t>
  </si>
  <si>
    <t>SFG-FRBNET-BOR-78X63X06</t>
  </si>
  <si>
    <t>SFG-FRBNPK-ET-CVR-78X63X06</t>
  </si>
  <si>
    <t>RTHTMTBNET78X69X06</t>
  </si>
  <si>
    <t>SFG-FRBNET-BOR-78X69X06</t>
  </si>
  <si>
    <t>SFG-FRBNPK-ET-CVR-78X69X06</t>
  </si>
  <si>
    <t>RTHTMTBNET80X33X06</t>
  </si>
  <si>
    <t>SFG-FRBNET-BOR-80X33X06</t>
  </si>
  <si>
    <t>SFG-FRBNPK-ET-CVR-80X33X06</t>
  </si>
  <si>
    <t>RTHTMTBNET80X39X06</t>
  </si>
  <si>
    <t>SFG-FRBNET-BOR-80X39X06</t>
  </si>
  <si>
    <t>SFG-FRBNPK-ET-CVR-80X39X06</t>
  </si>
  <si>
    <t>RTHTMTBNET80X45X06</t>
  </si>
  <si>
    <t>SFG-FRBNET-BOR-80X45X06</t>
  </si>
  <si>
    <t>SFG-FRBNPK-ET-CVR-80X45X06</t>
  </si>
  <si>
    <t>RTHTMTBNET80X51X06</t>
  </si>
  <si>
    <t>SFG-FRBNET-BOR-80X51X06</t>
  </si>
  <si>
    <t>SFG-FRBNPK-ET-CVR-80X51X06</t>
  </si>
  <si>
    <t>RTHTMTBNET80X54X06</t>
  </si>
  <si>
    <t>SFG-FRBNET-BOR-80X54X06</t>
  </si>
  <si>
    <t>SFG-FRBNPK-ET-CVR-80X54X06</t>
  </si>
  <si>
    <t>RTHTMTBNET80X57X06</t>
  </si>
  <si>
    <t>SFG-FRBNET-BOR-80X57X06</t>
  </si>
  <si>
    <t>SFG-FRBNPK-ET-CVR-80X57X06</t>
  </si>
  <si>
    <t>RTHTMTBNET80X63X06</t>
  </si>
  <si>
    <t>SFG-FRBNET-BOR-80X63X06</t>
  </si>
  <si>
    <t>SFG-FRBNPK-ET-CVR-80X63X06</t>
  </si>
  <si>
    <t>RTHTMTBNET80X69X06</t>
  </si>
  <si>
    <t>SFG-FRBNET-BOR-80X69X06</t>
  </si>
  <si>
    <t>SFG-FRBNPK-ET-CVR-80X69X06</t>
  </si>
  <si>
    <t>RTHTMTBNET84X33X06</t>
  </si>
  <si>
    <t>SFG-FRBNET-BOR-84X33X06</t>
  </si>
  <si>
    <t>SFG-FRBNPK-ET-CVR-84X33X06</t>
  </si>
  <si>
    <t>RTHTMTBNET84X39X06</t>
  </si>
  <si>
    <t>SFG-FRBNET-BOR-84X39X06</t>
  </si>
  <si>
    <t>SFG-FRBNPK-ET-CVR-84X39X06</t>
  </si>
  <si>
    <t>RTHTMTBNET84X45X06</t>
  </si>
  <si>
    <t>SFG-FRBNET-BOR-84X45X06</t>
  </si>
  <si>
    <t>SFG-FRBNPK-ET-CVR-84X45X06</t>
  </si>
  <si>
    <t>RTHTMTBNET84X51X06</t>
  </si>
  <si>
    <t>SFG-FRBNET-BOR-84X51X06</t>
  </si>
  <si>
    <t>SFG-FRBNPK-ET-CVR-84X51X06</t>
  </si>
  <si>
    <t>RTHTMTBNET84X54X06</t>
  </si>
  <si>
    <t>SFG-FRBNET-BOR-84X54X06</t>
  </si>
  <si>
    <t>SFG-FRBNPK-ET-CVR-84X54X06</t>
  </si>
  <si>
    <t>RTHTMTBNET84X57X06</t>
  </si>
  <si>
    <t>SFG-FRBNET-BOR-84X57X06</t>
  </si>
  <si>
    <t>SFG-FRBNPK-ET-CVR-84X57X06</t>
  </si>
  <si>
    <t>RTHTMTBNET84X63X06</t>
  </si>
  <si>
    <t>SFG-FRBNET-BOR-84X63X06</t>
  </si>
  <si>
    <t>SFG-FRBNPK-ET-CVR-84X63X06</t>
  </si>
  <si>
    <t>RTHTMTBNET84X69X06</t>
  </si>
  <si>
    <t>SFG-FRBNET-BOR-84X69X06</t>
  </si>
  <si>
    <t>SFG-FRBNPK-ET-CVR-84X69X06</t>
  </si>
  <si>
    <t>SFG-RTHTMTRG-BONPOC-QUILT</t>
  </si>
  <si>
    <t>Quilt  Flanging</t>
  </si>
  <si>
    <t>OEBOXBNSR71.50X32.50X130</t>
  </si>
  <si>
    <t>60D-RB-MAT-FOAM-71.50X32.50X15MM</t>
  </si>
  <si>
    <t>OEBOXBNSR71.50X38.50X130</t>
  </si>
  <si>
    <t>60D-RB-MAT-FOAM-71.50X38.50X15MM</t>
  </si>
  <si>
    <t>OEBOXBNSR71.50X44.50X130</t>
  </si>
  <si>
    <t>60D-RB-MAT-FOAM-71.50X44.50X15MM</t>
  </si>
  <si>
    <t>OEBOXBNSR71.50X50.50X130</t>
  </si>
  <si>
    <t>60D-RB-MAT-FOAM-71.50X50.50X15MM</t>
  </si>
  <si>
    <t>OEBOXBNSR71.50X53.50X130</t>
  </si>
  <si>
    <t>60D-RB-MAT-FOAM-71.50X53.50X15MM</t>
  </si>
  <si>
    <t>OEBOXBNSR71.50X56.50X130</t>
  </si>
  <si>
    <t>60D-RB-MAT-FOAM-71.50X56.50X15MM</t>
  </si>
  <si>
    <t>OEBOXBNSR71.50X62.50X130</t>
  </si>
  <si>
    <t>60D-RB-MAT-FOAM-71.50X62.50X15MM</t>
  </si>
  <si>
    <t>OEBOXBNSR71.50X68.50X130</t>
  </si>
  <si>
    <t>60D-RB-MAT-FOAM-71.50X68.50X15MM</t>
  </si>
  <si>
    <t>OEBOXBNSR74.50X32.50X130</t>
  </si>
  <si>
    <t>60D-RB-MAT-FOAM-74.50X32.50X15MM</t>
  </si>
  <si>
    <t>OEBOXBNSR74.50X38.50X130</t>
  </si>
  <si>
    <t>60D-RB-MAT-FOAM-74.50X38.50X15MM</t>
  </si>
  <si>
    <t>OEBOXBNSR74.50X44.50X130</t>
  </si>
  <si>
    <t>60D-RB-MAT-FOAM-74.50X44.50X15MM</t>
  </si>
  <si>
    <t>OEBOXBNSR74.50X50.50X130</t>
  </si>
  <si>
    <t>60D-RB-MAT-FOAM-74.50X50.50X15MM</t>
  </si>
  <si>
    <t>OEBOXBNSR74.50X53.50X130</t>
  </si>
  <si>
    <t>60D-RB-MAT-FOAM-74.50X53.50X15MM</t>
  </si>
  <si>
    <t>OEBOXBNSR74.50X56.50X130</t>
  </si>
  <si>
    <t>60D-RB-MAT-FOAM-74.50X56.50X15MM</t>
  </si>
  <si>
    <t>OEBOXBNSR74.50X62.50X130</t>
  </si>
  <si>
    <t>60D-RB-MAT-FOAM-74.50X62.50X15MM</t>
  </si>
  <si>
    <t>OEBOXBNSR74.50X68.50X130</t>
  </si>
  <si>
    <t>60D-RB-MAT-FOAM-74.50X68.50X15MM</t>
  </si>
  <si>
    <t>OEBOXBNSR77.50X32.50X130</t>
  </si>
  <si>
    <t>60D-RB-MAT-FOAM-77.50X32.50X15MM</t>
  </si>
  <si>
    <t>OEBOXBNSR77.50X38.50X130</t>
  </si>
  <si>
    <t>60D-RB-MAT-FOAM-77.50X38.50X15MM</t>
  </si>
  <si>
    <t>OEBOXBNSR77.50X44.50X130</t>
  </si>
  <si>
    <t>60D-RB-MAT-FOAM-77.50X44.50X15MM</t>
  </si>
  <si>
    <t>OEBOXBNSR77.50X50.50X130</t>
  </si>
  <si>
    <t>60D-RB-MAT-FOAM-77.50X50.50X15MM</t>
  </si>
  <si>
    <t>OEBOXBNSR77.50X53.50X130</t>
  </si>
  <si>
    <t>60D-RB-MAT-FOAM-77.50X53.50X15MM</t>
  </si>
  <si>
    <t>OEBOXBNSR77.50X56.50X130</t>
  </si>
  <si>
    <t>60D-RB-MAT-FOAM-77.50X56.50X15MM</t>
  </si>
  <si>
    <t>OEBOXBNSR77.50X62.50X130</t>
  </si>
  <si>
    <t>60D-RB-MAT-FOAM-77.50X62.50X15MM</t>
  </si>
  <si>
    <t>OEBOXBNSR77.50X68.50X130</t>
  </si>
  <si>
    <t>60D-RB-MAT-FOAM-77.50X68.50X15MM</t>
  </si>
  <si>
    <t>OEBOXBNSR79.50X32.50X130</t>
  </si>
  <si>
    <t>60D-RB-MAT-FOAM-79.50X32.50X15MM</t>
  </si>
  <si>
    <t>OEBOXBNSR79.50X38.50X130</t>
  </si>
  <si>
    <t>60D-RB-MAT-FOAM-79.50X38.50X15MM</t>
  </si>
  <si>
    <t>OEBOXBNSR79.50X44.50X130</t>
  </si>
  <si>
    <t>60D-RB-MAT-FOAM-79.50X44.50X15MM</t>
  </si>
  <si>
    <t>OEBOXBNSR79.50X50.50X130</t>
  </si>
  <si>
    <t>60D-RB-MAT-FOAM-79.50X50.50X15MM</t>
  </si>
  <si>
    <t>OEBOXBNSR79.50X53.50X130</t>
  </si>
  <si>
    <t>60D-RB-MAT-FOAM-79.50X53.50X15MM</t>
  </si>
  <si>
    <t>OEBOXBNSR79.50X56.50X130</t>
  </si>
  <si>
    <t>60D-RB-MAT-FOAM-79.50X56.50X15MM</t>
  </si>
  <si>
    <t>OEBOXBNSR79.50X62.50X130</t>
  </si>
  <si>
    <t>60D-RB-MAT-FOAM-79.50X62.50X15MM</t>
  </si>
  <si>
    <t>OEBOXBNSR79.50X68.50X130</t>
  </si>
  <si>
    <t>60D-RB-MAT-FOAM-79.50X68.50X15MM</t>
  </si>
  <si>
    <t>OEBOXBNSR83.50X32.50X130</t>
  </si>
  <si>
    <t>60D-RB-MAT-FOAM-83.50X32.50X15MM</t>
  </si>
  <si>
    <t>OEBOXBNSR83.50X38.50X130</t>
  </si>
  <si>
    <t>60D-RB-MAT-FOAM-83.50X38.50X15MM</t>
  </si>
  <si>
    <t>OEBOXBNSR83.50X44.50X130</t>
  </si>
  <si>
    <t>60D-RB-MAT-FOAM-83.50X44.50X15MM</t>
  </si>
  <si>
    <t>OEBOXBNSR83.50X50.50X130</t>
  </si>
  <si>
    <t>60D-RB-MAT-FOAM-83.50X50.50X15MM</t>
  </si>
  <si>
    <t>OEBOXBNSR83.50X53.50X130</t>
  </si>
  <si>
    <t>60D-RB-MAT-FOAM-83.50X53.50X15MM</t>
  </si>
  <si>
    <t>OEBOXBNSR83.50X56.50X130</t>
  </si>
  <si>
    <t>60D-RB-MAT-FOAM-83.50X56.50X15MM</t>
  </si>
  <si>
    <t>OEBOXBNSR83.50X62.50X130</t>
  </si>
  <si>
    <t>60D-RB-MAT-FOAM-83.50X62.50X15MM</t>
  </si>
  <si>
    <t>OEBOXBNSR83.50X68.50X130</t>
  </si>
  <si>
    <t>60D-RB-MAT-FOAM-83.50X68.50X15MM</t>
  </si>
  <si>
    <t>RTHTMTBNET72X30X06</t>
  </si>
  <si>
    <t>OEBOXBNSR71.50X29.50X130</t>
  </si>
  <si>
    <t>SFG-FRBNET-BOR-72X30X06</t>
  </si>
  <si>
    <t>SFG-FRBNPK-ET-CVR-72X30X06</t>
  </si>
  <si>
    <t>60D-RB-MAT-FOAM-71.50X29.50X15MM</t>
  </si>
  <si>
    <t>RTHTMTBNET72X36X06</t>
  </si>
  <si>
    <t>OEBOXBNSR71.50X35.50X130</t>
  </si>
  <si>
    <t>SFG-FRBNET-BOR-72X36X06</t>
  </si>
  <si>
    <t>SFG-FRBNPK-ET-CVR-72X36X06</t>
  </si>
  <si>
    <t>60D-RB-MAT-FOAM-71.50X35.50X15MM</t>
  </si>
  <si>
    <t>RTHTMTBNET72X42X06</t>
  </si>
  <si>
    <t>OEBOXBNSR71.50X41.50X130</t>
  </si>
  <si>
    <t>SFG-FRBNET-BOR-72X42X06</t>
  </si>
  <si>
    <t>SFG-FRBNPK-ET-CVR-72X42X06</t>
  </si>
  <si>
    <t>60D-RB-MAT-FOAM-71.50X41.50X15MM</t>
  </si>
  <si>
    <t>RTHTMTBNET72X48X06</t>
  </si>
  <si>
    <t>OEBOXBNSR71.50X47.50X130</t>
  </si>
  <si>
    <t>SFG-FRBNET-BOR-72X48X06</t>
  </si>
  <si>
    <t>SFG-FRBNPK-ET-CVR-72X48X06</t>
  </si>
  <si>
    <t>60D-RB-MAT-FOAM-71.50X47.50X15MM</t>
  </si>
  <si>
    <t>RTHTMTBNET72X60X06</t>
  </si>
  <si>
    <t>OEBOXBNSR71.50X59.50X130</t>
  </si>
  <si>
    <t>SFG-FRBNET-BOR-72X60X06</t>
  </si>
  <si>
    <t>SFG-FRBNPK-ET-CVR-72X60X06</t>
  </si>
  <si>
    <t>60D-RB-MAT-FOAM-71.50X59.50X15MM</t>
  </si>
  <si>
    <t>RTHTMTBNET72X66X06</t>
  </si>
  <si>
    <t>OEBOXBNSR71.50X65.50X130</t>
  </si>
  <si>
    <t>SFG-FRBNET-BOR-72X66X06</t>
  </si>
  <si>
    <t>SFG-FRBNPK-ET-CVR-72X66X06</t>
  </si>
  <si>
    <t>60D-RB-MAT-FOAM-71.50X65.50X15MM</t>
  </si>
  <si>
    <t>RTHTMTBNET72X72X06</t>
  </si>
  <si>
    <t>OEBOXBNSR71.50X71.50X130</t>
  </si>
  <si>
    <t>SFG-FRBNET-BOR-72X72X06</t>
  </si>
  <si>
    <t>SFG-FRBNPK-ET-CVR-72X72X06</t>
  </si>
  <si>
    <t>60D-RB-MAT-FOAM-71.50X71.50X15MM</t>
  </si>
  <si>
    <t>RTHTMTBNET75X30X06</t>
  </si>
  <si>
    <t>OEBOXBNSR74.50X29.50X130</t>
  </si>
  <si>
    <t>SFG-FRBNET-BOR-75X30X06</t>
  </si>
  <si>
    <t>SFG-FRBNPK-ET-CVR-75X30X06</t>
  </si>
  <si>
    <t>60D-RB-MAT-FOAM-74.50X29.50X15MM</t>
  </si>
  <si>
    <t>RTHTMTBNET75X36X06</t>
  </si>
  <si>
    <t>OEBOXBNSR74.50X35.50X130</t>
  </si>
  <si>
    <t>SFG-FRBNET-BOR-75X36X06</t>
  </si>
  <si>
    <t>SFG-FRBNPK-ET-CVR-75X36X06</t>
  </si>
  <si>
    <t>60D-RB-MAT-FOAM-74.50X35.50X15MM</t>
  </si>
  <si>
    <t>RTHTMTBNET75X42X06</t>
  </si>
  <si>
    <t>OEBOXBNSR74.50X41.50X130</t>
  </si>
  <si>
    <t>SFG-FRBNET-BOR-75X42X06</t>
  </si>
  <si>
    <t>SFG-FRBNPK-ET-CVR-75X42X06</t>
  </si>
  <si>
    <t>60D-RB-MAT-FOAM-74.50X41.50X15MM</t>
  </si>
  <si>
    <t>RTHTMTBNET75X48X06</t>
  </si>
  <si>
    <t>OEBOXBNSR74.50X47.50X130</t>
  </si>
  <si>
    <t>SFG-FRBNET-BOR-75X48X06</t>
  </si>
  <si>
    <t>SFG-FRBNPK-ET-CVR-75X48X06</t>
  </si>
  <si>
    <t>60D-RB-MAT-FOAM-74.50X47.50X15MM</t>
  </si>
  <si>
    <t>RTHTMTBNET75X60X06</t>
  </si>
  <si>
    <t>OEBOXBNSR74.50X59.50X130</t>
  </si>
  <si>
    <t>SFG-FRBNET-BOR-75X60X06</t>
  </si>
  <si>
    <t>SFG-FRBNPK-ET-CVR-75X60X06</t>
  </si>
  <si>
    <t>60D-RB-MAT-FOAM-74.50X59.50X15MM</t>
  </si>
  <si>
    <t>RTHTMTBNET75X66X06</t>
  </si>
  <si>
    <t>OEBOXBNSR74.50X65.50X130</t>
  </si>
  <si>
    <t>SFG-FRBNET-BOR-75X66X06</t>
  </si>
  <si>
    <t>SFG-FRBNPK-ET-CVR-75X66X06</t>
  </si>
  <si>
    <t>60D-RB-MAT-FOAM-74.50X65.50X15MM</t>
  </si>
  <si>
    <t>RTHTMTBNET75X72X06</t>
  </si>
  <si>
    <t>OEBOXBNSR74.50X71.50X130</t>
  </si>
  <si>
    <t>SFG-FRBNET-BOR-75X72X06</t>
  </si>
  <si>
    <t>SFG-FRBNPK-ET-CVR-75X72X06</t>
  </si>
  <si>
    <t>60D-RB-MAT-FOAM-74.50X71.50X15MM</t>
  </si>
  <si>
    <t>RTHTMTBNET78X30X06</t>
  </si>
  <si>
    <t>OEBOXBNSR77.50X29.50X130</t>
  </si>
  <si>
    <t>SFG-FRBNET-BOR-78X30X06</t>
  </si>
  <si>
    <t>SFG-FRBNPK-ET-CVR-78X30X06</t>
  </si>
  <si>
    <t>60D-RB-MAT-FOAM-77.50X29.50X15MM</t>
  </si>
  <si>
    <t>RTHTMTBNET78X36X06</t>
  </si>
  <si>
    <t>OEBOXBNSR77.50X35.50X130</t>
  </si>
  <si>
    <t>SFG-FRBNET-BOR-78X36X06</t>
  </si>
  <si>
    <t>SFG-FRBNPK-ET-CVR-78X36X06</t>
  </si>
  <si>
    <t>60D-RB-MAT-FOAM-77.50X35.50X15MM</t>
  </si>
  <si>
    <t>RTHTMTBNET78X42X06</t>
  </si>
  <si>
    <t>OEBOXBNSR77.50X41.50X130</t>
  </si>
  <si>
    <t>SFG-FRBNET-BOR-78X42X06</t>
  </si>
  <si>
    <t>SFG-FRBNPK-ET-CVR-78X42X06</t>
  </si>
  <si>
    <t>60D-RB-MAT-FOAM-77.50X41.50X15MM</t>
  </si>
  <si>
    <t>RTHTMTBNET78X48X06</t>
  </si>
  <si>
    <t>OEBOXBNSR77.50X47.50X130</t>
  </si>
  <si>
    <t>SFG-FRBNET-BOR-78X48X06</t>
  </si>
  <si>
    <t>SFG-FRBNPK-ET-CVR-78X48X06</t>
  </si>
  <si>
    <t>60D-RB-MAT-FOAM-77.50X47.50X15MM</t>
  </si>
  <si>
    <t>RTHTMTBNET78X60X06</t>
  </si>
  <si>
    <t>OEBOXBNSR77.50X59.50X130</t>
  </si>
  <si>
    <t>SFG-FRBNET-BOR-78X60X06</t>
  </si>
  <si>
    <t>SFG-FRBNPK-ET-CVR-78X60X06</t>
  </si>
  <si>
    <t>60D-RB-MAT-FOAM-77.50X59.50X15MM</t>
  </si>
  <si>
    <t>RTHTMTBNET78X66X06</t>
  </si>
  <si>
    <t>OEBOXBNSR77.50X65.50X130</t>
  </si>
  <si>
    <t>SFG-FRBNET-BOR-78X66X06</t>
  </si>
  <si>
    <t>SFG-FRBNPK-ET-CVR-78X66X06</t>
  </si>
  <si>
    <t>60D-RB-MAT-FOAM-77.50X65.50X15MM</t>
  </si>
  <si>
    <t>RTHTMTBNET78X72X06</t>
  </si>
  <si>
    <t>OEBOXBNSR77.50X71.50X130</t>
  </si>
  <si>
    <t>SFG-FRBNET-BOR-78X72X06</t>
  </si>
  <si>
    <t>SFG-FRBNPK-ET-CVR-78X72X06</t>
  </si>
  <si>
    <t>60D-RB-MAT-FOAM-77.50X71.50X15MM</t>
  </si>
  <si>
    <t>RTHTMTBNET80X30X06</t>
  </si>
  <si>
    <t>OEBOXBNSR79.50X29.50X130</t>
  </si>
  <si>
    <t>SFG-FRBNET-BOR-80X30X06</t>
  </si>
  <si>
    <t>SFG-FRBNPK-ET-CVR-80X30X06</t>
  </si>
  <si>
    <t>60D-RB-MAT-FOAM-79.50X29.50X15MM</t>
  </si>
  <si>
    <t>RTHTMTBNET80X36X06</t>
  </si>
  <si>
    <t>OEBOXBNSR79.50X35.50X130</t>
  </si>
  <si>
    <t>SFG-FRBNET-BOR-80X36X06</t>
  </si>
  <si>
    <t>SFG-FRBNPK-ET-CVR-80X36X06</t>
  </si>
  <si>
    <t>60D-RB-MAT-FOAM-79.50X35.50X15MM</t>
  </si>
  <si>
    <t>RTHTMTBNET80X42X06</t>
  </si>
  <si>
    <t>OEBOXBNSR79.50X41.50X130</t>
  </si>
  <si>
    <t>SFG-FRBNET-BOR-80X42X06</t>
  </si>
  <si>
    <t>SFG-FRBNPK-ET-CVR-80X42X06</t>
  </si>
  <si>
    <t>60D-RB-MAT-FOAM-79.50X41.50X15MM</t>
  </si>
  <si>
    <t>RTHTMTBNET80X48X06</t>
  </si>
  <si>
    <t>OEBOXBNSR79.50X47.50X130</t>
  </si>
  <si>
    <t>SFG-FRBNET-BOR-80X48X06</t>
  </si>
  <si>
    <t>SFG-FRBNPK-ET-CVR-80X48X06</t>
  </si>
  <si>
    <t>60D-RB-MAT-FOAM-79.50X47.50X15MM</t>
  </si>
  <si>
    <t>RTHTMTBNET80X60X06</t>
  </si>
  <si>
    <t>OEBOXBNSR79.50X59.50X130</t>
  </si>
  <si>
    <t>SFG-FRBNET-BOR-80X60X06</t>
  </si>
  <si>
    <t>SFG-FRBNPK-ET-CVR-80X60X06</t>
  </si>
  <si>
    <t>60D-RB-MAT-FOAM-79.50X59.50X15MM</t>
  </si>
  <si>
    <t>RTHTMTBNET80X66X06</t>
  </si>
  <si>
    <t>OEBOXBNSR79.50X65.50X130</t>
  </si>
  <si>
    <t>SFG-FRBNET-BOR-80X66X06</t>
  </si>
  <si>
    <t>SFG-FRBNPK-ET-CVR-80X66X06</t>
  </si>
  <si>
    <t>60D-RB-MAT-FOAM-79.50X65.50X15MM</t>
  </si>
  <si>
    <t>RTHTMTBNET80X72X06</t>
  </si>
  <si>
    <t>OEBOXBNSR79.50X71.50X130</t>
  </si>
  <si>
    <t>SFG-FRBNET-BOR-80X72X06</t>
  </si>
  <si>
    <t>SFG-FRBNPK-ET-CVR-80X72X06</t>
  </si>
  <si>
    <t>60D-RB-MAT-FOAM-79.50X71.50X15MM</t>
  </si>
  <si>
    <t>RTHTMTBNET84X30X06</t>
  </si>
  <si>
    <t>OEBOXBNSR83.50X29.50X130</t>
  </si>
  <si>
    <t>SFG-FRBNET-BOR-84X30X06</t>
  </si>
  <si>
    <t>SFG-FRBNPK-ET-CVR-84X30X06</t>
  </si>
  <si>
    <t>60D-RB-MAT-FOAM-83.50X29.50X15MM</t>
  </si>
  <si>
    <t>RTHTMTBNET84X36X06</t>
  </si>
  <si>
    <t>OEBOXBNSR83.50X35.50X130</t>
  </si>
  <si>
    <t>SFG-FRBNET-BOR-84X36X06</t>
  </si>
  <si>
    <t>SFG-FRBNPK-ET-CVR-84X36X06</t>
  </si>
  <si>
    <t>60D-RB-MAT-FOAM-83.50X35.50X15MM</t>
  </si>
  <si>
    <t>RTHTMTBNET84X42X06</t>
  </si>
  <si>
    <t>OEBOXBNSR83.50X41.50X130</t>
  </si>
  <si>
    <t>SFG-FRBNET-BOR-84X42X06</t>
  </si>
  <si>
    <t>SFG-FRBNPK-ET-CVR-84X42X06</t>
  </si>
  <si>
    <t>60D-RB-MAT-FOAM-83.50X41.50X15MM</t>
  </si>
  <si>
    <t>RTHTMTBNET84X48X06</t>
  </si>
  <si>
    <t>OEBOXBNSR83.50X47.50X130</t>
  </si>
  <si>
    <t>SFG-FRBNET-BOR-84X48X06</t>
  </si>
  <si>
    <t>SFG-FRBNPK-ET-CVR-84X48X06</t>
  </si>
  <si>
    <t>60D-RB-MAT-FOAM-83.50X47.50X15MM</t>
  </si>
  <si>
    <t>RTHTMTBNET84X60X06</t>
  </si>
  <si>
    <t>OEBOXBNSR83.50X59.50X130</t>
  </si>
  <si>
    <t>SFG-FRBNET-BOR-84X60X06</t>
  </si>
  <si>
    <t>SFG-FRBNPK-ET-CVR-84X60X06</t>
  </si>
  <si>
    <t>60D-RB-MAT-FOAM-83.50X59.50X15MM</t>
  </si>
  <si>
    <t>RTHTMTBNET84X66X06</t>
  </si>
  <si>
    <t>OEBOXBNSR83.50X65.50X130</t>
  </si>
  <si>
    <t>SFG-FRBNET-BOR-84X66X06</t>
  </si>
  <si>
    <t>SFG-FRBNPK-ET-CVR-84X66X06</t>
  </si>
  <si>
    <t>60D-RB-MAT-FOAM-83.50X65.50X15MM</t>
  </si>
  <si>
    <t>RTHTMTBNET84X72X06</t>
  </si>
  <si>
    <t>OEBOXBNSR83.50X71.50X130</t>
  </si>
  <si>
    <t>SFG-FRBNET-BOR-84X72X06</t>
  </si>
  <si>
    <t>SFG-FRBNPK-ET-CVR-84X72X06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</si>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</sst>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O13" sqref="O1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 t="shared" ref="D2:D17" si="0">"RTHTMTBNET"&amp;$K$2&amp;"X"&amp;$L$2&amp;"X"&amp;IF($M$2=10,$M$2,"0"&amp;$M$2)</f>
        <v>RTHTMTBNET84X72X06</v>
      </c>
      <c r="E2" s="1" t="str">
        <f>"OEBOXBNSR"&amp;(K2-0.5)&amp;"0"&amp;"X"&amp;(L2-0.5)&amp;"0"&amp;"X"&amp;IF(M2=6,"130",IF(M2=8,"150",IF(M2=10,"180",0)))</f>
        <v>OEBOXBNSR83.50X71.50X130</v>
      </c>
      <c r="F2" s="34" t="s">
        <v>11</v>
      </c>
      <c r="G2" s="35">
        <v>1</v>
      </c>
      <c r="H2" s="35">
        <f t="shared" ref="H2" si="1">ROUND(G2,3)</f>
        <v>1</v>
      </c>
      <c r="I2" s="18" t="s">
        <v>18</v>
      </c>
      <c r="J2" s="5"/>
      <c r="K2" s="6">
        <v>84</v>
      </c>
      <c r="L2" s="6">
        <v>72</v>
      </c>
      <c r="M2" s="31">
        <v>6</v>
      </c>
      <c r="N2" s="6" t="s">
        <v>113</v>
      </c>
      <c r="P2" s="4" t="s">
        <v>95</v>
      </c>
      <c r="R2" s="29" t="s">
        <v>96</v>
      </c>
      <c r="S2" s="29" t="s">
        <v>97</v>
      </c>
      <c r="T2" s="29">
        <v>6</v>
      </c>
      <c r="U2" s="30" t="s">
        <v>113</v>
      </c>
    </row>
    <row r="3" spans="1:21" s="17" customFormat="1" x14ac:dyDescent="0.25">
      <c r="A3" s="38">
        <v>2</v>
      </c>
      <c r="B3" s="7" t="s">
        <v>19</v>
      </c>
      <c r="C3" s="9" t="s">
        <v>20</v>
      </c>
      <c r="D3" s="7" t="str">
        <f t="shared" si="0"/>
        <v>RTHTMTBNET84X72X06</v>
      </c>
      <c r="E3" s="40" t="s">
        <v>242</v>
      </c>
      <c r="F3" s="11" t="s">
        <v>17</v>
      </c>
      <c r="G3" s="10">
        <f>IF(K2&lt;79,(L2+1),(K2+1))*0.0254</f>
        <v>2.1589999999999998</v>
      </c>
      <c r="H3" s="35">
        <f t="shared" ref="H3:H8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6</v>
      </c>
      <c r="U3" s="30" t="s">
        <v>113</v>
      </c>
    </row>
    <row r="4" spans="1:21" x14ac:dyDescent="0.25">
      <c r="A4" s="38">
        <v>3</v>
      </c>
      <c r="B4" s="7" t="s">
        <v>19</v>
      </c>
      <c r="C4" s="9" t="s">
        <v>115</v>
      </c>
      <c r="D4" s="7" t="str">
        <f t="shared" si="0"/>
        <v>RTHTMTBNET84X72X06</v>
      </c>
      <c r="E4" s="36" t="str">
        <f>"SFG-FRBNET-BOR-"&amp;K2&amp;"X"&amp;L2&amp;"X"&amp;IF(M2=10,10,"0"&amp;M2)</f>
        <v>SFG-FRBNET-BOR-84X72X06</v>
      </c>
      <c r="F4" s="11" t="s">
        <v>11</v>
      </c>
      <c r="G4" s="10">
        <v>1</v>
      </c>
      <c r="H4" s="35">
        <f t="shared" si="2"/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6</v>
      </c>
      <c r="U4" s="30" t="s">
        <v>113</v>
      </c>
    </row>
    <row r="5" spans="1:21" x14ac:dyDescent="0.25">
      <c r="A5" s="38">
        <v>4</v>
      </c>
      <c r="B5" s="7" t="s">
        <v>19</v>
      </c>
      <c r="C5" s="9" t="s">
        <v>116</v>
      </c>
      <c r="D5" s="7" t="str">
        <f t="shared" si="0"/>
        <v>RTHTMTBNET84X72X06</v>
      </c>
      <c r="E5" s="36" t="str">
        <f>"SFG-FRBNPK-ET-CVR-"&amp;K2&amp;"X"&amp;L2&amp;"X"&amp;IF(M2=10,10,"0"&amp;M2)</f>
        <v>SFG-FRBNPK-ET-CVR-84X72X06</v>
      </c>
      <c r="F5" s="11" t="s">
        <v>11</v>
      </c>
      <c r="G5" s="10">
        <v>1</v>
      </c>
      <c r="H5" s="35">
        <f t="shared" si="2"/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6</v>
      </c>
      <c r="U5" s="30" t="s">
        <v>113</v>
      </c>
    </row>
    <row r="6" spans="1:21" x14ac:dyDescent="0.25">
      <c r="A6" s="38">
        <v>5</v>
      </c>
      <c r="B6" s="7" t="s">
        <v>19</v>
      </c>
      <c r="C6" s="9" t="s">
        <v>117</v>
      </c>
      <c r="D6" s="7" t="str">
        <f t="shared" si="0"/>
        <v>RTHTMTBNET84X72X06</v>
      </c>
      <c r="E6" s="36" t="s">
        <v>118</v>
      </c>
      <c r="F6" s="11" t="s">
        <v>17</v>
      </c>
      <c r="G6" s="10">
        <f>IF(K2&lt;79,(L2+1),(K2+1))*0.0254</f>
        <v>2.1589999999999998</v>
      </c>
      <c r="H6" s="35">
        <f t="shared" si="2"/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6</v>
      </c>
      <c r="U6" s="30" t="s">
        <v>113</v>
      </c>
    </row>
    <row r="7" spans="1:21" x14ac:dyDescent="0.25">
      <c r="A7" s="38">
        <v>6</v>
      </c>
      <c r="B7" s="7" t="s">
        <v>114</v>
      </c>
      <c r="C7" s="9" t="s">
        <v>16</v>
      </c>
      <c r="D7" s="7" t="str">
        <f t="shared" si="0"/>
        <v>RTHTMTBNET84X72X06</v>
      </c>
      <c r="E7" s="9" t="s">
        <v>109</v>
      </c>
      <c r="F7" s="11" t="s">
        <v>110</v>
      </c>
      <c r="G7" s="10">
        <f>((K2-4)*(L2-4)/144)*0.00729*3</f>
        <v>0.82619999999999993</v>
      </c>
      <c r="H7" s="35">
        <f t="shared" si="2"/>
        <v>0.82599999999999996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6</v>
      </c>
      <c r="U7" s="30" t="s">
        <v>113</v>
      </c>
    </row>
    <row r="8" spans="1:21" x14ac:dyDescent="0.25">
      <c r="A8" s="38">
        <v>7</v>
      </c>
      <c r="B8" s="7" t="s">
        <v>19</v>
      </c>
      <c r="C8" s="33" t="s">
        <v>243</v>
      </c>
      <c r="D8" s="7" t="str">
        <f t="shared" si="0"/>
        <v>RTHTMTBNET84X72X06</v>
      </c>
      <c r="E8" s="33" t="s">
        <v>21</v>
      </c>
      <c r="F8" s="37" t="s">
        <v>17</v>
      </c>
      <c r="G8" s="10">
        <f>(K2+L2+1.5)*2*0.0254*20</f>
        <v>160.01999999999998</v>
      </c>
      <c r="H8" s="35">
        <f t="shared" si="2"/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6</v>
      </c>
      <c r="U8" s="30" t="s">
        <v>113</v>
      </c>
    </row>
    <row r="9" spans="1:21" x14ac:dyDescent="0.25">
      <c r="A9" s="38">
        <v>8</v>
      </c>
      <c r="B9" s="7" t="s">
        <v>22</v>
      </c>
      <c r="C9" s="33" t="s">
        <v>23</v>
      </c>
      <c r="D9" s="7" t="str">
        <f t="shared" si="0"/>
        <v>RTHTMTBNET84X72X06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6" si="3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6</v>
      </c>
      <c r="U9" s="30" t="s">
        <v>113</v>
      </c>
    </row>
    <row r="10" spans="1:21" x14ac:dyDescent="0.25">
      <c r="A10" s="38">
        <v>9</v>
      </c>
      <c r="B10" s="7" t="s">
        <v>22</v>
      </c>
      <c r="C10" s="33" t="s">
        <v>23</v>
      </c>
      <c r="D10" s="7" t="str">
        <f t="shared" si="0"/>
        <v>RTHTMTBNET84X72X06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6</v>
      </c>
      <c r="U10" s="30" t="s">
        <v>113</v>
      </c>
    </row>
    <row r="11" spans="1:21" x14ac:dyDescent="0.25">
      <c r="A11" s="38">
        <v>10</v>
      </c>
      <c r="B11" s="7" t="s">
        <v>24</v>
      </c>
      <c r="C11" s="33" t="s">
        <v>24</v>
      </c>
      <c r="D11" s="7" t="str">
        <f t="shared" si="0"/>
        <v>RTHTMTBNET84X72X06</v>
      </c>
      <c r="E11" s="33" t="str">
        <f>IF(M2=6,"RML-CS-PL-6.5""",IF(M2=8,"RML-CS-PL-8.5",IF(M2=10,"RML-CS-PL-10.5",IF(M2=12,"RML-CS-PL-12.25"))))</f>
        <v>RML-CS-PL-6.5"</v>
      </c>
      <c r="F11" s="37" t="s">
        <v>11</v>
      </c>
      <c r="G11" s="10">
        <v>4</v>
      </c>
      <c r="H11" s="35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6</v>
      </c>
      <c r="U11" s="30" t="s">
        <v>113</v>
      </c>
    </row>
    <row r="12" spans="1:21" x14ac:dyDescent="0.25">
      <c r="A12" s="38">
        <v>11</v>
      </c>
      <c r="B12" s="7" t="s">
        <v>24</v>
      </c>
      <c r="C12" s="33" t="s">
        <v>24</v>
      </c>
      <c r="D12" s="7" t="str">
        <f t="shared" si="0"/>
        <v>RTHTMTBNET84X72X06</v>
      </c>
      <c r="E12" s="33" t="s">
        <v>25</v>
      </c>
      <c r="F12" s="37" t="s">
        <v>11</v>
      </c>
      <c r="G12" s="10">
        <v>1</v>
      </c>
      <c r="H12" s="35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6</v>
      </c>
      <c r="U12" s="30" t="s">
        <v>113</v>
      </c>
    </row>
    <row r="13" spans="1:21" x14ac:dyDescent="0.25">
      <c r="A13" s="38">
        <v>12</v>
      </c>
      <c r="B13" s="7" t="s">
        <v>24</v>
      </c>
      <c r="C13" s="33" t="s">
        <v>24</v>
      </c>
      <c r="D13" s="7" t="str">
        <f t="shared" si="0"/>
        <v>RTHTMTBNET84X72X06</v>
      </c>
      <c r="E13" s="33" t="s">
        <v>26</v>
      </c>
      <c r="F13" s="37" t="s">
        <v>11</v>
      </c>
      <c r="G13" s="14">
        <v>1</v>
      </c>
      <c r="H13" s="35">
        <f t="shared" si="3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6</v>
      </c>
      <c r="U13" s="30" t="s">
        <v>113</v>
      </c>
    </row>
    <row r="14" spans="1:21" x14ac:dyDescent="0.25">
      <c r="A14" s="38">
        <v>13</v>
      </c>
      <c r="B14" s="7" t="s">
        <v>24</v>
      </c>
      <c r="C14" s="9" t="s">
        <v>24</v>
      </c>
      <c r="D14" s="7" t="str">
        <f t="shared" si="0"/>
        <v>RTHTMTBNET84X72X06</v>
      </c>
      <c r="E14" s="9" t="s">
        <v>27</v>
      </c>
      <c r="F14" s="11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6</v>
      </c>
      <c r="U14" s="30" t="s">
        <v>113</v>
      </c>
    </row>
    <row r="15" spans="1:21" x14ac:dyDescent="0.25">
      <c r="A15" s="38">
        <v>14</v>
      </c>
      <c r="B15" s="7" t="s">
        <v>24</v>
      </c>
      <c r="C15" s="9" t="s">
        <v>24</v>
      </c>
      <c r="D15" s="7" t="str">
        <f t="shared" si="0"/>
        <v>RTHTMTBNET84X72X06</v>
      </c>
      <c r="E15" s="9" t="s">
        <v>120</v>
      </c>
      <c r="F15" s="11" t="s">
        <v>14</v>
      </c>
      <c r="G15" s="10">
        <f>IF(K2&lt;79,((L2*2)+(M2*2)+4),((K2*2)+(M2*2)+4))*0.0254*89.5*0.0254*0.00005*1300</f>
        <v>0.69059216719999983</v>
      </c>
      <c r="H15" s="35">
        <f t="shared" si="3"/>
        <v>0.69099999999999995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6</v>
      </c>
      <c r="U15" s="30" t="s">
        <v>113</v>
      </c>
    </row>
    <row r="16" spans="1:21" x14ac:dyDescent="0.25">
      <c r="A16" s="38">
        <v>15</v>
      </c>
      <c r="B16" s="7" t="s">
        <v>112</v>
      </c>
      <c r="C16" s="9" t="s">
        <v>119</v>
      </c>
      <c r="D16" s="7" t="str">
        <f t="shared" si="0"/>
        <v>RTHTMTBNET84X72X06</v>
      </c>
      <c r="E16" s="39" t="str">
        <f>"60D-RB-MAT-FOAM-"&amp;(K2-0.5)&amp;"0"&amp;"X"&amp;(L2-0.5)&amp;"0"&amp;"X15MM"</f>
        <v>60D-RB-MAT-FOAM-83.50X71.50X15MM</v>
      </c>
      <c r="F16" s="8" t="s">
        <v>11</v>
      </c>
      <c r="G16" s="14">
        <v>1</v>
      </c>
      <c r="H16" s="35">
        <f t="shared" si="3"/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6</v>
      </c>
      <c r="U16" s="30" t="s">
        <v>113</v>
      </c>
    </row>
    <row r="17" spans="5:21" x14ac:dyDescent="0.25">
      <c r="J17" s="12"/>
      <c r="N17"/>
      <c r="O17"/>
      <c r="R17" s="29" t="s">
        <v>105</v>
      </c>
      <c r="S17" s="29" t="s">
        <v>104</v>
      </c>
      <c r="T17" s="29">
        <v>6</v>
      </c>
      <c r="U17" s="30" t="s">
        <v>113</v>
      </c>
    </row>
    <row r="18" spans="5:21" x14ac:dyDescent="0.25">
      <c r="J18" s="12"/>
      <c r="N18"/>
      <c r="O18"/>
      <c r="R18" s="29" t="s">
        <v>106</v>
      </c>
      <c r="S18" s="29" t="s">
        <v>97</v>
      </c>
      <c r="T18" s="29">
        <v>6</v>
      </c>
      <c r="U18" s="30" t="s">
        <v>113</v>
      </c>
    </row>
    <row r="19" spans="5:21" x14ac:dyDescent="0.25">
      <c r="J19" s="12"/>
      <c r="N19"/>
      <c r="O19"/>
      <c r="R19" s="29" t="s">
        <v>106</v>
      </c>
      <c r="S19" s="29" t="s">
        <v>98</v>
      </c>
      <c r="T19" s="29">
        <v>6</v>
      </c>
      <c r="U19" s="30" t="s">
        <v>113</v>
      </c>
    </row>
    <row r="20" spans="5:21" x14ac:dyDescent="0.25">
      <c r="J20" s="12"/>
      <c r="N20" s="28"/>
      <c r="O20"/>
      <c r="R20" s="29" t="s">
        <v>106</v>
      </c>
      <c r="S20" s="29" t="s">
        <v>99</v>
      </c>
      <c r="T20" s="29">
        <v>6</v>
      </c>
      <c r="U20" s="30" t="s">
        <v>113</v>
      </c>
    </row>
    <row r="21" spans="5:21" x14ac:dyDescent="0.25">
      <c r="J21" s="12"/>
      <c r="N21"/>
      <c r="O21"/>
      <c r="R21" s="29" t="s">
        <v>106</v>
      </c>
      <c r="S21" s="29" t="s">
        <v>100</v>
      </c>
      <c r="T21" s="29">
        <v>6</v>
      </c>
      <c r="U21" s="30" t="s">
        <v>113</v>
      </c>
    </row>
    <row r="22" spans="5:21" x14ac:dyDescent="0.25">
      <c r="J22" s="12"/>
      <c r="N22"/>
      <c r="O22"/>
      <c r="R22" s="29" t="s">
        <v>106</v>
      </c>
      <c r="S22" s="29" t="s">
        <v>101</v>
      </c>
      <c r="T22" s="29">
        <v>6</v>
      </c>
      <c r="U22" s="30" t="s">
        <v>113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6</v>
      </c>
      <c r="U23" s="30" t="s">
        <v>113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6</v>
      </c>
      <c r="U24" s="30" t="s">
        <v>113</v>
      </c>
    </row>
    <row r="25" spans="5:21" x14ac:dyDescent="0.25">
      <c r="N25"/>
      <c r="O25"/>
      <c r="R25" s="29" t="s">
        <v>106</v>
      </c>
      <c r="S25" s="29" t="s">
        <v>104</v>
      </c>
      <c r="T25" s="29">
        <v>6</v>
      </c>
      <c r="U25" s="30" t="s">
        <v>113</v>
      </c>
    </row>
    <row r="26" spans="5:21" x14ac:dyDescent="0.25">
      <c r="N26"/>
      <c r="O26"/>
      <c r="R26" s="29" t="s">
        <v>107</v>
      </c>
      <c r="S26" s="29" t="s">
        <v>97</v>
      </c>
      <c r="T26" s="29">
        <v>6</v>
      </c>
      <c r="U26" s="30" t="s">
        <v>113</v>
      </c>
    </row>
    <row r="27" spans="5:21" x14ac:dyDescent="0.25">
      <c r="N27"/>
      <c r="O27"/>
      <c r="R27" s="29" t="s">
        <v>107</v>
      </c>
      <c r="S27" s="29" t="s">
        <v>98</v>
      </c>
      <c r="T27" s="29">
        <v>6</v>
      </c>
      <c r="U27" s="30" t="s">
        <v>113</v>
      </c>
    </row>
    <row r="28" spans="5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6</v>
      </c>
      <c r="U28" s="30" t="s">
        <v>113</v>
      </c>
    </row>
    <row r="29" spans="5:21" x14ac:dyDescent="0.25">
      <c r="E29" s="19"/>
      <c r="N29"/>
      <c r="O29"/>
      <c r="R29" s="29" t="s">
        <v>107</v>
      </c>
      <c r="S29" s="29" t="s">
        <v>100</v>
      </c>
      <c r="T29" s="29">
        <v>6</v>
      </c>
      <c r="U29" s="30" t="s">
        <v>113</v>
      </c>
    </row>
    <row r="30" spans="5:21" x14ac:dyDescent="0.25">
      <c r="H30" s="19"/>
      <c r="N30"/>
      <c r="O30"/>
      <c r="R30" s="29" t="s">
        <v>107</v>
      </c>
      <c r="S30" s="29" t="s">
        <v>101</v>
      </c>
      <c r="T30" s="29">
        <v>6</v>
      </c>
      <c r="U30" s="30" t="s">
        <v>113</v>
      </c>
    </row>
    <row r="31" spans="5:21" x14ac:dyDescent="0.25">
      <c r="N31"/>
      <c r="O31"/>
      <c r="R31" s="29" t="s">
        <v>107</v>
      </c>
      <c r="S31" s="29" t="s">
        <v>102</v>
      </c>
      <c r="T31" s="29">
        <v>6</v>
      </c>
      <c r="U31" s="30" t="s">
        <v>113</v>
      </c>
    </row>
    <row r="32" spans="5:21" x14ac:dyDescent="0.25">
      <c r="N32"/>
      <c r="O32"/>
      <c r="R32" s="29" t="s">
        <v>107</v>
      </c>
      <c r="S32" s="29" t="s">
        <v>103</v>
      </c>
      <c r="T32" s="29">
        <v>6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6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6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6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6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6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6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6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6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6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 t="s">
        <v>113</v>
      </c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 t="s">
        <v>113</v>
      </c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 t="s">
        <v>113</v>
      </c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 t="s">
        <v>113</v>
      </c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 t="s">
        <v>113</v>
      </c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 t="s">
        <v>113</v>
      </c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 t="s">
        <v>113</v>
      </c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 t="s">
        <v>113</v>
      </c>
    </row>
    <row r="50" spans="14:21" x14ac:dyDescent="0.25">
      <c r="R50" s="29">
        <v>75</v>
      </c>
      <c r="S50" s="29">
        <v>36</v>
      </c>
      <c r="T50" s="29">
        <v>6</v>
      </c>
      <c r="U50" s="30" t="s">
        <v>113</v>
      </c>
    </row>
    <row r="51" spans="14:21" x14ac:dyDescent="0.25">
      <c r="R51" s="29">
        <v>75</v>
      </c>
      <c r="S51" s="29">
        <v>42</v>
      </c>
      <c r="T51" s="29">
        <v>6</v>
      </c>
      <c r="U51" s="30" t="s">
        <v>113</v>
      </c>
    </row>
    <row r="52" spans="14:21" x14ac:dyDescent="0.25">
      <c r="R52" s="29">
        <v>75</v>
      </c>
      <c r="S52" s="29">
        <v>48</v>
      </c>
      <c r="T52" s="29">
        <v>6</v>
      </c>
      <c r="U52" s="30" t="s">
        <v>113</v>
      </c>
    </row>
    <row r="53" spans="14:21" x14ac:dyDescent="0.25">
      <c r="R53" s="29">
        <v>75</v>
      </c>
      <c r="S53" s="29">
        <v>60</v>
      </c>
      <c r="T53" s="29">
        <v>6</v>
      </c>
      <c r="U53" s="30" t="s">
        <v>113</v>
      </c>
    </row>
    <row r="54" spans="14:21" x14ac:dyDescent="0.25">
      <c r="R54" s="29">
        <v>75</v>
      </c>
      <c r="S54" s="29">
        <v>66</v>
      </c>
      <c r="T54" s="29">
        <v>6</v>
      </c>
      <c r="U54" s="30" t="s">
        <v>113</v>
      </c>
    </row>
    <row r="55" spans="14:21" x14ac:dyDescent="0.25">
      <c r="R55" s="29">
        <v>75</v>
      </c>
      <c r="S55" s="29">
        <v>72</v>
      </c>
      <c r="T55" s="29">
        <v>6</v>
      </c>
      <c r="U55" s="30" t="s">
        <v>113</v>
      </c>
    </row>
    <row r="56" spans="14:21" x14ac:dyDescent="0.25">
      <c r="R56" s="29">
        <v>78</v>
      </c>
      <c r="S56" s="29">
        <v>30</v>
      </c>
      <c r="T56" s="29">
        <v>6</v>
      </c>
      <c r="U56" s="30" t="s">
        <v>113</v>
      </c>
    </row>
    <row r="57" spans="14:21" x14ac:dyDescent="0.25">
      <c r="R57" s="29">
        <v>78</v>
      </c>
      <c r="S57" s="29">
        <v>36</v>
      </c>
      <c r="T57" s="29">
        <v>6</v>
      </c>
      <c r="U57" s="30" t="s">
        <v>113</v>
      </c>
    </row>
    <row r="58" spans="14:21" x14ac:dyDescent="0.25">
      <c r="R58" s="29">
        <v>78</v>
      </c>
      <c r="S58" s="29">
        <v>42</v>
      </c>
      <c r="T58" s="29">
        <v>6</v>
      </c>
      <c r="U58" s="30" t="s">
        <v>113</v>
      </c>
    </row>
    <row r="59" spans="14:21" x14ac:dyDescent="0.25">
      <c r="R59" s="29">
        <v>78</v>
      </c>
      <c r="S59" s="29">
        <v>48</v>
      </c>
      <c r="T59" s="29">
        <v>6</v>
      </c>
      <c r="U59" s="30" t="s">
        <v>113</v>
      </c>
    </row>
    <row r="60" spans="14:21" x14ac:dyDescent="0.25">
      <c r="R60" s="29">
        <v>78</v>
      </c>
      <c r="S60" s="29">
        <v>60</v>
      </c>
      <c r="T60" s="29">
        <v>6</v>
      </c>
      <c r="U60" s="30" t="s">
        <v>113</v>
      </c>
    </row>
    <row r="61" spans="14:21" x14ac:dyDescent="0.25">
      <c r="R61" s="29">
        <v>78</v>
      </c>
      <c r="S61" s="29">
        <v>66</v>
      </c>
      <c r="T61" s="29">
        <v>6</v>
      </c>
      <c r="U61" s="30" t="s">
        <v>113</v>
      </c>
    </row>
    <row r="62" spans="14:21" x14ac:dyDescent="0.25">
      <c r="R62" s="29">
        <v>78</v>
      </c>
      <c r="S62" s="29">
        <v>72</v>
      </c>
      <c r="T62" s="29">
        <v>6</v>
      </c>
      <c r="U62" s="30" t="s">
        <v>113</v>
      </c>
    </row>
    <row r="63" spans="14:21" x14ac:dyDescent="0.25">
      <c r="R63" s="29">
        <v>80</v>
      </c>
      <c r="S63" s="29">
        <v>30</v>
      </c>
      <c r="T63" s="29">
        <v>6</v>
      </c>
      <c r="U63" s="30" t="s">
        <v>113</v>
      </c>
    </row>
    <row r="64" spans="14:21" x14ac:dyDescent="0.25">
      <c r="R64" s="29">
        <v>80</v>
      </c>
      <c r="S64" s="29">
        <v>36</v>
      </c>
      <c r="T64" s="29">
        <v>6</v>
      </c>
      <c r="U64" s="30" t="s">
        <v>113</v>
      </c>
    </row>
    <row r="65" spans="18:21" x14ac:dyDescent="0.25">
      <c r="R65" s="29">
        <v>80</v>
      </c>
      <c r="S65" s="29">
        <v>42</v>
      </c>
      <c r="T65" s="29">
        <v>6</v>
      </c>
      <c r="U65" s="30" t="s">
        <v>113</v>
      </c>
    </row>
    <row r="66" spans="18:21" x14ac:dyDescent="0.25">
      <c r="R66" s="29">
        <v>80</v>
      </c>
      <c r="S66" s="29">
        <v>48</v>
      </c>
      <c r="T66" s="29">
        <v>6</v>
      </c>
      <c r="U66" s="30" t="s">
        <v>113</v>
      </c>
    </row>
    <row r="67" spans="18:21" x14ac:dyDescent="0.25">
      <c r="R67" s="29">
        <v>80</v>
      </c>
      <c r="S67" s="29">
        <v>60</v>
      </c>
      <c r="T67" s="29">
        <v>6</v>
      </c>
      <c r="U67" s="30" t="s">
        <v>113</v>
      </c>
    </row>
    <row r="68" spans="18:21" x14ac:dyDescent="0.25">
      <c r="R68" s="29">
        <v>80</v>
      </c>
      <c r="S68" s="29">
        <v>66</v>
      </c>
      <c r="T68" s="29">
        <v>6</v>
      </c>
      <c r="U68" s="30" t="s">
        <v>113</v>
      </c>
    </row>
    <row r="69" spans="18:21" x14ac:dyDescent="0.25">
      <c r="R69" s="29">
        <v>80</v>
      </c>
      <c r="S69" s="29">
        <v>72</v>
      </c>
      <c r="T69" s="29">
        <v>6</v>
      </c>
      <c r="U69" s="30" t="s">
        <v>113</v>
      </c>
    </row>
    <row r="70" spans="18:21" x14ac:dyDescent="0.25">
      <c r="R70" s="29">
        <v>84</v>
      </c>
      <c r="S70" s="29">
        <v>30</v>
      </c>
      <c r="T70" s="29">
        <v>6</v>
      </c>
      <c r="U70" s="30" t="s">
        <v>113</v>
      </c>
    </row>
    <row r="71" spans="18:21" x14ac:dyDescent="0.25">
      <c r="R71" s="29">
        <v>84</v>
      </c>
      <c r="S71" s="29">
        <v>36</v>
      </c>
      <c r="T71" s="29">
        <v>6</v>
      </c>
      <c r="U71" s="30" t="s">
        <v>113</v>
      </c>
    </row>
    <row r="72" spans="18:21" x14ac:dyDescent="0.25">
      <c r="R72" s="29">
        <v>84</v>
      </c>
      <c r="S72" s="29">
        <v>42</v>
      </c>
      <c r="T72" s="29">
        <v>6</v>
      </c>
      <c r="U72" s="30" t="s">
        <v>113</v>
      </c>
    </row>
    <row r="73" spans="18:21" x14ac:dyDescent="0.25">
      <c r="R73" s="29">
        <v>84</v>
      </c>
      <c r="S73" s="29">
        <v>48</v>
      </c>
      <c r="T73" s="29">
        <v>6</v>
      </c>
      <c r="U73" s="30" t="s">
        <v>113</v>
      </c>
    </row>
    <row r="74" spans="18:21" x14ac:dyDescent="0.25">
      <c r="R74" s="29">
        <v>84</v>
      </c>
      <c r="S74" s="29">
        <v>60</v>
      </c>
      <c r="T74" s="29">
        <v>6</v>
      </c>
      <c r="U74" s="30" t="s">
        <v>113</v>
      </c>
    </row>
    <row r="75" spans="18:21" x14ac:dyDescent="0.25">
      <c r="R75" s="29">
        <v>84</v>
      </c>
      <c r="S75" s="29">
        <v>66</v>
      </c>
      <c r="T75" s="29">
        <v>6</v>
      </c>
      <c r="U75" s="30" t="s">
        <v>113</v>
      </c>
    </row>
    <row r="76" spans="18:21" x14ac:dyDescent="0.25">
      <c r="R76" s="29">
        <v>84</v>
      </c>
      <c r="S76" s="29">
        <v>72</v>
      </c>
      <c r="T76" s="29">
        <v>6</v>
      </c>
      <c r="U76" s="30" t="s">
        <v>113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121</v>
      </c>
      <c r="C2">
        <v>10</v>
      </c>
      <c r="D2" t="s">
        <v>244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121</v>
      </c>
      <c r="C3">
        <v>20</v>
      </c>
      <c r="D3" t="s">
        <v>242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121</v>
      </c>
      <c r="C4">
        <v>30</v>
      </c>
      <c r="D4" t="s">
        <v>122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121</v>
      </c>
      <c r="C5">
        <v>40</v>
      </c>
      <c r="D5" t="s">
        <v>123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121</v>
      </c>
      <c r="C6">
        <v>50</v>
      </c>
      <c r="D6" t="s">
        <v>118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121</v>
      </c>
      <c r="C7">
        <v>60</v>
      </c>
      <c r="D7" t="s">
        <v>109</v>
      </c>
      <c r="E7" t="s">
        <v>110</v>
      </c>
      <c r="F7">
        <v>0.29899999999999999</v>
      </c>
      <c r="G7" t="s">
        <v>15</v>
      </c>
    </row>
    <row r="8" spans="1:7" x14ac:dyDescent="0.25">
      <c r="A8">
        <v>1</v>
      </c>
      <c r="B8" t="s">
        <v>121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121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121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121</v>
      </c>
      <c r="C11">
        <v>100</v>
      </c>
      <c r="D11" t="s">
        <v>124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121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121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121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121</v>
      </c>
      <c r="C15">
        <v>140</v>
      </c>
      <c r="D15" t="s">
        <v>120</v>
      </c>
      <c r="E15" t="s">
        <v>14</v>
      </c>
      <c r="F15">
        <v>0.308</v>
      </c>
      <c r="G15" t="s">
        <v>15</v>
      </c>
    </row>
    <row r="16" spans="1:7" x14ac:dyDescent="0.25">
      <c r="A16">
        <v>1</v>
      </c>
      <c r="B16" t="s">
        <v>121</v>
      </c>
      <c r="C16">
        <v>150</v>
      </c>
      <c r="D16" t="s">
        <v>245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125</v>
      </c>
      <c r="C17">
        <v>10</v>
      </c>
      <c r="D17" t="s">
        <v>246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125</v>
      </c>
      <c r="C18">
        <v>20</v>
      </c>
      <c r="D18" t="s">
        <v>242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125</v>
      </c>
      <c r="C19">
        <v>30</v>
      </c>
      <c r="D19" t="s">
        <v>126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125</v>
      </c>
      <c r="C20">
        <v>40</v>
      </c>
      <c r="D20" t="s">
        <v>127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125</v>
      </c>
      <c r="C21">
        <v>50</v>
      </c>
      <c r="D21" t="s">
        <v>118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125</v>
      </c>
      <c r="C22">
        <v>60</v>
      </c>
      <c r="D22" t="s">
        <v>109</v>
      </c>
      <c r="E22" t="s">
        <v>110</v>
      </c>
      <c r="F22">
        <v>0.36099999999999999</v>
      </c>
      <c r="G22" t="s">
        <v>15</v>
      </c>
    </row>
    <row r="23" spans="1:7" x14ac:dyDescent="0.25">
      <c r="A23">
        <v>2</v>
      </c>
      <c r="B23" t="s">
        <v>125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125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125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125</v>
      </c>
      <c r="C26">
        <v>100</v>
      </c>
      <c r="D26" t="s">
        <v>124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125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125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125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125</v>
      </c>
      <c r="C30">
        <v>140</v>
      </c>
      <c r="D30" t="s">
        <v>120</v>
      </c>
      <c r="E30" t="s">
        <v>14</v>
      </c>
      <c r="F30">
        <v>0.35299999999999998</v>
      </c>
      <c r="G30" t="s">
        <v>15</v>
      </c>
    </row>
    <row r="31" spans="1:7" x14ac:dyDescent="0.25">
      <c r="A31">
        <v>2</v>
      </c>
      <c r="B31" t="s">
        <v>125</v>
      </c>
      <c r="C31">
        <v>150</v>
      </c>
      <c r="D31" t="s">
        <v>247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128</v>
      </c>
      <c r="C32">
        <v>10</v>
      </c>
      <c r="D32" t="s">
        <v>248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128</v>
      </c>
      <c r="C33">
        <v>20</v>
      </c>
      <c r="D33" t="s">
        <v>242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128</v>
      </c>
      <c r="C34">
        <v>30</v>
      </c>
      <c r="D34" t="s">
        <v>129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128</v>
      </c>
      <c r="C35">
        <v>40</v>
      </c>
      <c r="D35" t="s">
        <v>130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128</v>
      </c>
      <c r="C36">
        <v>50</v>
      </c>
      <c r="D36" t="s">
        <v>118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128</v>
      </c>
      <c r="C37">
        <v>60</v>
      </c>
      <c r="D37" t="s">
        <v>109</v>
      </c>
      <c r="E37" t="s">
        <v>110</v>
      </c>
      <c r="F37">
        <v>0.42299999999999999</v>
      </c>
      <c r="G37" t="s">
        <v>15</v>
      </c>
    </row>
    <row r="38" spans="1:7" x14ac:dyDescent="0.25">
      <c r="A38">
        <v>3</v>
      </c>
      <c r="B38" t="s">
        <v>128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128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128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128</v>
      </c>
      <c r="C41">
        <v>100</v>
      </c>
      <c r="D41" t="s">
        <v>124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128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128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128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128</v>
      </c>
      <c r="C45">
        <v>140</v>
      </c>
      <c r="D45" t="s">
        <v>120</v>
      </c>
      <c r="E45" t="s">
        <v>14</v>
      </c>
      <c r="F45">
        <v>0.39800000000000002</v>
      </c>
      <c r="G45" t="s">
        <v>15</v>
      </c>
    </row>
    <row r="46" spans="1:7" x14ac:dyDescent="0.25">
      <c r="A46">
        <v>3</v>
      </c>
      <c r="B46" t="s">
        <v>128</v>
      </c>
      <c r="C46">
        <v>150</v>
      </c>
      <c r="D46" t="s">
        <v>249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131</v>
      </c>
      <c r="C47">
        <v>10</v>
      </c>
      <c r="D47" t="s">
        <v>250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131</v>
      </c>
      <c r="C48">
        <v>20</v>
      </c>
      <c r="D48" t="s">
        <v>242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131</v>
      </c>
      <c r="C49">
        <v>30</v>
      </c>
      <c r="D49" t="s">
        <v>132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131</v>
      </c>
      <c r="C50">
        <v>40</v>
      </c>
      <c r="D50" t="s">
        <v>133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131</v>
      </c>
      <c r="C51">
        <v>50</v>
      </c>
      <c r="D51" t="s">
        <v>118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131</v>
      </c>
      <c r="C52">
        <v>60</v>
      </c>
      <c r="D52" t="s">
        <v>109</v>
      </c>
      <c r="E52" t="s">
        <v>110</v>
      </c>
      <c r="F52">
        <v>0.48499999999999999</v>
      </c>
      <c r="G52" t="s">
        <v>15</v>
      </c>
    </row>
    <row r="53" spans="1:7" x14ac:dyDescent="0.25">
      <c r="A53">
        <v>4</v>
      </c>
      <c r="B53" t="s">
        <v>131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131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131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131</v>
      </c>
      <c r="C56">
        <v>100</v>
      </c>
      <c r="D56" t="s">
        <v>124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131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131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131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131</v>
      </c>
      <c r="C60">
        <v>140</v>
      </c>
      <c r="D60" t="s">
        <v>120</v>
      </c>
      <c r="E60" t="s">
        <v>14</v>
      </c>
      <c r="F60">
        <v>0.443</v>
      </c>
      <c r="G60" t="s">
        <v>15</v>
      </c>
    </row>
    <row r="61" spans="1:7" x14ac:dyDescent="0.25">
      <c r="A61">
        <v>4</v>
      </c>
      <c r="B61" t="s">
        <v>131</v>
      </c>
      <c r="C61">
        <v>150</v>
      </c>
      <c r="D61" t="s">
        <v>251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134</v>
      </c>
      <c r="C62">
        <v>10</v>
      </c>
      <c r="D62" t="s">
        <v>252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134</v>
      </c>
      <c r="C63">
        <v>20</v>
      </c>
      <c r="D63" t="s">
        <v>242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134</v>
      </c>
      <c r="C64">
        <v>30</v>
      </c>
      <c r="D64" t="s">
        <v>135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134</v>
      </c>
      <c r="C65">
        <v>40</v>
      </c>
      <c r="D65" t="s">
        <v>136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134</v>
      </c>
      <c r="C66">
        <v>50</v>
      </c>
      <c r="D66" t="s">
        <v>118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134</v>
      </c>
      <c r="C67">
        <v>60</v>
      </c>
      <c r="D67" t="s">
        <v>109</v>
      </c>
      <c r="E67" t="s">
        <v>110</v>
      </c>
      <c r="F67">
        <v>0.51600000000000001</v>
      </c>
      <c r="G67" t="s">
        <v>15</v>
      </c>
    </row>
    <row r="68" spans="1:7" x14ac:dyDescent="0.25">
      <c r="A68">
        <v>5</v>
      </c>
      <c r="B68" t="s">
        <v>134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134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134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134</v>
      </c>
      <c r="C71">
        <v>100</v>
      </c>
      <c r="D71" t="s">
        <v>124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134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134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134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134</v>
      </c>
      <c r="C75">
        <v>140</v>
      </c>
      <c r="D75" t="s">
        <v>120</v>
      </c>
      <c r="E75" t="s">
        <v>14</v>
      </c>
      <c r="F75">
        <v>0.46500000000000002</v>
      </c>
      <c r="G75" t="s">
        <v>15</v>
      </c>
    </row>
    <row r="76" spans="1:7" x14ac:dyDescent="0.25">
      <c r="A76">
        <v>5</v>
      </c>
      <c r="B76" t="s">
        <v>134</v>
      </c>
      <c r="C76">
        <v>150</v>
      </c>
      <c r="D76" t="s">
        <v>253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137</v>
      </c>
      <c r="C77">
        <v>10</v>
      </c>
      <c r="D77" t="s">
        <v>254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137</v>
      </c>
      <c r="C78">
        <v>20</v>
      </c>
      <c r="D78" t="s">
        <v>242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137</v>
      </c>
      <c r="C79">
        <v>30</v>
      </c>
      <c r="D79" t="s">
        <v>138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137</v>
      </c>
      <c r="C80">
        <v>40</v>
      </c>
      <c r="D80" t="s">
        <v>139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137</v>
      </c>
      <c r="C81">
        <v>50</v>
      </c>
      <c r="D81" t="s">
        <v>118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137</v>
      </c>
      <c r="C82">
        <v>60</v>
      </c>
      <c r="D82" t="s">
        <v>109</v>
      </c>
      <c r="E82" t="s">
        <v>110</v>
      </c>
      <c r="F82">
        <v>0.54700000000000004</v>
      </c>
      <c r="G82" t="s">
        <v>15</v>
      </c>
    </row>
    <row r="83" spans="1:7" x14ac:dyDescent="0.25">
      <c r="A83">
        <v>6</v>
      </c>
      <c r="B83" t="s">
        <v>137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137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137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137</v>
      </c>
      <c r="C86">
        <v>100</v>
      </c>
      <c r="D86" t="s">
        <v>124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137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137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137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137</v>
      </c>
      <c r="C90">
        <v>140</v>
      </c>
      <c r="D90" t="s">
        <v>120</v>
      </c>
      <c r="E90" t="s">
        <v>14</v>
      </c>
      <c r="F90">
        <v>0.48799999999999999</v>
      </c>
      <c r="G90" t="s">
        <v>15</v>
      </c>
    </row>
    <row r="91" spans="1:7" x14ac:dyDescent="0.25">
      <c r="A91">
        <v>6</v>
      </c>
      <c r="B91" t="s">
        <v>137</v>
      </c>
      <c r="C91">
        <v>150</v>
      </c>
      <c r="D91" t="s">
        <v>255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140</v>
      </c>
      <c r="C92">
        <v>10</v>
      </c>
      <c r="D92" t="s">
        <v>256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140</v>
      </c>
      <c r="C93">
        <v>20</v>
      </c>
      <c r="D93" t="s">
        <v>242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140</v>
      </c>
      <c r="C94">
        <v>30</v>
      </c>
      <c r="D94" t="s">
        <v>141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140</v>
      </c>
      <c r="C95">
        <v>40</v>
      </c>
      <c r="D95" t="s">
        <v>142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140</v>
      </c>
      <c r="C96">
        <v>50</v>
      </c>
      <c r="D96" t="s">
        <v>118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140</v>
      </c>
      <c r="C97">
        <v>60</v>
      </c>
      <c r="D97" t="s">
        <v>109</v>
      </c>
      <c r="E97" t="s">
        <v>110</v>
      </c>
      <c r="F97">
        <v>0.60899999999999999</v>
      </c>
      <c r="G97" t="s">
        <v>15</v>
      </c>
    </row>
    <row r="98" spans="1:7" x14ac:dyDescent="0.25">
      <c r="A98">
        <v>7</v>
      </c>
      <c r="B98" t="s">
        <v>140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140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140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140</v>
      </c>
      <c r="C101">
        <v>100</v>
      </c>
      <c r="D101" t="s">
        <v>124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140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140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140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140</v>
      </c>
      <c r="C105">
        <v>140</v>
      </c>
      <c r="D105" t="s">
        <v>120</v>
      </c>
      <c r="E105" t="s">
        <v>14</v>
      </c>
      <c r="F105">
        <v>0.53300000000000003</v>
      </c>
      <c r="G105" t="s">
        <v>15</v>
      </c>
    </row>
    <row r="106" spans="1:7" x14ac:dyDescent="0.25">
      <c r="A106">
        <v>7</v>
      </c>
      <c r="B106" t="s">
        <v>140</v>
      </c>
      <c r="C106">
        <v>150</v>
      </c>
      <c r="D106" t="s">
        <v>257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143</v>
      </c>
      <c r="C107">
        <v>10</v>
      </c>
      <c r="D107" t="s">
        <v>258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143</v>
      </c>
      <c r="C108">
        <v>20</v>
      </c>
      <c r="D108" t="s">
        <v>242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143</v>
      </c>
      <c r="C109">
        <v>30</v>
      </c>
      <c r="D109" t="s">
        <v>144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143</v>
      </c>
      <c r="C110">
        <v>40</v>
      </c>
      <c r="D110" t="s">
        <v>145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143</v>
      </c>
      <c r="C111">
        <v>50</v>
      </c>
      <c r="D111" t="s">
        <v>118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143</v>
      </c>
      <c r="C112">
        <v>60</v>
      </c>
      <c r="D112" t="s">
        <v>109</v>
      </c>
      <c r="E112" t="s">
        <v>110</v>
      </c>
      <c r="F112">
        <v>0.67100000000000004</v>
      </c>
      <c r="G112" t="s">
        <v>15</v>
      </c>
    </row>
    <row r="113" spans="1:7" x14ac:dyDescent="0.25">
      <c r="A113">
        <v>8</v>
      </c>
      <c r="B113" t="s">
        <v>143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143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143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143</v>
      </c>
      <c r="C116">
        <v>100</v>
      </c>
      <c r="D116" t="s">
        <v>124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143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143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143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143</v>
      </c>
      <c r="C120">
        <v>140</v>
      </c>
      <c r="D120" t="s">
        <v>120</v>
      </c>
      <c r="E120" t="s">
        <v>14</v>
      </c>
      <c r="F120">
        <v>0.57799999999999996</v>
      </c>
      <c r="G120" t="s">
        <v>15</v>
      </c>
    </row>
    <row r="121" spans="1:7" x14ac:dyDescent="0.25">
      <c r="A121">
        <v>8</v>
      </c>
      <c r="B121" t="s">
        <v>143</v>
      </c>
      <c r="C121">
        <v>150</v>
      </c>
      <c r="D121" t="s">
        <v>259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146</v>
      </c>
      <c r="C122">
        <v>10</v>
      </c>
      <c r="D122" t="s">
        <v>260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146</v>
      </c>
      <c r="C123">
        <v>20</v>
      </c>
      <c r="D123" t="s">
        <v>242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146</v>
      </c>
      <c r="C124">
        <v>30</v>
      </c>
      <c r="D124" t="s">
        <v>147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146</v>
      </c>
      <c r="C125">
        <v>40</v>
      </c>
      <c r="D125" t="s">
        <v>148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146</v>
      </c>
      <c r="C126">
        <v>50</v>
      </c>
      <c r="D126" t="s">
        <v>118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146</v>
      </c>
      <c r="C127">
        <v>60</v>
      </c>
      <c r="D127" t="s">
        <v>109</v>
      </c>
      <c r="E127" t="s">
        <v>110</v>
      </c>
      <c r="F127">
        <v>0.313</v>
      </c>
      <c r="G127" t="s">
        <v>15</v>
      </c>
    </row>
    <row r="128" spans="1:7" x14ac:dyDescent="0.25">
      <c r="A128">
        <v>9</v>
      </c>
      <c r="B128" t="s">
        <v>146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146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146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146</v>
      </c>
      <c r="C131">
        <v>100</v>
      </c>
      <c r="D131" t="s">
        <v>124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146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146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146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146</v>
      </c>
      <c r="C135">
        <v>140</v>
      </c>
      <c r="D135" t="s">
        <v>120</v>
      </c>
      <c r="E135" t="s">
        <v>14</v>
      </c>
      <c r="F135">
        <v>0.308</v>
      </c>
      <c r="G135" t="s">
        <v>15</v>
      </c>
    </row>
    <row r="136" spans="1:7" x14ac:dyDescent="0.25">
      <c r="A136">
        <v>9</v>
      </c>
      <c r="B136" t="s">
        <v>146</v>
      </c>
      <c r="C136">
        <v>150</v>
      </c>
      <c r="D136" t="s">
        <v>261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149</v>
      </c>
      <c r="C137">
        <v>10</v>
      </c>
      <c r="D137" t="s">
        <v>262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149</v>
      </c>
      <c r="C138">
        <v>20</v>
      </c>
      <c r="D138" t="s">
        <v>242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149</v>
      </c>
      <c r="C139">
        <v>30</v>
      </c>
      <c r="D139" t="s">
        <v>150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149</v>
      </c>
      <c r="C140">
        <v>40</v>
      </c>
      <c r="D140" t="s">
        <v>151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149</v>
      </c>
      <c r="C141">
        <v>50</v>
      </c>
      <c r="D141" t="s">
        <v>118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149</v>
      </c>
      <c r="C142">
        <v>60</v>
      </c>
      <c r="D142" t="s">
        <v>109</v>
      </c>
      <c r="E142" t="s">
        <v>110</v>
      </c>
      <c r="F142">
        <v>0.377</v>
      </c>
      <c r="G142" t="s">
        <v>15</v>
      </c>
    </row>
    <row r="143" spans="1:7" x14ac:dyDescent="0.25">
      <c r="A143">
        <v>10</v>
      </c>
      <c r="B143" t="s">
        <v>149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149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149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149</v>
      </c>
      <c r="C146">
        <v>100</v>
      </c>
      <c r="D146" t="s">
        <v>124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149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149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149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149</v>
      </c>
      <c r="C150">
        <v>140</v>
      </c>
      <c r="D150" t="s">
        <v>120</v>
      </c>
      <c r="E150" t="s">
        <v>14</v>
      </c>
      <c r="F150">
        <v>0.35299999999999998</v>
      </c>
      <c r="G150" t="s">
        <v>15</v>
      </c>
    </row>
    <row r="151" spans="1:7" x14ac:dyDescent="0.25">
      <c r="A151">
        <v>10</v>
      </c>
      <c r="B151" t="s">
        <v>149</v>
      </c>
      <c r="C151">
        <v>150</v>
      </c>
      <c r="D151" t="s">
        <v>263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152</v>
      </c>
      <c r="C152">
        <v>10</v>
      </c>
      <c r="D152" t="s">
        <v>264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152</v>
      </c>
      <c r="C153">
        <v>20</v>
      </c>
      <c r="D153" t="s">
        <v>242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152</v>
      </c>
      <c r="C154">
        <v>30</v>
      </c>
      <c r="D154" t="s">
        <v>153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152</v>
      </c>
      <c r="C155">
        <v>40</v>
      </c>
      <c r="D155" t="s">
        <v>154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152</v>
      </c>
      <c r="C156">
        <v>50</v>
      </c>
      <c r="D156" t="s">
        <v>118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152</v>
      </c>
      <c r="C157">
        <v>60</v>
      </c>
      <c r="D157" t="s">
        <v>109</v>
      </c>
      <c r="E157" t="s">
        <v>110</v>
      </c>
      <c r="F157">
        <v>0.442</v>
      </c>
      <c r="G157" t="s">
        <v>15</v>
      </c>
    </row>
    <row r="158" spans="1:7" x14ac:dyDescent="0.25">
      <c r="A158">
        <v>11</v>
      </c>
      <c r="B158" t="s">
        <v>152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152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152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152</v>
      </c>
      <c r="C161">
        <v>100</v>
      </c>
      <c r="D161" t="s">
        <v>124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152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152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152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152</v>
      </c>
      <c r="C165">
        <v>140</v>
      </c>
      <c r="D165" t="s">
        <v>120</v>
      </c>
      <c r="E165" t="s">
        <v>14</v>
      </c>
      <c r="F165">
        <v>0.39800000000000002</v>
      </c>
      <c r="G165" t="s">
        <v>15</v>
      </c>
    </row>
    <row r="166" spans="1:7" x14ac:dyDescent="0.25">
      <c r="A166">
        <v>11</v>
      </c>
      <c r="B166" t="s">
        <v>152</v>
      </c>
      <c r="C166">
        <v>150</v>
      </c>
      <c r="D166" t="s">
        <v>265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155</v>
      </c>
      <c r="C167">
        <v>10</v>
      </c>
      <c r="D167" t="s">
        <v>266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155</v>
      </c>
      <c r="C168">
        <v>20</v>
      </c>
      <c r="D168" t="s">
        <v>242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155</v>
      </c>
      <c r="C169">
        <v>30</v>
      </c>
      <c r="D169" t="s">
        <v>156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155</v>
      </c>
      <c r="C170">
        <v>40</v>
      </c>
      <c r="D170" t="s">
        <v>157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155</v>
      </c>
      <c r="C171">
        <v>50</v>
      </c>
      <c r="D171" t="s">
        <v>118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155</v>
      </c>
      <c r="C172">
        <v>60</v>
      </c>
      <c r="D172" t="s">
        <v>109</v>
      </c>
      <c r="E172" t="s">
        <v>110</v>
      </c>
      <c r="F172">
        <v>0.50700000000000001</v>
      </c>
      <c r="G172" t="s">
        <v>15</v>
      </c>
    </row>
    <row r="173" spans="1:7" x14ac:dyDescent="0.25">
      <c r="A173">
        <v>12</v>
      </c>
      <c r="B173" t="s">
        <v>155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155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155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155</v>
      </c>
      <c r="C176">
        <v>100</v>
      </c>
      <c r="D176" t="s">
        <v>124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155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155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155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155</v>
      </c>
      <c r="C180">
        <v>140</v>
      </c>
      <c r="D180" t="s">
        <v>120</v>
      </c>
      <c r="E180" t="s">
        <v>14</v>
      </c>
      <c r="F180">
        <v>0.443</v>
      </c>
      <c r="G180" t="s">
        <v>15</v>
      </c>
    </row>
    <row r="181" spans="1:7" x14ac:dyDescent="0.25">
      <c r="A181">
        <v>12</v>
      </c>
      <c r="B181" t="s">
        <v>155</v>
      </c>
      <c r="C181">
        <v>150</v>
      </c>
      <c r="D181" t="s">
        <v>267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158</v>
      </c>
      <c r="C182">
        <v>10</v>
      </c>
      <c r="D182" t="s">
        <v>268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158</v>
      </c>
      <c r="C183">
        <v>20</v>
      </c>
      <c r="D183" t="s">
        <v>242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158</v>
      </c>
      <c r="C184">
        <v>30</v>
      </c>
      <c r="D184" t="s">
        <v>159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158</v>
      </c>
      <c r="C185">
        <v>40</v>
      </c>
      <c r="D185" t="s">
        <v>160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158</v>
      </c>
      <c r="C186">
        <v>50</v>
      </c>
      <c r="D186" t="s">
        <v>118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158</v>
      </c>
      <c r="C187">
        <v>60</v>
      </c>
      <c r="D187" t="s">
        <v>109</v>
      </c>
      <c r="E187" t="s">
        <v>110</v>
      </c>
      <c r="F187">
        <v>0.53900000000000003</v>
      </c>
      <c r="G187" t="s">
        <v>15</v>
      </c>
    </row>
    <row r="188" spans="1:7" x14ac:dyDescent="0.25">
      <c r="A188">
        <v>13</v>
      </c>
      <c r="B188" t="s">
        <v>158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158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158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158</v>
      </c>
      <c r="C191">
        <v>100</v>
      </c>
      <c r="D191" t="s">
        <v>124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158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158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158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158</v>
      </c>
      <c r="C195">
        <v>140</v>
      </c>
      <c r="D195" t="s">
        <v>120</v>
      </c>
      <c r="E195" t="s">
        <v>14</v>
      </c>
      <c r="F195">
        <v>0.46500000000000002</v>
      </c>
      <c r="G195" t="s">
        <v>15</v>
      </c>
    </row>
    <row r="196" spans="1:7" x14ac:dyDescent="0.25">
      <c r="A196">
        <v>13</v>
      </c>
      <c r="B196" t="s">
        <v>158</v>
      </c>
      <c r="C196">
        <v>150</v>
      </c>
      <c r="D196" t="s">
        <v>269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161</v>
      </c>
      <c r="C197">
        <v>10</v>
      </c>
      <c r="D197" t="s">
        <v>270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161</v>
      </c>
      <c r="C198">
        <v>20</v>
      </c>
      <c r="D198" t="s">
        <v>242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161</v>
      </c>
      <c r="C199">
        <v>30</v>
      </c>
      <c r="D199" t="s">
        <v>162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161</v>
      </c>
      <c r="C200">
        <v>40</v>
      </c>
      <c r="D200" t="s">
        <v>163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161</v>
      </c>
      <c r="C201">
        <v>50</v>
      </c>
      <c r="D201" t="s">
        <v>118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161</v>
      </c>
      <c r="C202">
        <v>60</v>
      </c>
      <c r="D202" t="s">
        <v>109</v>
      </c>
      <c r="E202" t="s">
        <v>110</v>
      </c>
      <c r="F202">
        <v>0.57199999999999995</v>
      </c>
      <c r="G202" t="s">
        <v>15</v>
      </c>
    </row>
    <row r="203" spans="1:7" x14ac:dyDescent="0.25">
      <c r="A203">
        <v>14</v>
      </c>
      <c r="B203" t="s">
        <v>161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161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161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161</v>
      </c>
      <c r="C206">
        <v>100</v>
      </c>
      <c r="D206" t="s">
        <v>124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161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161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161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161</v>
      </c>
      <c r="C210">
        <v>140</v>
      </c>
      <c r="D210" t="s">
        <v>120</v>
      </c>
      <c r="E210" t="s">
        <v>14</v>
      </c>
      <c r="F210">
        <v>0.48799999999999999</v>
      </c>
      <c r="G210" t="s">
        <v>15</v>
      </c>
    </row>
    <row r="211" spans="1:7" x14ac:dyDescent="0.25">
      <c r="A211">
        <v>14</v>
      </c>
      <c r="B211" t="s">
        <v>161</v>
      </c>
      <c r="C211">
        <v>150</v>
      </c>
      <c r="D211" t="s">
        <v>271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164</v>
      </c>
      <c r="C212">
        <v>10</v>
      </c>
      <c r="D212" t="s">
        <v>272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164</v>
      </c>
      <c r="C213">
        <v>20</v>
      </c>
      <c r="D213" t="s">
        <v>242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164</v>
      </c>
      <c r="C214">
        <v>30</v>
      </c>
      <c r="D214" t="s">
        <v>165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164</v>
      </c>
      <c r="C215">
        <v>40</v>
      </c>
      <c r="D215" t="s">
        <v>166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164</v>
      </c>
      <c r="C216">
        <v>50</v>
      </c>
      <c r="D216" t="s">
        <v>118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164</v>
      </c>
      <c r="C217">
        <v>60</v>
      </c>
      <c r="D217" t="s">
        <v>109</v>
      </c>
      <c r="E217" t="s">
        <v>110</v>
      </c>
      <c r="F217">
        <v>0.63600000000000001</v>
      </c>
      <c r="G217" t="s">
        <v>15</v>
      </c>
    </row>
    <row r="218" spans="1:7" x14ac:dyDescent="0.25">
      <c r="A218">
        <v>15</v>
      </c>
      <c r="B218" t="s">
        <v>164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164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164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164</v>
      </c>
      <c r="C221">
        <v>100</v>
      </c>
      <c r="D221" t="s">
        <v>124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164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164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164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164</v>
      </c>
      <c r="C225">
        <v>140</v>
      </c>
      <c r="D225" t="s">
        <v>120</v>
      </c>
      <c r="E225" t="s">
        <v>14</v>
      </c>
      <c r="F225">
        <v>0.53300000000000003</v>
      </c>
      <c r="G225" t="s">
        <v>15</v>
      </c>
    </row>
    <row r="226" spans="1:7" x14ac:dyDescent="0.25">
      <c r="A226">
        <v>15</v>
      </c>
      <c r="B226" t="s">
        <v>164</v>
      </c>
      <c r="C226">
        <v>150</v>
      </c>
      <c r="D226" t="s">
        <v>273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167</v>
      </c>
      <c r="C227">
        <v>10</v>
      </c>
      <c r="D227" t="s">
        <v>274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167</v>
      </c>
      <c r="C228">
        <v>20</v>
      </c>
      <c r="D228" t="s">
        <v>242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167</v>
      </c>
      <c r="C229">
        <v>30</v>
      </c>
      <c r="D229" t="s">
        <v>168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167</v>
      </c>
      <c r="C230">
        <v>40</v>
      </c>
      <c r="D230" t="s">
        <v>169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167</v>
      </c>
      <c r="C231">
        <v>50</v>
      </c>
      <c r="D231" t="s">
        <v>118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167</v>
      </c>
      <c r="C232">
        <v>60</v>
      </c>
      <c r="D232" t="s">
        <v>109</v>
      </c>
      <c r="E232" t="s">
        <v>110</v>
      </c>
      <c r="F232">
        <v>0.70099999999999996</v>
      </c>
      <c r="G232" t="s">
        <v>15</v>
      </c>
    </row>
    <row r="233" spans="1:7" x14ac:dyDescent="0.25">
      <c r="A233">
        <v>16</v>
      </c>
      <c r="B233" t="s">
        <v>167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167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167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167</v>
      </c>
      <c r="C236">
        <v>100</v>
      </c>
      <c r="D236" t="s">
        <v>124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167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167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167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167</v>
      </c>
      <c r="C240">
        <v>140</v>
      </c>
      <c r="D240" t="s">
        <v>120</v>
      </c>
      <c r="E240" t="s">
        <v>14</v>
      </c>
      <c r="F240">
        <v>0.57799999999999996</v>
      </c>
      <c r="G240" t="s">
        <v>15</v>
      </c>
    </row>
    <row r="241" spans="1:7" x14ac:dyDescent="0.25">
      <c r="A241">
        <v>16</v>
      </c>
      <c r="B241" t="s">
        <v>167</v>
      </c>
      <c r="C241">
        <v>150</v>
      </c>
      <c r="D241" t="s">
        <v>275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170</v>
      </c>
      <c r="C242">
        <v>10</v>
      </c>
      <c r="D242" t="s">
        <v>276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170</v>
      </c>
      <c r="C243">
        <v>20</v>
      </c>
      <c r="D243" t="s">
        <v>242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170</v>
      </c>
      <c r="C244">
        <v>30</v>
      </c>
      <c r="D244" t="s">
        <v>171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170</v>
      </c>
      <c r="C245">
        <v>40</v>
      </c>
      <c r="D245" t="s">
        <v>172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170</v>
      </c>
      <c r="C246">
        <v>50</v>
      </c>
      <c r="D246" t="s">
        <v>118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170</v>
      </c>
      <c r="C247">
        <v>60</v>
      </c>
      <c r="D247" t="s">
        <v>109</v>
      </c>
      <c r="E247" t="s">
        <v>110</v>
      </c>
      <c r="F247">
        <v>0.32600000000000001</v>
      </c>
      <c r="G247" t="s">
        <v>15</v>
      </c>
    </row>
    <row r="248" spans="1:7" x14ac:dyDescent="0.25">
      <c r="A248">
        <v>17</v>
      </c>
      <c r="B248" t="s">
        <v>170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170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170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170</v>
      </c>
      <c r="C251">
        <v>100</v>
      </c>
      <c r="D251" t="s">
        <v>124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170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170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170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170</v>
      </c>
      <c r="C255">
        <v>140</v>
      </c>
      <c r="D255" t="s">
        <v>120</v>
      </c>
      <c r="E255" t="s">
        <v>14</v>
      </c>
      <c r="F255">
        <v>0.308</v>
      </c>
      <c r="G255" t="s">
        <v>15</v>
      </c>
    </row>
    <row r="256" spans="1:7" x14ac:dyDescent="0.25">
      <c r="A256">
        <v>17</v>
      </c>
      <c r="B256" t="s">
        <v>170</v>
      </c>
      <c r="C256">
        <v>150</v>
      </c>
      <c r="D256" t="s">
        <v>277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173</v>
      </c>
      <c r="C257">
        <v>10</v>
      </c>
      <c r="D257" t="s">
        <v>278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173</v>
      </c>
      <c r="C258">
        <v>20</v>
      </c>
      <c r="D258" t="s">
        <v>242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173</v>
      </c>
      <c r="C259">
        <v>30</v>
      </c>
      <c r="D259" t="s">
        <v>174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173</v>
      </c>
      <c r="C260">
        <v>40</v>
      </c>
      <c r="D260" t="s">
        <v>175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173</v>
      </c>
      <c r="C261">
        <v>50</v>
      </c>
      <c r="D261" t="s">
        <v>118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173</v>
      </c>
      <c r="C262">
        <v>60</v>
      </c>
      <c r="D262" t="s">
        <v>109</v>
      </c>
      <c r="E262" t="s">
        <v>110</v>
      </c>
      <c r="F262">
        <v>0.39300000000000002</v>
      </c>
      <c r="G262" t="s">
        <v>15</v>
      </c>
    </row>
    <row r="263" spans="1:7" x14ac:dyDescent="0.25">
      <c r="A263">
        <v>18</v>
      </c>
      <c r="B263" t="s">
        <v>173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173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173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173</v>
      </c>
      <c r="C266">
        <v>100</v>
      </c>
      <c r="D266" t="s">
        <v>124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173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173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173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173</v>
      </c>
      <c r="C270">
        <v>140</v>
      </c>
      <c r="D270" t="s">
        <v>120</v>
      </c>
      <c r="E270" t="s">
        <v>14</v>
      </c>
      <c r="F270">
        <v>0.35299999999999998</v>
      </c>
      <c r="G270" t="s">
        <v>15</v>
      </c>
    </row>
    <row r="271" spans="1:7" x14ac:dyDescent="0.25">
      <c r="A271">
        <v>18</v>
      </c>
      <c r="B271" t="s">
        <v>173</v>
      </c>
      <c r="C271">
        <v>150</v>
      </c>
      <c r="D271" t="s">
        <v>279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176</v>
      </c>
      <c r="C272">
        <v>10</v>
      </c>
      <c r="D272" t="s">
        <v>280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176</v>
      </c>
      <c r="C273">
        <v>20</v>
      </c>
      <c r="D273" t="s">
        <v>242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176</v>
      </c>
      <c r="C274">
        <v>30</v>
      </c>
      <c r="D274" t="s">
        <v>177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176</v>
      </c>
      <c r="C275">
        <v>40</v>
      </c>
      <c r="D275" t="s">
        <v>178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176</v>
      </c>
      <c r="C276">
        <v>50</v>
      </c>
      <c r="D276" t="s">
        <v>118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176</v>
      </c>
      <c r="C277">
        <v>60</v>
      </c>
      <c r="D277" t="s">
        <v>109</v>
      </c>
      <c r="E277" t="s">
        <v>110</v>
      </c>
      <c r="F277">
        <v>0.46100000000000002</v>
      </c>
      <c r="G277" t="s">
        <v>15</v>
      </c>
    </row>
    <row r="278" spans="1:7" x14ac:dyDescent="0.25">
      <c r="A278">
        <v>19</v>
      </c>
      <c r="B278" t="s">
        <v>176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176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176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176</v>
      </c>
      <c r="C281">
        <v>100</v>
      </c>
      <c r="D281" t="s">
        <v>124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176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176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176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176</v>
      </c>
      <c r="C285">
        <v>140</v>
      </c>
      <c r="D285" t="s">
        <v>120</v>
      </c>
      <c r="E285" t="s">
        <v>14</v>
      </c>
      <c r="F285">
        <v>0.39800000000000002</v>
      </c>
      <c r="G285" t="s">
        <v>15</v>
      </c>
    </row>
    <row r="286" spans="1:7" x14ac:dyDescent="0.25">
      <c r="A286">
        <v>19</v>
      </c>
      <c r="B286" t="s">
        <v>176</v>
      </c>
      <c r="C286">
        <v>150</v>
      </c>
      <c r="D286" t="s">
        <v>281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179</v>
      </c>
      <c r="C287">
        <v>10</v>
      </c>
      <c r="D287" t="s">
        <v>282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179</v>
      </c>
      <c r="C288">
        <v>20</v>
      </c>
      <c r="D288" t="s">
        <v>242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179</v>
      </c>
      <c r="C289">
        <v>30</v>
      </c>
      <c r="D289" t="s">
        <v>180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179</v>
      </c>
      <c r="C290">
        <v>40</v>
      </c>
      <c r="D290" t="s">
        <v>181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179</v>
      </c>
      <c r="C291">
        <v>50</v>
      </c>
      <c r="D291" t="s">
        <v>118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179</v>
      </c>
      <c r="C292">
        <v>60</v>
      </c>
      <c r="D292" t="s">
        <v>109</v>
      </c>
      <c r="E292" t="s">
        <v>110</v>
      </c>
      <c r="F292">
        <v>0.52800000000000002</v>
      </c>
      <c r="G292" t="s">
        <v>15</v>
      </c>
    </row>
    <row r="293" spans="1:7" x14ac:dyDescent="0.25">
      <c r="A293">
        <v>20</v>
      </c>
      <c r="B293" t="s">
        <v>179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179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179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179</v>
      </c>
      <c r="C296">
        <v>100</v>
      </c>
      <c r="D296" t="s">
        <v>124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179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179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179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179</v>
      </c>
      <c r="C300">
        <v>140</v>
      </c>
      <c r="D300" t="s">
        <v>120</v>
      </c>
      <c r="E300" t="s">
        <v>14</v>
      </c>
      <c r="F300">
        <v>0.443</v>
      </c>
      <c r="G300" t="s">
        <v>15</v>
      </c>
    </row>
    <row r="301" spans="1:7" x14ac:dyDescent="0.25">
      <c r="A301">
        <v>20</v>
      </c>
      <c r="B301" t="s">
        <v>179</v>
      </c>
      <c r="C301">
        <v>150</v>
      </c>
      <c r="D301" t="s">
        <v>283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182</v>
      </c>
      <c r="C302">
        <v>10</v>
      </c>
      <c r="D302" t="s">
        <v>284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182</v>
      </c>
      <c r="C303">
        <v>20</v>
      </c>
      <c r="D303" t="s">
        <v>242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182</v>
      </c>
      <c r="C304">
        <v>30</v>
      </c>
      <c r="D304" t="s">
        <v>183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182</v>
      </c>
      <c r="C305">
        <v>40</v>
      </c>
      <c r="D305" t="s">
        <v>184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182</v>
      </c>
      <c r="C306">
        <v>50</v>
      </c>
      <c r="D306" t="s">
        <v>118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182</v>
      </c>
      <c r="C307">
        <v>60</v>
      </c>
      <c r="D307" t="s">
        <v>109</v>
      </c>
      <c r="E307" t="s">
        <v>110</v>
      </c>
      <c r="F307">
        <v>0.56200000000000006</v>
      </c>
      <c r="G307" t="s">
        <v>15</v>
      </c>
    </row>
    <row r="308" spans="1:7" x14ac:dyDescent="0.25">
      <c r="A308">
        <v>21</v>
      </c>
      <c r="B308" t="s">
        <v>182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182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182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182</v>
      </c>
      <c r="C311">
        <v>100</v>
      </c>
      <c r="D311" t="s">
        <v>124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182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182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182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182</v>
      </c>
      <c r="C315">
        <v>140</v>
      </c>
      <c r="D315" t="s">
        <v>120</v>
      </c>
      <c r="E315" t="s">
        <v>14</v>
      </c>
      <c r="F315">
        <v>0.46500000000000002</v>
      </c>
      <c r="G315" t="s">
        <v>15</v>
      </c>
    </row>
    <row r="316" spans="1:7" x14ac:dyDescent="0.25">
      <c r="A316">
        <v>21</v>
      </c>
      <c r="B316" t="s">
        <v>182</v>
      </c>
      <c r="C316">
        <v>150</v>
      </c>
      <c r="D316" t="s">
        <v>285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185</v>
      </c>
      <c r="C317">
        <v>10</v>
      </c>
      <c r="D317" t="s">
        <v>286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185</v>
      </c>
      <c r="C318">
        <v>20</v>
      </c>
      <c r="D318" t="s">
        <v>242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185</v>
      </c>
      <c r="C319">
        <v>30</v>
      </c>
      <c r="D319" t="s">
        <v>186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185</v>
      </c>
      <c r="C320">
        <v>40</v>
      </c>
      <c r="D320" t="s">
        <v>187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185</v>
      </c>
      <c r="C321">
        <v>50</v>
      </c>
      <c r="D321" t="s">
        <v>118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185</v>
      </c>
      <c r="C322">
        <v>60</v>
      </c>
      <c r="D322" t="s">
        <v>109</v>
      </c>
      <c r="E322" t="s">
        <v>110</v>
      </c>
      <c r="F322">
        <v>0.59599999999999997</v>
      </c>
      <c r="G322" t="s">
        <v>15</v>
      </c>
    </row>
    <row r="323" spans="1:7" x14ac:dyDescent="0.25">
      <c r="A323">
        <v>22</v>
      </c>
      <c r="B323" t="s">
        <v>185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185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185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185</v>
      </c>
      <c r="C326">
        <v>100</v>
      </c>
      <c r="D326" t="s">
        <v>124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185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185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185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185</v>
      </c>
      <c r="C330">
        <v>140</v>
      </c>
      <c r="D330" t="s">
        <v>120</v>
      </c>
      <c r="E330" t="s">
        <v>14</v>
      </c>
      <c r="F330">
        <v>0.48799999999999999</v>
      </c>
      <c r="G330" t="s">
        <v>15</v>
      </c>
    </row>
    <row r="331" spans="1:7" x14ac:dyDescent="0.25">
      <c r="A331">
        <v>22</v>
      </c>
      <c r="B331" t="s">
        <v>185</v>
      </c>
      <c r="C331">
        <v>150</v>
      </c>
      <c r="D331" t="s">
        <v>287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188</v>
      </c>
      <c r="C332">
        <v>10</v>
      </c>
      <c r="D332" t="s">
        <v>288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188</v>
      </c>
      <c r="C333">
        <v>20</v>
      </c>
      <c r="D333" t="s">
        <v>242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188</v>
      </c>
      <c r="C334">
        <v>30</v>
      </c>
      <c r="D334" t="s">
        <v>189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188</v>
      </c>
      <c r="C335">
        <v>40</v>
      </c>
      <c r="D335" t="s">
        <v>190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188</v>
      </c>
      <c r="C336">
        <v>50</v>
      </c>
      <c r="D336" t="s">
        <v>118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188</v>
      </c>
      <c r="C337">
        <v>60</v>
      </c>
      <c r="D337" t="s">
        <v>109</v>
      </c>
      <c r="E337" t="s">
        <v>110</v>
      </c>
      <c r="F337">
        <v>0.66300000000000003</v>
      </c>
      <c r="G337" t="s">
        <v>15</v>
      </c>
    </row>
    <row r="338" spans="1:7" x14ac:dyDescent="0.25">
      <c r="A338">
        <v>23</v>
      </c>
      <c r="B338" t="s">
        <v>188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188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188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188</v>
      </c>
      <c r="C341">
        <v>100</v>
      </c>
      <c r="D341" t="s">
        <v>124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188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188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188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188</v>
      </c>
      <c r="C345">
        <v>140</v>
      </c>
      <c r="D345" t="s">
        <v>120</v>
      </c>
      <c r="E345" t="s">
        <v>14</v>
      </c>
      <c r="F345">
        <v>0.53300000000000003</v>
      </c>
      <c r="G345" t="s">
        <v>15</v>
      </c>
    </row>
    <row r="346" spans="1:7" x14ac:dyDescent="0.25">
      <c r="A346">
        <v>23</v>
      </c>
      <c r="B346" t="s">
        <v>188</v>
      </c>
      <c r="C346">
        <v>150</v>
      </c>
      <c r="D346" t="s">
        <v>289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191</v>
      </c>
      <c r="C347">
        <v>10</v>
      </c>
      <c r="D347" t="s">
        <v>290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191</v>
      </c>
      <c r="C348">
        <v>20</v>
      </c>
      <c r="D348" t="s">
        <v>242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191</v>
      </c>
      <c r="C349">
        <v>30</v>
      </c>
      <c r="D349" t="s">
        <v>192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191</v>
      </c>
      <c r="C350">
        <v>40</v>
      </c>
      <c r="D350" t="s">
        <v>193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191</v>
      </c>
      <c r="C351">
        <v>50</v>
      </c>
      <c r="D351" t="s">
        <v>118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191</v>
      </c>
      <c r="C352">
        <v>60</v>
      </c>
      <c r="D352" t="s">
        <v>109</v>
      </c>
      <c r="E352" t="s">
        <v>110</v>
      </c>
      <c r="F352">
        <v>0.73099999999999998</v>
      </c>
      <c r="G352" t="s">
        <v>15</v>
      </c>
    </row>
    <row r="353" spans="1:7" x14ac:dyDescent="0.25">
      <c r="A353">
        <v>24</v>
      </c>
      <c r="B353" t="s">
        <v>191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191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191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191</v>
      </c>
      <c r="C356">
        <v>100</v>
      </c>
      <c r="D356" t="s">
        <v>124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191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191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191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191</v>
      </c>
      <c r="C360">
        <v>140</v>
      </c>
      <c r="D360" t="s">
        <v>120</v>
      </c>
      <c r="E360" t="s">
        <v>14</v>
      </c>
      <c r="F360">
        <v>0.57799999999999996</v>
      </c>
      <c r="G360" t="s">
        <v>15</v>
      </c>
    </row>
    <row r="361" spans="1:7" x14ac:dyDescent="0.25">
      <c r="A361">
        <v>24</v>
      </c>
      <c r="B361" t="s">
        <v>191</v>
      </c>
      <c r="C361">
        <v>150</v>
      </c>
      <c r="D361" t="s">
        <v>291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194</v>
      </c>
      <c r="C362">
        <v>10</v>
      </c>
      <c r="D362" t="s">
        <v>292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194</v>
      </c>
      <c r="C363">
        <v>20</v>
      </c>
      <c r="D363" t="s">
        <v>242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194</v>
      </c>
      <c r="C364">
        <v>30</v>
      </c>
      <c r="D364" t="s">
        <v>195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194</v>
      </c>
      <c r="C365">
        <v>40</v>
      </c>
      <c r="D365" t="s">
        <v>196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194</v>
      </c>
      <c r="C366">
        <v>50</v>
      </c>
      <c r="D366" t="s">
        <v>118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194</v>
      </c>
      <c r="C367">
        <v>60</v>
      </c>
      <c r="D367" t="s">
        <v>109</v>
      </c>
      <c r="E367" t="s">
        <v>110</v>
      </c>
      <c r="F367">
        <v>0.33500000000000002</v>
      </c>
      <c r="G367" t="s">
        <v>15</v>
      </c>
    </row>
    <row r="368" spans="1:7" x14ac:dyDescent="0.25">
      <c r="A368">
        <v>25</v>
      </c>
      <c r="B368" t="s">
        <v>194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194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194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194</v>
      </c>
      <c r="C371">
        <v>100</v>
      </c>
      <c r="D371" t="s">
        <v>124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194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194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194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194</v>
      </c>
      <c r="C375">
        <v>140</v>
      </c>
      <c r="D375" t="s">
        <v>120</v>
      </c>
      <c r="E375" t="s">
        <v>14</v>
      </c>
      <c r="F375">
        <v>0.66100000000000003</v>
      </c>
      <c r="G375" t="s">
        <v>15</v>
      </c>
    </row>
    <row r="376" spans="1:7" x14ac:dyDescent="0.25">
      <c r="A376">
        <v>25</v>
      </c>
      <c r="B376" t="s">
        <v>194</v>
      </c>
      <c r="C376">
        <v>150</v>
      </c>
      <c r="D376" t="s">
        <v>293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197</v>
      </c>
      <c r="C377">
        <v>10</v>
      </c>
      <c r="D377" t="s">
        <v>294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197</v>
      </c>
      <c r="C378">
        <v>20</v>
      </c>
      <c r="D378" t="s">
        <v>242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197</v>
      </c>
      <c r="C379">
        <v>30</v>
      </c>
      <c r="D379" t="s">
        <v>198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197</v>
      </c>
      <c r="C380">
        <v>40</v>
      </c>
      <c r="D380" t="s">
        <v>199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197</v>
      </c>
      <c r="C381">
        <v>50</v>
      </c>
      <c r="D381" t="s">
        <v>118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197</v>
      </c>
      <c r="C382">
        <v>60</v>
      </c>
      <c r="D382" t="s">
        <v>109</v>
      </c>
      <c r="E382" t="s">
        <v>110</v>
      </c>
      <c r="F382">
        <v>0.40400000000000003</v>
      </c>
      <c r="G382" t="s">
        <v>15</v>
      </c>
    </row>
    <row r="383" spans="1:7" x14ac:dyDescent="0.25">
      <c r="A383">
        <v>26</v>
      </c>
      <c r="B383" t="s">
        <v>197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197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197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197</v>
      </c>
      <c r="C386">
        <v>100</v>
      </c>
      <c r="D386" t="s">
        <v>124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197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197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197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197</v>
      </c>
      <c r="C390">
        <v>140</v>
      </c>
      <c r="D390" t="s">
        <v>120</v>
      </c>
      <c r="E390" t="s">
        <v>14</v>
      </c>
      <c r="F390">
        <v>0.66100000000000003</v>
      </c>
      <c r="G390" t="s">
        <v>15</v>
      </c>
    </row>
    <row r="391" spans="1:7" x14ac:dyDescent="0.25">
      <c r="A391">
        <v>26</v>
      </c>
      <c r="B391" t="s">
        <v>197</v>
      </c>
      <c r="C391">
        <v>150</v>
      </c>
      <c r="D391" t="s">
        <v>295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200</v>
      </c>
      <c r="C392">
        <v>10</v>
      </c>
      <c r="D392" t="s">
        <v>296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200</v>
      </c>
      <c r="C393">
        <v>20</v>
      </c>
      <c r="D393" t="s">
        <v>242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200</v>
      </c>
      <c r="C394">
        <v>30</v>
      </c>
      <c r="D394" t="s">
        <v>201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200</v>
      </c>
      <c r="C395">
        <v>40</v>
      </c>
      <c r="D395" t="s">
        <v>202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200</v>
      </c>
      <c r="C396">
        <v>50</v>
      </c>
      <c r="D396" t="s">
        <v>118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200</v>
      </c>
      <c r="C397">
        <v>60</v>
      </c>
      <c r="D397" t="s">
        <v>109</v>
      </c>
      <c r="E397" t="s">
        <v>110</v>
      </c>
      <c r="F397">
        <v>0.47299999999999998</v>
      </c>
      <c r="G397" t="s">
        <v>15</v>
      </c>
    </row>
    <row r="398" spans="1:7" x14ac:dyDescent="0.25">
      <c r="A398">
        <v>27</v>
      </c>
      <c r="B398" t="s">
        <v>200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200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200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200</v>
      </c>
      <c r="C401">
        <v>100</v>
      </c>
      <c r="D401" t="s">
        <v>124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200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200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200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200</v>
      </c>
      <c r="C405">
        <v>140</v>
      </c>
      <c r="D405" t="s">
        <v>120</v>
      </c>
      <c r="E405" t="s">
        <v>14</v>
      </c>
      <c r="F405">
        <v>0.66100000000000003</v>
      </c>
      <c r="G405" t="s">
        <v>15</v>
      </c>
    </row>
    <row r="406" spans="1:7" x14ac:dyDescent="0.25">
      <c r="A406">
        <v>27</v>
      </c>
      <c r="B406" t="s">
        <v>200</v>
      </c>
      <c r="C406">
        <v>150</v>
      </c>
      <c r="D406" t="s">
        <v>297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203</v>
      </c>
      <c r="C407">
        <v>10</v>
      </c>
      <c r="D407" t="s">
        <v>298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203</v>
      </c>
      <c r="C408">
        <v>20</v>
      </c>
      <c r="D408" t="s">
        <v>242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203</v>
      </c>
      <c r="C409">
        <v>30</v>
      </c>
      <c r="D409" t="s">
        <v>204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203</v>
      </c>
      <c r="C410">
        <v>40</v>
      </c>
      <c r="D410" t="s">
        <v>205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203</v>
      </c>
      <c r="C411">
        <v>50</v>
      </c>
      <c r="D411" t="s">
        <v>118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203</v>
      </c>
      <c r="C412">
        <v>60</v>
      </c>
      <c r="D412" t="s">
        <v>109</v>
      </c>
      <c r="E412" t="s">
        <v>110</v>
      </c>
      <c r="F412">
        <v>0.54200000000000004</v>
      </c>
      <c r="G412" t="s">
        <v>15</v>
      </c>
    </row>
    <row r="413" spans="1:7" x14ac:dyDescent="0.25">
      <c r="A413">
        <v>28</v>
      </c>
      <c r="B413" t="s">
        <v>203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203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203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203</v>
      </c>
      <c r="C416">
        <v>100</v>
      </c>
      <c r="D416" t="s">
        <v>124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203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203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203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203</v>
      </c>
      <c r="C420">
        <v>140</v>
      </c>
      <c r="D420" t="s">
        <v>120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28</v>
      </c>
      <c r="B421" t="s">
        <v>203</v>
      </c>
      <c r="C421">
        <v>150</v>
      </c>
      <c r="D421" t="s">
        <v>299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206</v>
      </c>
      <c r="C422">
        <v>10</v>
      </c>
      <c r="D422" t="s">
        <v>300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206</v>
      </c>
      <c r="C423">
        <v>20</v>
      </c>
      <c r="D423" t="s">
        <v>242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206</v>
      </c>
      <c r="C424">
        <v>30</v>
      </c>
      <c r="D424" t="s">
        <v>207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206</v>
      </c>
      <c r="C425">
        <v>40</v>
      </c>
      <c r="D425" t="s">
        <v>208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206</v>
      </c>
      <c r="C426">
        <v>50</v>
      </c>
      <c r="D426" t="s">
        <v>118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206</v>
      </c>
      <c r="C427">
        <v>60</v>
      </c>
      <c r="D427" t="s">
        <v>109</v>
      </c>
      <c r="E427" t="s">
        <v>110</v>
      </c>
      <c r="F427">
        <v>0.57699999999999996</v>
      </c>
      <c r="G427" t="s">
        <v>15</v>
      </c>
    </row>
    <row r="428" spans="1:7" x14ac:dyDescent="0.25">
      <c r="A428">
        <v>29</v>
      </c>
      <c r="B428" t="s">
        <v>206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206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206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206</v>
      </c>
      <c r="C431">
        <v>100</v>
      </c>
      <c r="D431" t="s">
        <v>124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206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206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206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206</v>
      </c>
      <c r="C435">
        <v>140</v>
      </c>
      <c r="D435" t="s">
        <v>120</v>
      </c>
      <c r="E435" t="s">
        <v>14</v>
      </c>
      <c r="F435">
        <v>0.66100000000000003</v>
      </c>
      <c r="G435" t="s">
        <v>15</v>
      </c>
    </row>
    <row r="436" spans="1:7" x14ac:dyDescent="0.25">
      <c r="A436">
        <v>29</v>
      </c>
      <c r="B436" t="s">
        <v>206</v>
      </c>
      <c r="C436">
        <v>150</v>
      </c>
      <c r="D436" t="s">
        <v>301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209</v>
      </c>
      <c r="C437">
        <v>10</v>
      </c>
      <c r="D437" t="s">
        <v>302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209</v>
      </c>
      <c r="C438">
        <v>20</v>
      </c>
      <c r="D438" t="s">
        <v>242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209</v>
      </c>
      <c r="C439">
        <v>30</v>
      </c>
      <c r="D439" t="s">
        <v>210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209</v>
      </c>
      <c r="C440">
        <v>40</v>
      </c>
      <c r="D440" t="s">
        <v>211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209</v>
      </c>
      <c r="C441">
        <v>50</v>
      </c>
      <c r="D441" t="s">
        <v>118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209</v>
      </c>
      <c r="C442">
        <v>60</v>
      </c>
      <c r="D442" t="s">
        <v>109</v>
      </c>
      <c r="E442" t="s">
        <v>110</v>
      </c>
      <c r="F442">
        <v>0.61199999999999999</v>
      </c>
      <c r="G442" t="s">
        <v>15</v>
      </c>
    </row>
    <row r="443" spans="1:7" x14ac:dyDescent="0.25">
      <c r="A443">
        <v>30</v>
      </c>
      <c r="B443" t="s">
        <v>209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209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209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209</v>
      </c>
      <c r="C446">
        <v>100</v>
      </c>
      <c r="D446" t="s">
        <v>124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209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209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209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209</v>
      </c>
      <c r="C450">
        <v>140</v>
      </c>
      <c r="D450" t="s">
        <v>120</v>
      </c>
      <c r="E450" t="s">
        <v>14</v>
      </c>
      <c r="F450">
        <v>0.66100000000000003</v>
      </c>
      <c r="G450" t="s">
        <v>15</v>
      </c>
    </row>
    <row r="451" spans="1:7" x14ac:dyDescent="0.25">
      <c r="A451">
        <v>30</v>
      </c>
      <c r="B451" t="s">
        <v>209</v>
      </c>
      <c r="C451">
        <v>150</v>
      </c>
      <c r="D451" t="s">
        <v>303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212</v>
      </c>
      <c r="C452">
        <v>10</v>
      </c>
      <c r="D452" t="s">
        <v>304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212</v>
      </c>
      <c r="C453">
        <v>20</v>
      </c>
      <c r="D453" t="s">
        <v>242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212</v>
      </c>
      <c r="C454">
        <v>30</v>
      </c>
      <c r="D454" t="s">
        <v>213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212</v>
      </c>
      <c r="C455">
        <v>40</v>
      </c>
      <c r="D455" t="s">
        <v>214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212</v>
      </c>
      <c r="C456">
        <v>50</v>
      </c>
      <c r="D456" t="s">
        <v>118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212</v>
      </c>
      <c r="C457">
        <v>60</v>
      </c>
      <c r="D457" t="s">
        <v>109</v>
      </c>
      <c r="E457" t="s">
        <v>110</v>
      </c>
      <c r="F457">
        <v>0.68100000000000005</v>
      </c>
      <c r="G457" t="s">
        <v>15</v>
      </c>
    </row>
    <row r="458" spans="1:7" x14ac:dyDescent="0.25">
      <c r="A458">
        <v>31</v>
      </c>
      <c r="B458" t="s">
        <v>212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212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212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212</v>
      </c>
      <c r="C461">
        <v>100</v>
      </c>
      <c r="D461" t="s">
        <v>124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212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212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212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212</v>
      </c>
      <c r="C465">
        <v>140</v>
      </c>
      <c r="D465" t="s">
        <v>120</v>
      </c>
      <c r="E465" t="s">
        <v>14</v>
      </c>
      <c r="F465">
        <v>0.66100000000000003</v>
      </c>
      <c r="G465" t="s">
        <v>15</v>
      </c>
    </row>
    <row r="466" spans="1:7" x14ac:dyDescent="0.25">
      <c r="A466">
        <v>31</v>
      </c>
      <c r="B466" t="s">
        <v>212</v>
      </c>
      <c r="C466">
        <v>150</v>
      </c>
      <c r="D466" t="s">
        <v>305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215</v>
      </c>
      <c r="C467">
        <v>10</v>
      </c>
      <c r="D467" t="s">
        <v>306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215</v>
      </c>
      <c r="C468">
        <v>20</v>
      </c>
      <c r="D468" t="s">
        <v>242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215</v>
      </c>
      <c r="C469">
        <v>30</v>
      </c>
      <c r="D469" t="s">
        <v>216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215</v>
      </c>
      <c r="C470">
        <v>40</v>
      </c>
      <c r="D470" t="s">
        <v>217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215</v>
      </c>
      <c r="C471">
        <v>50</v>
      </c>
      <c r="D471" t="s">
        <v>118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215</v>
      </c>
      <c r="C472">
        <v>60</v>
      </c>
      <c r="D472" t="s">
        <v>109</v>
      </c>
      <c r="E472" t="s">
        <v>110</v>
      </c>
      <c r="F472">
        <v>0.75</v>
      </c>
      <c r="G472" t="s">
        <v>15</v>
      </c>
    </row>
    <row r="473" spans="1:7" x14ac:dyDescent="0.25">
      <c r="A473">
        <v>32</v>
      </c>
      <c r="B473" t="s">
        <v>215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215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215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215</v>
      </c>
      <c r="C476">
        <v>100</v>
      </c>
      <c r="D476" t="s">
        <v>124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215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215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215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215</v>
      </c>
      <c r="C480">
        <v>140</v>
      </c>
      <c r="D480" t="s">
        <v>120</v>
      </c>
      <c r="E480" t="s">
        <v>14</v>
      </c>
      <c r="F480">
        <v>0.66100000000000003</v>
      </c>
      <c r="G480" t="s">
        <v>15</v>
      </c>
    </row>
    <row r="481" spans="1:7" x14ac:dyDescent="0.25">
      <c r="A481">
        <v>32</v>
      </c>
      <c r="B481" t="s">
        <v>215</v>
      </c>
      <c r="C481">
        <v>150</v>
      </c>
      <c r="D481" t="s">
        <v>307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218</v>
      </c>
      <c r="C482">
        <v>10</v>
      </c>
      <c r="D482" t="s">
        <v>308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218</v>
      </c>
      <c r="C483">
        <v>20</v>
      </c>
      <c r="D483" t="s">
        <v>242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218</v>
      </c>
      <c r="C484">
        <v>30</v>
      </c>
      <c r="D484" t="s">
        <v>219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218</v>
      </c>
      <c r="C485">
        <v>40</v>
      </c>
      <c r="D485" t="s">
        <v>220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218</v>
      </c>
      <c r="C486">
        <v>50</v>
      </c>
      <c r="D486" t="s">
        <v>118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218</v>
      </c>
      <c r="C487">
        <v>60</v>
      </c>
      <c r="D487" t="s">
        <v>109</v>
      </c>
      <c r="E487" t="s">
        <v>110</v>
      </c>
      <c r="F487">
        <v>0.35199999999999998</v>
      </c>
      <c r="G487" t="s">
        <v>15</v>
      </c>
    </row>
    <row r="488" spans="1:7" x14ac:dyDescent="0.25">
      <c r="A488">
        <v>33</v>
      </c>
      <c r="B488" t="s">
        <v>218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218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218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218</v>
      </c>
      <c r="C491">
        <v>100</v>
      </c>
      <c r="D491" t="s">
        <v>124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218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218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218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218</v>
      </c>
      <c r="C495">
        <v>140</v>
      </c>
      <c r="D495" t="s">
        <v>120</v>
      </c>
      <c r="E495" t="s">
        <v>14</v>
      </c>
      <c r="F495">
        <v>0.69099999999999995</v>
      </c>
      <c r="G495" t="s">
        <v>15</v>
      </c>
    </row>
    <row r="496" spans="1:7" x14ac:dyDescent="0.25">
      <c r="A496">
        <v>33</v>
      </c>
      <c r="B496" t="s">
        <v>218</v>
      </c>
      <c r="C496">
        <v>150</v>
      </c>
      <c r="D496" t="s">
        <v>309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221</v>
      </c>
      <c r="C497">
        <v>10</v>
      </c>
      <c r="D497" t="s">
        <v>310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221</v>
      </c>
      <c r="C498">
        <v>20</v>
      </c>
      <c r="D498" t="s">
        <v>242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221</v>
      </c>
      <c r="C499">
        <v>30</v>
      </c>
      <c r="D499" t="s">
        <v>222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221</v>
      </c>
      <c r="C500">
        <v>40</v>
      </c>
      <c r="D500" t="s">
        <v>223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221</v>
      </c>
      <c r="C501">
        <v>50</v>
      </c>
      <c r="D501" t="s">
        <v>118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221</v>
      </c>
      <c r="C502">
        <v>60</v>
      </c>
      <c r="D502" t="s">
        <v>109</v>
      </c>
      <c r="E502" t="s">
        <v>110</v>
      </c>
      <c r="F502">
        <v>0.42499999999999999</v>
      </c>
      <c r="G502" t="s">
        <v>15</v>
      </c>
    </row>
    <row r="503" spans="1:7" x14ac:dyDescent="0.25">
      <c r="A503">
        <v>34</v>
      </c>
      <c r="B503" t="s">
        <v>221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221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221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221</v>
      </c>
      <c r="C506">
        <v>100</v>
      </c>
      <c r="D506" t="s">
        <v>124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221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221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221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221</v>
      </c>
      <c r="C510">
        <v>140</v>
      </c>
      <c r="D510" t="s">
        <v>120</v>
      </c>
      <c r="E510" t="s">
        <v>14</v>
      </c>
      <c r="F510">
        <v>0.69099999999999995</v>
      </c>
      <c r="G510" t="s">
        <v>15</v>
      </c>
    </row>
    <row r="511" spans="1:7" x14ac:dyDescent="0.25">
      <c r="A511">
        <v>34</v>
      </c>
      <c r="B511" t="s">
        <v>221</v>
      </c>
      <c r="C511">
        <v>150</v>
      </c>
      <c r="D511" t="s">
        <v>311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224</v>
      </c>
      <c r="C512">
        <v>10</v>
      </c>
      <c r="D512" t="s">
        <v>312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224</v>
      </c>
      <c r="C513">
        <v>20</v>
      </c>
      <c r="D513" t="s">
        <v>242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224</v>
      </c>
      <c r="C514">
        <v>30</v>
      </c>
      <c r="D514" t="s">
        <v>225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224</v>
      </c>
      <c r="C515">
        <v>40</v>
      </c>
      <c r="D515" t="s">
        <v>226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224</v>
      </c>
      <c r="C516">
        <v>50</v>
      </c>
      <c r="D516" t="s">
        <v>118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224</v>
      </c>
      <c r="C517">
        <v>60</v>
      </c>
      <c r="D517" t="s">
        <v>109</v>
      </c>
      <c r="E517" t="s">
        <v>110</v>
      </c>
      <c r="F517">
        <v>0.498</v>
      </c>
      <c r="G517" t="s">
        <v>15</v>
      </c>
    </row>
    <row r="518" spans="1:7" x14ac:dyDescent="0.25">
      <c r="A518">
        <v>35</v>
      </c>
      <c r="B518" t="s">
        <v>224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224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224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224</v>
      </c>
      <c r="C521">
        <v>100</v>
      </c>
      <c r="D521" t="s">
        <v>124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224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224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224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224</v>
      </c>
      <c r="C525">
        <v>140</v>
      </c>
      <c r="D525" t="s">
        <v>120</v>
      </c>
      <c r="E525" t="s">
        <v>14</v>
      </c>
      <c r="F525">
        <v>0.69099999999999995</v>
      </c>
      <c r="G525" t="s">
        <v>15</v>
      </c>
    </row>
    <row r="526" spans="1:7" x14ac:dyDescent="0.25">
      <c r="A526">
        <v>35</v>
      </c>
      <c r="B526" t="s">
        <v>224</v>
      </c>
      <c r="C526">
        <v>150</v>
      </c>
      <c r="D526" t="s">
        <v>313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227</v>
      </c>
      <c r="C527">
        <v>10</v>
      </c>
      <c r="D527" t="s">
        <v>314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227</v>
      </c>
      <c r="C528">
        <v>20</v>
      </c>
      <c r="D528" t="s">
        <v>242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227</v>
      </c>
      <c r="C529">
        <v>30</v>
      </c>
      <c r="D529" t="s">
        <v>228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227</v>
      </c>
      <c r="C530">
        <v>40</v>
      </c>
      <c r="D530" t="s">
        <v>229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227</v>
      </c>
      <c r="C531">
        <v>50</v>
      </c>
      <c r="D531" t="s">
        <v>118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227</v>
      </c>
      <c r="C532">
        <v>60</v>
      </c>
      <c r="D532" t="s">
        <v>109</v>
      </c>
      <c r="E532" t="s">
        <v>110</v>
      </c>
      <c r="F532">
        <v>0.57099999999999995</v>
      </c>
      <c r="G532" t="s">
        <v>15</v>
      </c>
    </row>
    <row r="533" spans="1:7" x14ac:dyDescent="0.25">
      <c r="A533">
        <v>36</v>
      </c>
      <c r="B533" t="s">
        <v>227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227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227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227</v>
      </c>
      <c r="C536">
        <v>100</v>
      </c>
      <c r="D536" t="s">
        <v>124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227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227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227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227</v>
      </c>
      <c r="C540">
        <v>140</v>
      </c>
      <c r="D540" t="s">
        <v>120</v>
      </c>
      <c r="E540" t="s">
        <v>14</v>
      </c>
      <c r="F540">
        <v>0.69099999999999995</v>
      </c>
      <c r="G540" t="s">
        <v>15</v>
      </c>
    </row>
    <row r="541" spans="1:7" x14ac:dyDescent="0.25">
      <c r="A541">
        <v>36</v>
      </c>
      <c r="B541" t="s">
        <v>227</v>
      </c>
      <c r="C541">
        <v>150</v>
      </c>
      <c r="D541" t="s">
        <v>315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230</v>
      </c>
      <c r="C542">
        <v>10</v>
      </c>
      <c r="D542" t="s">
        <v>316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230</v>
      </c>
      <c r="C543">
        <v>20</v>
      </c>
      <c r="D543" t="s">
        <v>242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230</v>
      </c>
      <c r="C544">
        <v>30</v>
      </c>
      <c r="D544" t="s">
        <v>231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230</v>
      </c>
      <c r="C545">
        <v>40</v>
      </c>
      <c r="D545" t="s">
        <v>232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230</v>
      </c>
      <c r="C546">
        <v>50</v>
      </c>
      <c r="D546" t="s">
        <v>118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230</v>
      </c>
      <c r="C547">
        <v>60</v>
      </c>
      <c r="D547" t="s">
        <v>109</v>
      </c>
      <c r="E547" t="s">
        <v>110</v>
      </c>
      <c r="F547">
        <v>0.60799999999999998</v>
      </c>
      <c r="G547" t="s">
        <v>15</v>
      </c>
    </row>
    <row r="548" spans="1:7" x14ac:dyDescent="0.25">
      <c r="A548">
        <v>37</v>
      </c>
      <c r="B548" t="s">
        <v>230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230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230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230</v>
      </c>
      <c r="C551">
        <v>100</v>
      </c>
      <c r="D551" t="s">
        <v>124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230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230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230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230</v>
      </c>
      <c r="C555">
        <v>140</v>
      </c>
      <c r="D555" t="s">
        <v>120</v>
      </c>
      <c r="E555" t="s">
        <v>14</v>
      </c>
      <c r="F555">
        <v>0.69099999999999995</v>
      </c>
      <c r="G555" t="s">
        <v>15</v>
      </c>
    </row>
    <row r="556" spans="1:7" x14ac:dyDescent="0.25">
      <c r="A556">
        <v>37</v>
      </c>
      <c r="B556" t="s">
        <v>230</v>
      </c>
      <c r="C556">
        <v>150</v>
      </c>
      <c r="D556" t="s">
        <v>317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233</v>
      </c>
      <c r="C557">
        <v>10</v>
      </c>
      <c r="D557" t="s">
        <v>318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233</v>
      </c>
      <c r="C558">
        <v>20</v>
      </c>
      <c r="D558" t="s">
        <v>242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233</v>
      </c>
      <c r="C559">
        <v>30</v>
      </c>
      <c r="D559" t="s">
        <v>234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233</v>
      </c>
      <c r="C560">
        <v>40</v>
      </c>
      <c r="D560" t="s">
        <v>235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233</v>
      </c>
      <c r="C561">
        <v>50</v>
      </c>
      <c r="D561" t="s">
        <v>118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233</v>
      </c>
      <c r="C562">
        <v>60</v>
      </c>
      <c r="D562" t="s">
        <v>109</v>
      </c>
      <c r="E562" t="s">
        <v>110</v>
      </c>
      <c r="F562">
        <v>0.64400000000000002</v>
      </c>
      <c r="G562" t="s">
        <v>15</v>
      </c>
    </row>
    <row r="563" spans="1:7" x14ac:dyDescent="0.25">
      <c r="A563">
        <v>38</v>
      </c>
      <c r="B563" t="s">
        <v>233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233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233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233</v>
      </c>
      <c r="C566">
        <v>100</v>
      </c>
      <c r="D566" t="s">
        <v>124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233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233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233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233</v>
      </c>
      <c r="C570">
        <v>140</v>
      </c>
      <c r="D570" t="s">
        <v>120</v>
      </c>
      <c r="E570" t="s">
        <v>14</v>
      </c>
      <c r="F570">
        <v>0.69099999999999995</v>
      </c>
      <c r="G570" t="s">
        <v>15</v>
      </c>
    </row>
    <row r="571" spans="1:7" x14ac:dyDescent="0.25">
      <c r="A571">
        <v>38</v>
      </c>
      <c r="B571" t="s">
        <v>233</v>
      </c>
      <c r="C571">
        <v>150</v>
      </c>
      <c r="D571" t="s">
        <v>319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236</v>
      </c>
      <c r="C572">
        <v>10</v>
      </c>
      <c r="D572" t="s">
        <v>320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236</v>
      </c>
      <c r="C573">
        <v>20</v>
      </c>
      <c r="D573" t="s">
        <v>242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236</v>
      </c>
      <c r="C574">
        <v>30</v>
      </c>
      <c r="D574" t="s">
        <v>237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236</v>
      </c>
      <c r="C575">
        <v>40</v>
      </c>
      <c r="D575" t="s">
        <v>238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236</v>
      </c>
      <c r="C576">
        <v>50</v>
      </c>
      <c r="D576" t="s">
        <v>118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236</v>
      </c>
      <c r="C577">
        <v>60</v>
      </c>
      <c r="D577" t="s">
        <v>109</v>
      </c>
      <c r="E577" t="s">
        <v>110</v>
      </c>
      <c r="F577">
        <v>0.71699999999999997</v>
      </c>
      <c r="G577" t="s">
        <v>15</v>
      </c>
    </row>
    <row r="578" spans="1:7" x14ac:dyDescent="0.25">
      <c r="A578">
        <v>39</v>
      </c>
      <c r="B578" t="s">
        <v>236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236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236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236</v>
      </c>
      <c r="C581">
        <v>100</v>
      </c>
      <c r="D581" t="s">
        <v>124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236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236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236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236</v>
      </c>
      <c r="C585">
        <v>140</v>
      </c>
      <c r="D585" t="s">
        <v>120</v>
      </c>
      <c r="E585" t="s">
        <v>14</v>
      </c>
      <c r="F585">
        <v>0.69099999999999995</v>
      </c>
      <c r="G585" t="s">
        <v>15</v>
      </c>
    </row>
    <row r="586" spans="1:7" x14ac:dyDescent="0.25">
      <c r="A586">
        <v>39</v>
      </c>
      <c r="B586" t="s">
        <v>236</v>
      </c>
      <c r="C586">
        <v>150</v>
      </c>
      <c r="D586" t="s">
        <v>321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239</v>
      </c>
      <c r="C587">
        <v>10</v>
      </c>
      <c r="D587" t="s">
        <v>322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239</v>
      </c>
      <c r="C588">
        <v>20</v>
      </c>
      <c r="D588" t="s">
        <v>242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239</v>
      </c>
      <c r="C589">
        <v>30</v>
      </c>
      <c r="D589" t="s">
        <v>240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239</v>
      </c>
      <c r="C590">
        <v>40</v>
      </c>
      <c r="D590" t="s">
        <v>241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239</v>
      </c>
      <c r="C591">
        <v>50</v>
      </c>
      <c r="D591" t="s">
        <v>118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239</v>
      </c>
      <c r="C592">
        <v>60</v>
      </c>
      <c r="D592" t="s">
        <v>109</v>
      </c>
      <c r="E592" t="s">
        <v>110</v>
      </c>
      <c r="F592">
        <v>0.79</v>
      </c>
      <c r="G592" t="s">
        <v>15</v>
      </c>
    </row>
    <row r="593" spans="1:7" x14ac:dyDescent="0.25">
      <c r="A593">
        <v>40</v>
      </c>
      <c r="B593" t="s">
        <v>239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239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239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239</v>
      </c>
      <c r="C596">
        <v>100</v>
      </c>
      <c r="D596" t="s">
        <v>124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239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239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239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239</v>
      </c>
      <c r="C600">
        <v>140</v>
      </c>
      <c r="D600" t="s">
        <v>120</v>
      </c>
      <c r="E600" t="s">
        <v>14</v>
      </c>
      <c r="F600">
        <v>0.69099999999999995</v>
      </c>
      <c r="G600" t="s">
        <v>15</v>
      </c>
    </row>
    <row r="601" spans="1:7" x14ac:dyDescent="0.25">
      <c r="A601">
        <v>40</v>
      </c>
      <c r="B601" t="s">
        <v>239</v>
      </c>
      <c r="C601">
        <v>150</v>
      </c>
      <c r="D601" t="s">
        <v>323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324</v>
      </c>
      <c r="C602">
        <v>10</v>
      </c>
      <c r="D602" t="s">
        <v>325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324</v>
      </c>
      <c r="C603">
        <v>20</v>
      </c>
      <c r="D603" t="s">
        <v>242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324</v>
      </c>
      <c r="C604">
        <v>30</v>
      </c>
      <c r="D604" t="s">
        <v>326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324</v>
      </c>
      <c r="C605">
        <v>40</v>
      </c>
      <c r="D605" t="s">
        <v>327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324</v>
      </c>
      <c r="C606">
        <v>50</v>
      </c>
      <c r="D606" t="s">
        <v>118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324</v>
      </c>
      <c r="C607">
        <v>60</v>
      </c>
      <c r="D607" t="s">
        <v>109</v>
      </c>
      <c r="E607" t="s">
        <v>110</v>
      </c>
      <c r="F607">
        <v>0.26900000000000002</v>
      </c>
      <c r="G607" t="s">
        <v>15</v>
      </c>
    </row>
    <row r="608" spans="1:7" x14ac:dyDescent="0.25">
      <c r="A608">
        <v>41</v>
      </c>
      <c r="B608" t="s">
        <v>324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324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324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324</v>
      </c>
      <c r="C611">
        <v>100</v>
      </c>
      <c r="D611" t="s">
        <v>124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324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324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324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324</v>
      </c>
      <c r="C615">
        <v>140</v>
      </c>
      <c r="D615" t="s">
        <v>120</v>
      </c>
      <c r="E615" t="s">
        <v>14</v>
      </c>
      <c r="F615">
        <v>0.28499999999999998</v>
      </c>
      <c r="G615" t="s">
        <v>15</v>
      </c>
    </row>
    <row r="616" spans="1:7" x14ac:dyDescent="0.25">
      <c r="A616">
        <v>41</v>
      </c>
      <c r="B616" t="s">
        <v>324</v>
      </c>
      <c r="C616">
        <v>150</v>
      </c>
      <c r="D616" t="s">
        <v>328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329</v>
      </c>
      <c r="C617">
        <v>10</v>
      </c>
      <c r="D617" t="s">
        <v>330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329</v>
      </c>
      <c r="C618">
        <v>20</v>
      </c>
      <c r="D618" t="s">
        <v>242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329</v>
      </c>
      <c r="C619">
        <v>30</v>
      </c>
      <c r="D619" t="s">
        <v>331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329</v>
      </c>
      <c r="C620">
        <v>40</v>
      </c>
      <c r="D620" t="s">
        <v>332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329</v>
      </c>
      <c r="C621">
        <v>50</v>
      </c>
      <c r="D621" t="s">
        <v>118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329</v>
      </c>
      <c r="C622">
        <v>60</v>
      </c>
      <c r="D622" t="s">
        <v>109</v>
      </c>
      <c r="E622" t="s">
        <v>110</v>
      </c>
      <c r="F622">
        <v>0.33</v>
      </c>
      <c r="G622" t="s">
        <v>15</v>
      </c>
    </row>
    <row r="623" spans="1:7" x14ac:dyDescent="0.25">
      <c r="A623">
        <v>42</v>
      </c>
      <c r="B623" t="s">
        <v>329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329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329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329</v>
      </c>
      <c r="C626">
        <v>100</v>
      </c>
      <c r="D626" t="s">
        <v>124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329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329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329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329</v>
      </c>
      <c r="C630">
        <v>140</v>
      </c>
      <c r="D630" t="s">
        <v>120</v>
      </c>
      <c r="E630" t="s">
        <v>14</v>
      </c>
      <c r="F630">
        <v>0.33</v>
      </c>
      <c r="G630" t="s">
        <v>15</v>
      </c>
    </row>
    <row r="631" spans="1:7" x14ac:dyDescent="0.25">
      <c r="A631">
        <v>42</v>
      </c>
      <c r="B631" t="s">
        <v>329</v>
      </c>
      <c r="C631">
        <v>150</v>
      </c>
      <c r="D631" t="s">
        <v>333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334</v>
      </c>
      <c r="C632">
        <v>10</v>
      </c>
      <c r="D632" t="s">
        <v>335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334</v>
      </c>
      <c r="C633">
        <v>20</v>
      </c>
      <c r="D633" t="s">
        <v>242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334</v>
      </c>
      <c r="C634">
        <v>30</v>
      </c>
      <c r="D634" t="s">
        <v>336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334</v>
      </c>
      <c r="C635">
        <v>40</v>
      </c>
      <c r="D635" t="s">
        <v>337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334</v>
      </c>
      <c r="C636">
        <v>50</v>
      </c>
      <c r="D636" t="s">
        <v>118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334</v>
      </c>
      <c r="C637">
        <v>60</v>
      </c>
      <c r="D637" t="s">
        <v>109</v>
      </c>
      <c r="E637" t="s">
        <v>110</v>
      </c>
      <c r="F637">
        <v>0.39200000000000002</v>
      </c>
      <c r="G637" t="s">
        <v>15</v>
      </c>
    </row>
    <row r="638" spans="1:7" x14ac:dyDescent="0.25">
      <c r="A638">
        <v>43</v>
      </c>
      <c r="B638" t="s">
        <v>334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334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334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334</v>
      </c>
      <c r="C641">
        <v>100</v>
      </c>
      <c r="D641" t="s">
        <v>124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334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334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334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334</v>
      </c>
      <c r="C645">
        <v>140</v>
      </c>
      <c r="D645" t="s">
        <v>120</v>
      </c>
      <c r="E645" t="s">
        <v>14</v>
      </c>
      <c r="F645">
        <v>0.375</v>
      </c>
      <c r="G645" t="s">
        <v>15</v>
      </c>
    </row>
    <row r="646" spans="1:7" x14ac:dyDescent="0.25">
      <c r="A646">
        <v>43</v>
      </c>
      <c r="B646" t="s">
        <v>334</v>
      </c>
      <c r="C646">
        <v>150</v>
      </c>
      <c r="D646" t="s">
        <v>338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339</v>
      </c>
      <c r="C647">
        <v>10</v>
      </c>
      <c r="D647" t="s">
        <v>340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339</v>
      </c>
      <c r="C648">
        <v>20</v>
      </c>
      <c r="D648" t="s">
        <v>242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339</v>
      </c>
      <c r="C649">
        <v>30</v>
      </c>
      <c r="D649" t="s">
        <v>341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339</v>
      </c>
      <c r="C650">
        <v>40</v>
      </c>
      <c r="D650" t="s">
        <v>342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339</v>
      </c>
      <c r="C651">
        <v>50</v>
      </c>
      <c r="D651" t="s">
        <v>118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339</v>
      </c>
      <c r="C652">
        <v>60</v>
      </c>
      <c r="D652" t="s">
        <v>109</v>
      </c>
      <c r="E652" t="s">
        <v>110</v>
      </c>
      <c r="F652">
        <v>0.45400000000000001</v>
      </c>
      <c r="G652" t="s">
        <v>15</v>
      </c>
    </row>
    <row r="653" spans="1:7" x14ac:dyDescent="0.25">
      <c r="A653">
        <v>44</v>
      </c>
      <c r="B653" t="s">
        <v>339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339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339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339</v>
      </c>
      <c r="C656">
        <v>100</v>
      </c>
      <c r="D656" t="s">
        <v>124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339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339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339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339</v>
      </c>
      <c r="C660">
        <v>140</v>
      </c>
      <c r="D660" t="s">
        <v>120</v>
      </c>
      <c r="E660" t="s">
        <v>14</v>
      </c>
      <c r="F660">
        <v>0.42</v>
      </c>
      <c r="G660" t="s">
        <v>15</v>
      </c>
    </row>
    <row r="661" spans="1:7" x14ac:dyDescent="0.25">
      <c r="A661">
        <v>44</v>
      </c>
      <c r="B661" t="s">
        <v>339</v>
      </c>
      <c r="C661">
        <v>150</v>
      </c>
      <c r="D661" t="s">
        <v>343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344</v>
      </c>
      <c r="C662">
        <v>10</v>
      </c>
      <c r="D662" t="s">
        <v>345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344</v>
      </c>
      <c r="C663">
        <v>20</v>
      </c>
      <c r="D663" t="s">
        <v>242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344</v>
      </c>
      <c r="C664">
        <v>30</v>
      </c>
      <c r="D664" t="s">
        <v>346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344</v>
      </c>
      <c r="C665">
        <v>40</v>
      </c>
      <c r="D665" t="s">
        <v>347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344</v>
      </c>
      <c r="C666">
        <v>50</v>
      </c>
      <c r="D666" t="s">
        <v>118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344</v>
      </c>
      <c r="C667">
        <v>60</v>
      </c>
      <c r="D667" t="s">
        <v>109</v>
      </c>
      <c r="E667" t="s">
        <v>110</v>
      </c>
      <c r="F667">
        <v>0.57799999999999996</v>
      </c>
      <c r="G667" t="s">
        <v>15</v>
      </c>
    </row>
    <row r="668" spans="1:7" x14ac:dyDescent="0.25">
      <c r="A668">
        <v>45</v>
      </c>
      <c r="B668" t="s">
        <v>344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344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344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344</v>
      </c>
      <c r="C671">
        <v>100</v>
      </c>
      <c r="D671" t="s">
        <v>124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344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344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344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344</v>
      </c>
      <c r="C675">
        <v>140</v>
      </c>
      <c r="D675" t="s">
        <v>120</v>
      </c>
      <c r="E675" t="s">
        <v>14</v>
      </c>
      <c r="F675">
        <v>0.51</v>
      </c>
      <c r="G675" t="s">
        <v>15</v>
      </c>
    </row>
    <row r="676" spans="1:7" x14ac:dyDescent="0.25">
      <c r="A676">
        <v>45</v>
      </c>
      <c r="B676" t="s">
        <v>344</v>
      </c>
      <c r="C676">
        <v>150</v>
      </c>
      <c r="D676" t="s">
        <v>348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349</v>
      </c>
      <c r="C677">
        <v>10</v>
      </c>
      <c r="D677" t="s">
        <v>350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349</v>
      </c>
      <c r="C678">
        <v>20</v>
      </c>
      <c r="D678" t="s">
        <v>242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349</v>
      </c>
      <c r="C679">
        <v>30</v>
      </c>
      <c r="D679" t="s">
        <v>351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349</v>
      </c>
      <c r="C680">
        <v>40</v>
      </c>
      <c r="D680" t="s">
        <v>352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349</v>
      </c>
      <c r="C681">
        <v>50</v>
      </c>
      <c r="D681" t="s">
        <v>118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349</v>
      </c>
      <c r="C682">
        <v>60</v>
      </c>
      <c r="D682" t="s">
        <v>109</v>
      </c>
      <c r="E682" t="s">
        <v>110</v>
      </c>
      <c r="F682">
        <v>0.64</v>
      </c>
      <c r="G682" t="s">
        <v>15</v>
      </c>
    </row>
    <row r="683" spans="1:7" x14ac:dyDescent="0.25">
      <c r="A683">
        <v>46</v>
      </c>
      <c r="B683" t="s">
        <v>349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349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349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349</v>
      </c>
      <c r="C686">
        <v>100</v>
      </c>
      <c r="D686" t="s">
        <v>124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349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349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349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349</v>
      </c>
      <c r="C690">
        <v>140</v>
      </c>
      <c r="D690" t="s">
        <v>120</v>
      </c>
      <c r="E690" t="s">
        <v>14</v>
      </c>
      <c r="F690">
        <v>0.55500000000000005</v>
      </c>
      <c r="G690" t="s">
        <v>15</v>
      </c>
    </row>
    <row r="691" spans="1:7" x14ac:dyDescent="0.25">
      <c r="A691">
        <v>46</v>
      </c>
      <c r="B691" t="s">
        <v>349</v>
      </c>
      <c r="C691">
        <v>150</v>
      </c>
      <c r="D691" t="s">
        <v>353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354</v>
      </c>
      <c r="C692">
        <v>10</v>
      </c>
      <c r="D692" t="s">
        <v>355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354</v>
      </c>
      <c r="C693">
        <v>20</v>
      </c>
      <c r="D693" t="s">
        <v>242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354</v>
      </c>
      <c r="C694">
        <v>30</v>
      </c>
      <c r="D694" t="s">
        <v>356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354</v>
      </c>
      <c r="C695">
        <v>40</v>
      </c>
      <c r="D695" t="s">
        <v>357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354</v>
      </c>
      <c r="C696">
        <v>50</v>
      </c>
      <c r="D696" t="s">
        <v>118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354</v>
      </c>
      <c r="C697">
        <v>60</v>
      </c>
      <c r="D697" t="s">
        <v>109</v>
      </c>
      <c r="E697" t="s">
        <v>110</v>
      </c>
      <c r="F697">
        <v>0.70199999999999996</v>
      </c>
      <c r="G697" t="s">
        <v>15</v>
      </c>
    </row>
    <row r="698" spans="1:7" x14ac:dyDescent="0.25">
      <c r="A698">
        <v>47</v>
      </c>
      <c r="B698" t="s">
        <v>354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354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354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354</v>
      </c>
      <c r="C701">
        <v>100</v>
      </c>
      <c r="D701" t="s">
        <v>124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354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354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354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354</v>
      </c>
      <c r="C705">
        <v>140</v>
      </c>
      <c r="D705" t="s">
        <v>120</v>
      </c>
      <c r="E705" t="s">
        <v>14</v>
      </c>
      <c r="F705">
        <v>0.60099999999999998</v>
      </c>
      <c r="G705" t="s">
        <v>15</v>
      </c>
    </row>
    <row r="706" spans="1:7" x14ac:dyDescent="0.25">
      <c r="A706">
        <v>47</v>
      </c>
      <c r="B706" t="s">
        <v>354</v>
      </c>
      <c r="C706">
        <v>150</v>
      </c>
      <c r="D706" t="s">
        <v>358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359</v>
      </c>
      <c r="C707">
        <v>10</v>
      </c>
      <c r="D707" t="s">
        <v>360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359</v>
      </c>
      <c r="C708">
        <v>20</v>
      </c>
      <c r="D708" t="s">
        <v>242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359</v>
      </c>
      <c r="C709">
        <v>30</v>
      </c>
      <c r="D709" t="s">
        <v>361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359</v>
      </c>
      <c r="C710">
        <v>40</v>
      </c>
      <c r="D710" t="s">
        <v>362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359</v>
      </c>
      <c r="C711">
        <v>50</v>
      </c>
      <c r="D711" t="s">
        <v>118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359</v>
      </c>
      <c r="C712">
        <v>60</v>
      </c>
      <c r="D712" t="s">
        <v>109</v>
      </c>
      <c r="E712" t="s">
        <v>110</v>
      </c>
      <c r="F712">
        <v>0.28000000000000003</v>
      </c>
      <c r="G712" t="s">
        <v>15</v>
      </c>
    </row>
    <row r="713" spans="1:7" x14ac:dyDescent="0.25">
      <c r="A713">
        <v>48</v>
      </c>
      <c r="B713" t="s">
        <v>359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359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359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359</v>
      </c>
      <c r="C716">
        <v>100</v>
      </c>
      <c r="D716" t="s">
        <v>124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359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359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359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359</v>
      </c>
      <c r="C720">
        <v>140</v>
      </c>
      <c r="D720" t="s">
        <v>120</v>
      </c>
      <c r="E720" t="s">
        <v>14</v>
      </c>
      <c r="F720">
        <v>0.28499999999999998</v>
      </c>
      <c r="G720" t="s">
        <v>15</v>
      </c>
    </row>
    <row r="721" spans="1:7" x14ac:dyDescent="0.25">
      <c r="A721">
        <v>48</v>
      </c>
      <c r="B721" t="s">
        <v>359</v>
      </c>
      <c r="C721">
        <v>150</v>
      </c>
      <c r="D721" t="s">
        <v>363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364</v>
      </c>
      <c r="C722">
        <v>10</v>
      </c>
      <c r="D722" t="s">
        <v>365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364</v>
      </c>
      <c r="C723">
        <v>20</v>
      </c>
      <c r="D723" t="s">
        <v>242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364</v>
      </c>
      <c r="C724">
        <v>30</v>
      </c>
      <c r="D724" t="s">
        <v>366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364</v>
      </c>
      <c r="C725">
        <v>40</v>
      </c>
      <c r="D725" t="s">
        <v>367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364</v>
      </c>
      <c r="C726">
        <v>50</v>
      </c>
      <c r="D726" t="s">
        <v>118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364</v>
      </c>
      <c r="C727">
        <v>60</v>
      </c>
      <c r="D727" t="s">
        <v>109</v>
      </c>
      <c r="E727" t="s">
        <v>110</v>
      </c>
      <c r="F727">
        <v>0.34499999999999997</v>
      </c>
      <c r="G727" t="s">
        <v>15</v>
      </c>
    </row>
    <row r="728" spans="1:7" x14ac:dyDescent="0.25">
      <c r="A728">
        <v>49</v>
      </c>
      <c r="B728" t="s">
        <v>364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364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364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364</v>
      </c>
      <c r="C731">
        <v>100</v>
      </c>
      <c r="D731" t="s">
        <v>124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364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364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364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364</v>
      </c>
      <c r="C735">
        <v>140</v>
      </c>
      <c r="D735" t="s">
        <v>120</v>
      </c>
      <c r="E735" t="s">
        <v>14</v>
      </c>
      <c r="F735">
        <v>0.33</v>
      </c>
      <c r="G735" t="s">
        <v>15</v>
      </c>
    </row>
    <row r="736" spans="1:7" x14ac:dyDescent="0.25">
      <c r="A736">
        <v>49</v>
      </c>
      <c r="B736" t="s">
        <v>364</v>
      </c>
      <c r="C736">
        <v>150</v>
      </c>
      <c r="D736" t="s">
        <v>368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369</v>
      </c>
      <c r="C737">
        <v>10</v>
      </c>
      <c r="D737" t="s">
        <v>370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369</v>
      </c>
      <c r="C738">
        <v>20</v>
      </c>
      <c r="D738" t="s">
        <v>242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369</v>
      </c>
      <c r="C739">
        <v>30</v>
      </c>
      <c r="D739" t="s">
        <v>371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369</v>
      </c>
      <c r="C740">
        <v>40</v>
      </c>
      <c r="D740" t="s">
        <v>372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369</v>
      </c>
      <c r="C741">
        <v>50</v>
      </c>
      <c r="D741" t="s">
        <v>118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369</v>
      </c>
      <c r="C742">
        <v>60</v>
      </c>
      <c r="D742" t="s">
        <v>109</v>
      </c>
      <c r="E742" t="s">
        <v>110</v>
      </c>
      <c r="F742">
        <v>0.41</v>
      </c>
      <c r="G742" t="s">
        <v>15</v>
      </c>
    </row>
    <row r="743" spans="1:7" x14ac:dyDescent="0.25">
      <c r="A743">
        <v>50</v>
      </c>
      <c r="B743" t="s">
        <v>369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369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369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369</v>
      </c>
      <c r="C746">
        <v>100</v>
      </c>
      <c r="D746" t="s">
        <v>124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369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369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369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369</v>
      </c>
      <c r="C750">
        <v>140</v>
      </c>
      <c r="D750" t="s">
        <v>120</v>
      </c>
      <c r="E750" t="s">
        <v>14</v>
      </c>
      <c r="F750">
        <v>0.375</v>
      </c>
      <c r="G750" t="s">
        <v>15</v>
      </c>
    </row>
    <row r="751" spans="1:7" x14ac:dyDescent="0.25">
      <c r="A751">
        <v>50</v>
      </c>
      <c r="B751" t="s">
        <v>369</v>
      </c>
      <c r="C751">
        <v>150</v>
      </c>
      <c r="D751" t="s">
        <v>373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374</v>
      </c>
      <c r="C752">
        <v>10</v>
      </c>
      <c r="D752" t="s">
        <v>375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374</v>
      </c>
      <c r="C753">
        <v>20</v>
      </c>
      <c r="D753" t="s">
        <v>242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374</v>
      </c>
      <c r="C754">
        <v>30</v>
      </c>
      <c r="D754" t="s">
        <v>376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374</v>
      </c>
      <c r="C755">
        <v>40</v>
      </c>
      <c r="D755" t="s">
        <v>377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374</v>
      </c>
      <c r="C756">
        <v>50</v>
      </c>
      <c r="D756" t="s">
        <v>118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374</v>
      </c>
      <c r="C757">
        <v>60</v>
      </c>
      <c r="D757" t="s">
        <v>109</v>
      </c>
      <c r="E757" t="s">
        <v>110</v>
      </c>
      <c r="F757">
        <v>0.47399999999999998</v>
      </c>
      <c r="G757" t="s">
        <v>15</v>
      </c>
    </row>
    <row r="758" spans="1:7" x14ac:dyDescent="0.25">
      <c r="A758">
        <v>51</v>
      </c>
      <c r="B758" t="s">
        <v>374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374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374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374</v>
      </c>
      <c r="C761">
        <v>100</v>
      </c>
      <c r="D761" t="s">
        <v>124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374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374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374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374</v>
      </c>
      <c r="C765">
        <v>140</v>
      </c>
      <c r="D765" t="s">
        <v>120</v>
      </c>
      <c r="E765" t="s">
        <v>14</v>
      </c>
      <c r="F765">
        <v>0.42</v>
      </c>
      <c r="G765" t="s">
        <v>15</v>
      </c>
    </row>
    <row r="766" spans="1:7" x14ac:dyDescent="0.25">
      <c r="A766">
        <v>51</v>
      </c>
      <c r="B766" t="s">
        <v>374</v>
      </c>
      <c r="C766">
        <v>150</v>
      </c>
      <c r="D766" t="s">
        <v>378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379</v>
      </c>
      <c r="C767">
        <v>10</v>
      </c>
      <c r="D767" t="s">
        <v>380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379</v>
      </c>
      <c r="C768">
        <v>20</v>
      </c>
      <c r="D768" t="s">
        <v>242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379</v>
      </c>
      <c r="C769">
        <v>30</v>
      </c>
      <c r="D769" t="s">
        <v>381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379</v>
      </c>
      <c r="C770">
        <v>40</v>
      </c>
      <c r="D770" t="s">
        <v>382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379</v>
      </c>
      <c r="C771">
        <v>50</v>
      </c>
      <c r="D771" t="s">
        <v>118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379</v>
      </c>
      <c r="C772">
        <v>60</v>
      </c>
      <c r="D772" t="s">
        <v>109</v>
      </c>
      <c r="E772" t="s">
        <v>110</v>
      </c>
      <c r="F772">
        <v>0.60399999999999998</v>
      </c>
      <c r="G772" t="s">
        <v>15</v>
      </c>
    </row>
    <row r="773" spans="1:7" x14ac:dyDescent="0.25">
      <c r="A773">
        <v>52</v>
      </c>
      <c r="B773" t="s">
        <v>379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379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379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379</v>
      </c>
      <c r="C776">
        <v>100</v>
      </c>
      <c r="D776" t="s">
        <v>124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379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379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379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379</v>
      </c>
      <c r="C780">
        <v>140</v>
      </c>
      <c r="D780" t="s">
        <v>120</v>
      </c>
      <c r="E780" t="s">
        <v>14</v>
      </c>
      <c r="F780">
        <v>0.51</v>
      </c>
      <c r="G780" t="s">
        <v>15</v>
      </c>
    </row>
    <row r="781" spans="1:7" x14ac:dyDescent="0.25">
      <c r="A781">
        <v>52</v>
      </c>
      <c r="B781" t="s">
        <v>379</v>
      </c>
      <c r="C781">
        <v>150</v>
      </c>
      <c r="D781" t="s">
        <v>383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384</v>
      </c>
      <c r="C782">
        <v>10</v>
      </c>
      <c r="D782" t="s">
        <v>385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384</v>
      </c>
      <c r="C783">
        <v>20</v>
      </c>
      <c r="D783" t="s">
        <v>242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384</v>
      </c>
      <c r="C784">
        <v>30</v>
      </c>
      <c r="D784" t="s">
        <v>386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384</v>
      </c>
      <c r="C785">
        <v>40</v>
      </c>
      <c r="D785" t="s">
        <v>387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384</v>
      </c>
      <c r="C786">
        <v>50</v>
      </c>
      <c r="D786" t="s">
        <v>118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384</v>
      </c>
      <c r="C787">
        <v>60</v>
      </c>
      <c r="D787" t="s">
        <v>109</v>
      </c>
      <c r="E787" t="s">
        <v>110</v>
      </c>
      <c r="F787">
        <v>0.66900000000000004</v>
      </c>
      <c r="G787" t="s">
        <v>15</v>
      </c>
    </row>
    <row r="788" spans="1:7" x14ac:dyDescent="0.25">
      <c r="A788">
        <v>53</v>
      </c>
      <c r="B788" t="s">
        <v>384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384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384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384</v>
      </c>
      <c r="C791">
        <v>100</v>
      </c>
      <c r="D791" t="s">
        <v>124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384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384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384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384</v>
      </c>
      <c r="C795">
        <v>140</v>
      </c>
      <c r="D795" t="s">
        <v>120</v>
      </c>
      <c r="E795" t="s">
        <v>14</v>
      </c>
      <c r="F795">
        <v>0.55500000000000005</v>
      </c>
      <c r="G795" t="s">
        <v>15</v>
      </c>
    </row>
    <row r="796" spans="1:7" x14ac:dyDescent="0.25">
      <c r="A796">
        <v>53</v>
      </c>
      <c r="B796" t="s">
        <v>384</v>
      </c>
      <c r="C796">
        <v>150</v>
      </c>
      <c r="D796" t="s">
        <v>388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389</v>
      </c>
      <c r="C797">
        <v>10</v>
      </c>
      <c r="D797" t="s">
        <v>390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389</v>
      </c>
      <c r="C798">
        <v>20</v>
      </c>
      <c r="D798" t="s">
        <v>242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389</v>
      </c>
      <c r="C799">
        <v>30</v>
      </c>
      <c r="D799" t="s">
        <v>391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389</v>
      </c>
      <c r="C800">
        <v>40</v>
      </c>
      <c r="D800" t="s">
        <v>392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389</v>
      </c>
      <c r="C801">
        <v>50</v>
      </c>
      <c r="D801" t="s">
        <v>118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389</v>
      </c>
      <c r="C802">
        <v>60</v>
      </c>
      <c r="D802" t="s">
        <v>109</v>
      </c>
      <c r="E802" t="s">
        <v>110</v>
      </c>
      <c r="F802">
        <v>0.73299999999999998</v>
      </c>
      <c r="G802" t="s">
        <v>15</v>
      </c>
    </row>
    <row r="803" spans="1:7" x14ac:dyDescent="0.25">
      <c r="A803">
        <v>54</v>
      </c>
      <c r="B803" t="s">
        <v>389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389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389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389</v>
      </c>
      <c r="C806">
        <v>100</v>
      </c>
      <c r="D806" t="s">
        <v>124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389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389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389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389</v>
      </c>
      <c r="C810">
        <v>140</v>
      </c>
      <c r="D810" t="s">
        <v>120</v>
      </c>
      <c r="E810" t="s">
        <v>14</v>
      </c>
      <c r="F810">
        <v>0.60099999999999998</v>
      </c>
      <c r="G810" t="s">
        <v>15</v>
      </c>
    </row>
    <row r="811" spans="1:7" x14ac:dyDescent="0.25">
      <c r="A811">
        <v>54</v>
      </c>
      <c r="B811" t="s">
        <v>389</v>
      </c>
      <c r="C811">
        <v>150</v>
      </c>
      <c r="D811" t="s">
        <v>393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394</v>
      </c>
      <c r="C812">
        <v>10</v>
      </c>
      <c r="D812" t="s">
        <v>395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394</v>
      </c>
      <c r="C813">
        <v>20</v>
      </c>
      <c r="D813" t="s">
        <v>242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394</v>
      </c>
      <c r="C814">
        <v>30</v>
      </c>
      <c r="D814" t="s">
        <v>396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394</v>
      </c>
      <c r="C815">
        <v>40</v>
      </c>
      <c r="D815" t="s">
        <v>397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394</v>
      </c>
      <c r="C816">
        <v>50</v>
      </c>
      <c r="D816" t="s">
        <v>118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394</v>
      </c>
      <c r="C817">
        <v>60</v>
      </c>
      <c r="D817" t="s">
        <v>109</v>
      </c>
      <c r="E817" t="s">
        <v>110</v>
      </c>
      <c r="F817">
        <v>0.29199999999999998</v>
      </c>
      <c r="G817" t="s">
        <v>15</v>
      </c>
    </row>
    <row r="818" spans="1:7" x14ac:dyDescent="0.25">
      <c r="A818">
        <v>55</v>
      </c>
      <c r="B818" t="s">
        <v>394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394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394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394</v>
      </c>
      <c r="C821">
        <v>100</v>
      </c>
      <c r="D821" t="s">
        <v>124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394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394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394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394</v>
      </c>
      <c r="C825">
        <v>140</v>
      </c>
      <c r="D825" t="s">
        <v>120</v>
      </c>
      <c r="E825" t="s">
        <v>14</v>
      </c>
      <c r="F825">
        <v>0.28499999999999998</v>
      </c>
      <c r="G825" t="s">
        <v>15</v>
      </c>
    </row>
    <row r="826" spans="1:7" x14ac:dyDescent="0.25">
      <c r="A826">
        <v>55</v>
      </c>
      <c r="B826" t="s">
        <v>394</v>
      </c>
      <c r="C826">
        <v>150</v>
      </c>
      <c r="D826" t="s">
        <v>398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399</v>
      </c>
      <c r="C827">
        <v>10</v>
      </c>
      <c r="D827" t="s">
        <v>400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399</v>
      </c>
      <c r="C828">
        <v>20</v>
      </c>
      <c r="D828" t="s">
        <v>242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399</v>
      </c>
      <c r="C829">
        <v>30</v>
      </c>
      <c r="D829" t="s">
        <v>401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399</v>
      </c>
      <c r="C830">
        <v>40</v>
      </c>
      <c r="D830" t="s">
        <v>402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399</v>
      </c>
      <c r="C831">
        <v>50</v>
      </c>
      <c r="D831" t="s">
        <v>118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399</v>
      </c>
      <c r="C832">
        <v>60</v>
      </c>
      <c r="D832" t="s">
        <v>109</v>
      </c>
      <c r="E832" t="s">
        <v>110</v>
      </c>
      <c r="F832">
        <v>0.36</v>
      </c>
      <c r="G832" t="s">
        <v>15</v>
      </c>
    </row>
    <row r="833" spans="1:7" x14ac:dyDescent="0.25">
      <c r="A833">
        <v>56</v>
      </c>
      <c r="B833" t="s">
        <v>399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399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399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399</v>
      </c>
      <c r="C836">
        <v>100</v>
      </c>
      <c r="D836" t="s">
        <v>124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399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399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399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399</v>
      </c>
      <c r="C840">
        <v>140</v>
      </c>
      <c r="D840" t="s">
        <v>120</v>
      </c>
      <c r="E840" t="s">
        <v>14</v>
      </c>
      <c r="F840">
        <v>0.33</v>
      </c>
      <c r="G840" t="s">
        <v>15</v>
      </c>
    </row>
    <row r="841" spans="1:7" x14ac:dyDescent="0.25">
      <c r="A841">
        <v>56</v>
      </c>
      <c r="B841" t="s">
        <v>399</v>
      </c>
      <c r="C841">
        <v>150</v>
      </c>
      <c r="D841" t="s">
        <v>403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404</v>
      </c>
      <c r="C842">
        <v>10</v>
      </c>
      <c r="D842" t="s">
        <v>405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404</v>
      </c>
      <c r="C843">
        <v>20</v>
      </c>
      <c r="D843" t="s">
        <v>242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404</v>
      </c>
      <c r="C844">
        <v>30</v>
      </c>
      <c r="D844" t="s">
        <v>406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404</v>
      </c>
      <c r="C845">
        <v>40</v>
      </c>
      <c r="D845" t="s">
        <v>407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404</v>
      </c>
      <c r="C846">
        <v>50</v>
      </c>
      <c r="D846" t="s">
        <v>118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404</v>
      </c>
      <c r="C847">
        <v>60</v>
      </c>
      <c r="D847" t="s">
        <v>109</v>
      </c>
      <c r="E847" t="s">
        <v>110</v>
      </c>
      <c r="F847">
        <v>0.42699999999999999</v>
      </c>
      <c r="G847" t="s">
        <v>15</v>
      </c>
    </row>
    <row r="848" spans="1:7" x14ac:dyDescent="0.25">
      <c r="A848">
        <v>57</v>
      </c>
      <c r="B848" t="s">
        <v>404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404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404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404</v>
      </c>
      <c r="C851">
        <v>100</v>
      </c>
      <c r="D851" t="s">
        <v>124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404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404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404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404</v>
      </c>
      <c r="C855">
        <v>140</v>
      </c>
      <c r="D855" t="s">
        <v>120</v>
      </c>
      <c r="E855" t="s">
        <v>14</v>
      </c>
      <c r="F855">
        <v>0.375</v>
      </c>
      <c r="G855" t="s">
        <v>15</v>
      </c>
    </row>
    <row r="856" spans="1:7" x14ac:dyDescent="0.25">
      <c r="A856">
        <v>57</v>
      </c>
      <c r="B856" t="s">
        <v>404</v>
      </c>
      <c r="C856">
        <v>150</v>
      </c>
      <c r="D856" t="s">
        <v>408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409</v>
      </c>
      <c r="C857">
        <v>10</v>
      </c>
      <c r="D857" t="s">
        <v>410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409</v>
      </c>
      <c r="C858">
        <v>20</v>
      </c>
      <c r="D858" t="s">
        <v>242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409</v>
      </c>
      <c r="C859">
        <v>30</v>
      </c>
      <c r="D859" t="s">
        <v>411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409</v>
      </c>
      <c r="C860">
        <v>40</v>
      </c>
      <c r="D860" t="s">
        <v>412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409</v>
      </c>
      <c r="C861">
        <v>50</v>
      </c>
      <c r="D861" t="s">
        <v>118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409</v>
      </c>
      <c r="C862">
        <v>60</v>
      </c>
      <c r="D862" t="s">
        <v>109</v>
      </c>
      <c r="E862" t="s">
        <v>110</v>
      </c>
      <c r="F862">
        <v>0.495</v>
      </c>
      <c r="G862" t="s">
        <v>15</v>
      </c>
    </row>
    <row r="863" spans="1:7" x14ac:dyDescent="0.25">
      <c r="A863">
        <v>58</v>
      </c>
      <c r="B863" t="s">
        <v>409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409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409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409</v>
      </c>
      <c r="C866">
        <v>100</v>
      </c>
      <c r="D866" t="s">
        <v>124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409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409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409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409</v>
      </c>
      <c r="C870">
        <v>140</v>
      </c>
      <c r="D870" t="s">
        <v>120</v>
      </c>
      <c r="E870" t="s">
        <v>14</v>
      </c>
      <c r="F870">
        <v>0.42</v>
      </c>
      <c r="G870" t="s">
        <v>15</v>
      </c>
    </row>
    <row r="871" spans="1:7" x14ac:dyDescent="0.25">
      <c r="A871">
        <v>58</v>
      </c>
      <c r="B871" t="s">
        <v>409</v>
      </c>
      <c r="C871">
        <v>150</v>
      </c>
      <c r="D871" t="s">
        <v>413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414</v>
      </c>
      <c r="C872">
        <v>10</v>
      </c>
      <c r="D872" t="s">
        <v>415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414</v>
      </c>
      <c r="C873">
        <v>20</v>
      </c>
      <c r="D873" t="s">
        <v>242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414</v>
      </c>
      <c r="C874">
        <v>30</v>
      </c>
      <c r="D874" t="s">
        <v>416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414</v>
      </c>
      <c r="C875">
        <v>40</v>
      </c>
      <c r="D875" t="s">
        <v>417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414</v>
      </c>
      <c r="C876">
        <v>50</v>
      </c>
      <c r="D876" t="s">
        <v>118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414</v>
      </c>
      <c r="C877">
        <v>60</v>
      </c>
      <c r="D877" t="s">
        <v>109</v>
      </c>
      <c r="E877" t="s">
        <v>110</v>
      </c>
      <c r="F877">
        <v>0.629</v>
      </c>
      <c r="G877" t="s">
        <v>15</v>
      </c>
    </row>
    <row r="878" spans="1:7" x14ac:dyDescent="0.25">
      <c r="A878">
        <v>59</v>
      </c>
      <c r="B878" t="s">
        <v>414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414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414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414</v>
      </c>
      <c r="C881">
        <v>100</v>
      </c>
      <c r="D881" t="s">
        <v>124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414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414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414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414</v>
      </c>
      <c r="C885">
        <v>140</v>
      </c>
      <c r="D885" t="s">
        <v>120</v>
      </c>
      <c r="E885" t="s">
        <v>14</v>
      </c>
      <c r="F885">
        <v>0.51</v>
      </c>
      <c r="G885" t="s">
        <v>15</v>
      </c>
    </row>
    <row r="886" spans="1:7" x14ac:dyDescent="0.25">
      <c r="A886">
        <v>59</v>
      </c>
      <c r="B886" t="s">
        <v>414</v>
      </c>
      <c r="C886">
        <v>150</v>
      </c>
      <c r="D886" t="s">
        <v>418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419</v>
      </c>
      <c r="C887">
        <v>10</v>
      </c>
      <c r="D887" t="s">
        <v>420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419</v>
      </c>
      <c r="C888">
        <v>20</v>
      </c>
      <c r="D888" t="s">
        <v>242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419</v>
      </c>
      <c r="C889">
        <v>30</v>
      </c>
      <c r="D889" t="s">
        <v>421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419</v>
      </c>
      <c r="C890">
        <v>40</v>
      </c>
      <c r="D890" t="s">
        <v>422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419</v>
      </c>
      <c r="C891">
        <v>50</v>
      </c>
      <c r="D891" t="s">
        <v>118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419</v>
      </c>
      <c r="C892">
        <v>60</v>
      </c>
      <c r="D892" t="s">
        <v>109</v>
      </c>
      <c r="E892" t="s">
        <v>110</v>
      </c>
      <c r="F892">
        <v>0.69699999999999995</v>
      </c>
      <c r="G892" t="s">
        <v>15</v>
      </c>
    </row>
    <row r="893" spans="1:7" x14ac:dyDescent="0.25">
      <c r="A893">
        <v>60</v>
      </c>
      <c r="B893" t="s">
        <v>419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419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419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419</v>
      </c>
      <c r="C896">
        <v>100</v>
      </c>
      <c r="D896" t="s">
        <v>124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419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419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419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419</v>
      </c>
      <c r="C900">
        <v>140</v>
      </c>
      <c r="D900" t="s">
        <v>120</v>
      </c>
      <c r="E900" t="s">
        <v>14</v>
      </c>
      <c r="F900">
        <v>0.55500000000000005</v>
      </c>
      <c r="G900" t="s">
        <v>15</v>
      </c>
    </row>
    <row r="901" spans="1:7" x14ac:dyDescent="0.25">
      <c r="A901">
        <v>60</v>
      </c>
      <c r="B901" t="s">
        <v>419</v>
      </c>
      <c r="C901">
        <v>150</v>
      </c>
      <c r="D901" t="s">
        <v>423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424</v>
      </c>
      <c r="C902">
        <v>10</v>
      </c>
      <c r="D902" t="s">
        <v>425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424</v>
      </c>
      <c r="C903">
        <v>20</v>
      </c>
      <c r="D903" t="s">
        <v>242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424</v>
      </c>
      <c r="C904">
        <v>30</v>
      </c>
      <c r="D904" t="s">
        <v>426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424</v>
      </c>
      <c r="C905">
        <v>40</v>
      </c>
      <c r="D905" t="s">
        <v>427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424</v>
      </c>
      <c r="C906">
        <v>50</v>
      </c>
      <c r="D906" t="s">
        <v>118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424</v>
      </c>
      <c r="C907">
        <v>60</v>
      </c>
      <c r="D907" t="s">
        <v>109</v>
      </c>
      <c r="E907" t="s">
        <v>110</v>
      </c>
      <c r="F907">
        <v>0.76400000000000001</v>
      </c>
      <c r="G907" t="s">
        <v>15</v>
      </c>
    </row>
    <row r="908" spans="1:7" x14ac:dyDescent="0.25">
      <c r="A908">
        <v>61</v>
      </c>
      <c r="B908" t="s">
        <v>424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424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424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424</v>
      </c>
      <c r="C911">
        <v>100</v>
      </c>
      <c r="D911" t="s">
        <v>124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424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424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424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424</v>
      </c>
      <c r="C915">
        <v>140</v>
      </c>
      <c r="D915" t="s">
        <v>120</v>
      </c>
      <c r="E915" t="s">
        <v>14</v>
      </c>
      <c r="F915">
        <v>0.60099999999999998</v>
      </c>
      <c r="G915" t="s">
        <v>15</v>
      </c>
    </row>
    <row r="916" spans="1:7" x14ac:dyDescent="0.25">
      <c r="A916">
        <v>61</v>
      </c>
      <c r="B916" t="s">
        <v>424</v>
      </c>
      <c r="C916">
        <v>150</v>
      </c>
      <c r="D916" t="s">
        <v>428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429</v>
      </c>
      <c r="C917">
        <v>10</v>
      </c>
      <c r="D917" t="s">
        <v>430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429</v>
      </c>
      <c r="C918">
        <v>20</v>
      </c>
      <c r="D918" t="s">
        <v>242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429</v>
      </c>
      <c r="C919">
        <v>30</v>
      </c>
      <c r="D919" t="s">
        <v>431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429</v>
      </c>
      <c r="C920">
        <v>40</v>
      </c>
      <c r="D920" t="s">
        <v>432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429</v>
      </c>
      <c r="C921">
        <v>50</v>
      </c>
      <c r="D921" t="s">
        <v>118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429</v>
      </c>
      <c r="C922">
        <v>60</v>
      </c>
      <c r="D922" t="s">
        <v>109</v>
      </c>
      <c r="E922" t="s">
        <v>110</v>
      </c>
      <c r="F922">
        <v>0.3</v>
      </c>
      <c r="G922" t="s">
        <v>15</v>
      </c>
    </row>
    <row r="923" spans="1:7" x14ac:dyDescent="0.25">
      <c r="A923">
        <v>62</v>
      </c>
      <c r="B923" t="s">
        <v>429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429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429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429</v>
      </c>
      <c r="C926">
        <v>100</v>
      </c>
      <c r="D926" t="s">
        <v>124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429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429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429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429</v>
      </c>
      <c r="C930">
        <v>140</v>
      </c>
      <c r="D930" t="s">
        <v>120</v>
      </c>
      <c r="E930" t="s">
        <v>14</v>
      </c>
      <c r="F930">
        <v>0.66100000000000003</v>
      </c>
      <c r="G930" t="s">
        <v>15</v>
      </c>
    </row>
    <row r="931" spans="1:7" x14ac:dyDescent="0.25">
      <c r="A931">
        <v>62</v>
      </c>
      <c r="B931" t="s">
        <v>429</v>
      </c>
      <c r="C931">
        <v>150</v>
      </c>
      <c r="D931" t="s">
        <v>433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434</v>
      </c>
      <c r="C932">
        <v>10</v>
      </c>
      <c r="D932" t="s">
        <v>435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434</v>
      </c>
      <c r="C933">
        <v>20</v>
      </c>
      <c r="D933" t="s">
        <v>242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434</v>
      </c>
      <c r="C934">
        <v>30</v>
      </c>
      <c r="D934" t="s">
        <v>436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434</v>
      </c>
      <c r="C935">
        <v>40</v>
      </c>
      <c r="D935" t="s">
        <v>437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434</v>
      </c>
      <c r="C936">
        <v>50</v>
      </c>
      <c r="D936" t="s">
        <v>118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434</v>
      </c>
      <c r="C937">
        <v>60</v>
      </c>
      <c r="D937" t="s">
        <v>109</v>
      </c>
      <c r="E937" t="s">
        <v>110</v>
      </c>
      <c r="F937">
        <v>0.36899999999999999</v>
      </c>
      <c r="G937" t="s">
        <v>15</v>
      </c>
    </row>
    <row r="938" spans="1:7" x14ac:dyDescent="0.25">
      <c r="A938">
        <v>63</v>
      </c>
      <c r="B938" t="s">
        <v>434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434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434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434</v>
      </c>
      <c r="C941">
        <v>100</v>
      </c>
      <c r="D941" t="s">
        <v>124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434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434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434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434</v>
      </c>
      <c r="C945">
        <v>140</v>
      </c>
      <c r="D945" t="s">
        <v>120</v>
      </c>
      <c r="E945" t="s">
        <v>14</v>
      </c>
      <c r="F945">
        <v>0.66100000000000003</v>
      </c>
      <c r="G945" t="s">
        <v>15</v>
      </c>
    </row>
    <row r="946" spans="1:7" x14ac:dyDescent="0.25">
      <c r="A946">
        <v>63</v>
      </c>
      <c r="B946" t="s">
        <v>434</v>
      </c>
      <c r="C946">
        <v>150</v>
      </c>
      <c r="D946" t="s">
        <v>438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439</v>
      </c>
      <c r="C947">
        <v>10</v>
      </c>
      <c r="D947" t="s">
        <v>440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439</v>
      </c>
      <c r="C948">
        <v>20</v>
      </c>
      <c r="D948" t="s">
        <v>242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439</v>
      </c>
      <c r="C949">
        <v>30</v>
      </c>
      <c r="D949" t="s">
        <v>441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439</v>
      </c>
      <c r="C950">
        <v>40</v>
      </c>
      <c r="D950" t="s">
        <v>442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439</v>
      </c>
      <c r="C951">
        <v>50</v>
      </c>
      <c r="D951" t="s">
        <v>118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439</v>
      </c>
      <c r="C952">
        <v>60</v>
      </c>
      <c r="D952" t="s">
        <v>109</v>
      </c>
      <c r="E952" t="s">
        <v>110</v>
      </c>
      <c r="F952">
        <v>0.439</v>
      </c>
      <c r="G952" t="s">
        <v>15</v>
      </c>
    </row>
    <row r="953" spans="1:7" x14ac:dyDescent="0.25">
      <c r="A953">
        <v>64</v>
      </c>
      <c r="B953" t="s">
        <v>439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439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439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439</v>
      </c>
      <c r="C956">
        <v>100</v>
      </c>
      <c r="D956" t="s">
        <v>124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439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439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439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439</v>
      </c>
      <c r="C960">
        <v>140</v>
      </c>
      <c r="D960" t="s">
        <v>120</v>
      </c>
      <c r="E960" t="s">
        <v>14</v>
      </c>
      <c r="F960">
        <v>0.66100000000000003</v>
      </c>
      <c r="G960" t="s">
        <v>15</v>
      </c>
    </row>
    <row r="961" spans="1:7" x14ac:dyDescent="0.25">
      <c r="A961">
        <v>64</v>
      </c>
      <c r="B961" t="s">
        <v>439</v>
      </c>
      <c r="C961">
        <v>150</v>
      </c>
      <c r="D961" t="s">
        <v>443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444</v>
      </c>
      <c r="C962">
        <v>10</v>
      </c>
      <c r="D962" t="s">
        <v>445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444</v>
      </c>
      <c r="C963">
        <v>20</v>
      </c>
      <c r="D963" t="s">
        <v>242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444</v>
      </c>
      <c r="C964">
        <v>30</v>
      </c>
      <c r="D964" t="s">
        <v>446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444</v>
      </c>
      <c r="C965">
        <v>40</v>
      </c>
      <c r="D965" t="s">
        <v>447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444</v>
      </c>
      <c r="C966">
        <v>50</v>
      </c>
      <c r="D966" t="s">
        <v>118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444</v>
      </c>
      <c r="C967">
        <v>60</v>
      </c>
      <c r="D967" t="s">
        <v>109</v>
      </c>
      <c r="E967" t="s">
        <v>110</v>
      </c>
      <c r="F967">
        <v>0.50800000000000001</v>
      </c>
      <c r="G967" t="s">
        <v>15</v>
      </c>
    </row>
    <row r="968" spans="1:7" x14ac:dyDescent="0.25">
      <c r="A968">
        <v>65</v>
      </c>
      <c r="B968" t="s">
        <v>444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444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444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444</v>
      </c>
      <c r="C971">
        <v>100</v>
      </c>
      <c r="D971" t="s">
        <v>124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444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444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444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444</v>
      </c>
      <c r="C975">
        <v>140</v>
      </c>
      <c r="D975" t="s">
        <v>120</v>
      </c>
      <c r="E975" t="s">
        <v>14</v>
      </c>
      <c r="F975">
        <v>0.66100000000000003</v>
      </c>
      <c r="G975" t="s">
        <v>15</v>
      </c>
    </row>
    <row r="976" spans="1:7" x14ac:dyDescent="0.25">
      <c r="A976">
        <v>65</v>
      </c>
      <c r="B976" t="s">
        <v>444</v>
      </c>
      <c r="C976">
        <v>150</v>
      </c>
      <c r="D976" t="s">
        <v>448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449</v>
      </c>
      <c r="C977">
        <v>10</v>
      </c>
      <c r="D977" t="s">
        <v>450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449</v>
      </c>
      <c r="C978">
        <v>20</v>
      </c>
      <c r="D978" t="s">
        <v>242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449</v>
      </c>
      <c r="C979">
        <v>30</v>
      </c>
      <c r="D979" t="s">
        <v>451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449</v>
      </c>
      <c r="C980">
        <v>40</v>
      </c>
      <c r="D980" t="s">
        <v>452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449</v>
      </c>
      <c r="C981">
        <v>50</v>
      </c>
      <c r="D981" t="s">
        <v>118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449</v>
      </c>
      <c r="C982">
        <v>60</v>
      </c>
      <c r="D982" t="s">
        <v>109</v>
      </c>
      <c r="E982" t="s">
        <v>110</v>
      </c>
      <c r="F982">
        <v>0.64600000000000002</v>
      </c>
      <c r="G982" t="s">
        <v>15</v>
      </c>
    </row>
    <row r="983" spans="1:7" x14ac:dyDescent="0.25">
      <c r="A983">
        <v>66</v>
      </c>
      <c r="B983" t="s">
        <v>449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449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449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449</v>
      </c>
      <c r="C986">
        <v>100</v>
      </c>
      <c r="D986" t="s">
        <v>124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449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449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449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449</v>
      </c>
      <c r="C990">
        <v>140</v>
      </c>
      <c r="D990" t="s">
        <v>120</v>
      </c>
      <c r="E990" t="s">
        <v>14</v>
      </c>
      <c r="F990">
        <v>0.66100000000000003</v>
      </c>
      <c r="G990" t="s">
        <v>15</v>
      </c>
    </row>
    <row r="991" spans="1:7" x14ac:dyDescent="0.25">
      <c r="A991">
        <v>66</v>
      </c>
      <c r="B991" t="s">
        <v>449</v>
      </c>
      <c r="C991">
        <v>150</v>
      </c>
      <c r="D991" t="s">
        <v>453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454</v>
      </c>
      <c r="C992">
        <v>10</v>
      </c>
      <c r="D992" t="s">
        <v>455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454</v>
      </c>
      <c r="C993">
        <v>20</v>
      </c>
      <c r="D993" t="s">
        <v>242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454</v>
      </c>
      <c r="C994">
        <v>30</v>
      </c>
      <c r="D994" t="s">
        <v>456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454</v>
      </c>
      <c r="C995">
        <v>40</v>
      </c>
      <c r="D995" t="s">
        <v>457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454</v>
      </c>
      <c r="C996">
        <v>50</v>
      </c>
      <c r="D996" t="s">
        <v>118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454</v>
      </c>
      <c r="C997">
        <v>60</v>
      </c>
      <c r="D997" t="s">
        <v>109</v>
      </c>
      <c r="E997" t="s">
        <v>110</v>
      </c>
      <c r="F997">
        <v>0.71599999999999997</v>
      </c>
      <c r="G997" t="s">
        <v>15</v>
      </c>
    </row>
    <row r="998" spans="1:7" x14ac:dyDescent="0.25">
      <c r="A998">
        <v>67</v>
      </c>
      <c r="B998" t="s">
        <v>454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454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454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454</v>
      </c>
      <c r="C1001">
        <v>100</v>
      </c>
      <c r="D1001" t="s">
        <v>124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454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454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454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454</v>
      </c>
      <c r="C1005">
        <v>140</v>
      </c>
      <c r="D1005" t="s">
        <v>120</v>
      </c>
      <c r="E1005" t="s">
        <v>14</v>
      </c>
      <c r="F1005">
        <v>0.66100000000000003</v>
      </c>
      <c r="G1005" t="s">
        <v>15</v>
      </c>
    </row>
    <row r="1006" spans="1:7" x14ac:dyDescent="0.25">
      <c r="A1006">
        <v>67</v>
      </c>
      <c r="B1006" t="s">
        <v>454</v>
      </c>
      <c r="C1006">
        <v>150</v>
      </c>
      <c r="D1006" t="s">
        <v>458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459</v>
      </c>
      <c r="C1007">
        <v>10</v>
      </c>
      <c r="D1007" t="s">
        <v>460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459</v>
      </c>
      <c r="C1008">
        <v>20</v>
      </c>
      <c r="D1008" t="s">
        <v>242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459</v>
      </c>
      <c r="C1009">
        <v>30</v>
      </c>
      <c r="D1009" t="s">
        <v>461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459</v>
      </c>
      <c r="C1010">
        <v>40</v>
      </c>
      <c r="D1010" t="s">
        <v>462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459</v>
      </c>
      <c r="C1011">
        <v>50</v>
      </c>
      <c r="D1011" t="s">
        <v>118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459</v>
      </c>
      <c r="C1012">
        <v>60</v>
      </c>
      <c r="D1012" t="s">
        <v>109</v>
      </c>
      <c r="E1012" t="s">
        <v>110</v>
      </c>
      <c r="F1012">
        <v>0.78500000000000003</v>
      </c>
      <c r="G1012" t="s">
        <v>15</v>
      </c>
    </row>
    <row r="1013" spans="1:7" x14ac:dyDescent="0.25">
      <c r="A1013">
        <v>68</v>
      </c>
      <c r="B1013" t="s">
        <v>459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459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459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459</v>
      </c>
      <c r="C1016">
        <v>100</v>
      </c>
      <c r="D1016" t="s">
        <v>124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459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459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459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459</v>
      </c>
      <c r="C1020">
        <v>140</v>
      </c>
      <c r="D1020" t="s">
        <v>120</v>
      </c>
      <c r="E1020" t="s">
        <v>14</v>
      </c>
      <c r="F1020">
        <v>0.66100000000000003</v>
      </c>
      <c r="G1020" t="s">
        <v>15</v>
      </c>
    </row>
    <row r="1021" spans="1:7" x14ac:dyDescent="0.25">
      <c r="A1021">
        <v>68</v>
      </c>
      <c r="B1021" t="s">
        <v>459</v>
      </c>
      <c r="C1021">
        <v>150</v>
      </c>
      <c r="D1021" t="s">
        <v>463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464</v>
      </c>
      <c r="C1022">
        <v>10</v>
      </c>
      <c r="D1022" t="s">
        <v>465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464</v>
      </c>
      <c r="C1023">
        <v>20</v>
      </c>
      <c r="D1023" t="s">
        <v>242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464</v>
      </c>
      <c r="C1024">
        <v>30</v>
      </c>
      <c r="D1024" t="s">
        <v>466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464</v>
      </c>
      <c r="C1025">
        <v>40</v>
      </c>
      <c r="D1025" t="s">
        <v>467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464</v>
      </c>
      <c r="C1026">
        <v>50</v>
      </c>
      <c r="D1026" t="s">
        <v>118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464</v>
      </c>
      <c r="C1027">
        <v>60</v>
      </c>
      <c r="D1027" t="s">
        <v>109</v>
      </c>
      <c r="E1027" t="s">
        <v>110</v>
      </c>
      <c r="F1027">
        <v>0.316</v>
      </c>
      <c r="G1027" t="s">
        <v>15</v>
      </c>
    </row>
    <row r="1028" spans="1:7" x14ac:dyDescent="0.25">
      <c r="A1028">
        <v>69</v>
      </c>
      <c r="B1028" t="s">
        <v>464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464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464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464</v>
      </c>
      <c r="C1031">
        <v>100</v>
      </c>
      <c r="D1031" t="s">
        <v>124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464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464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464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464</v>
      </c>
      <c r="C1035">
        <v>140</v>
      </c>
      <c r="D1035" t="s">
        <v>120</v>
      </c>
      <c r="E1035" t="s">
        <v>14</v>
      </c>
      <c r="F1035">
        <v>0.69099999999999995</v>
      </c>
      <c r="G1035" t="s">
        <v>15</v>
      </c>
    </row>
    <row r="1036" spans="1:7" x14ac:dyDescent="0.25">
      <c r="A1036">
        <v>69</v>
      </c>
      <c r="B1036" t="s">
        <v>464</v>
      </c>
      <c r="C1036">
        <v>150</v>
      </c>
      <c r="D1036" t="s">
        <v>468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469</v>
      </c>
      <c r="C1037">
        <v>10</v>
      </c>
      <c r="D1037" t="s">
        <v>470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469</v>
      </c>
      <c r="C1038">
        <v>20</v>
      </c>
      <c r="D1038" t="s">
        <v>242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469</v>
      </c>
      <c r="C1039">
        <v>30</v>
      </c>
      <c r="D1039" t="s">
        <v>471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469</v>
      </c>
      <c r="C1040">
        <v>40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469</v>
      </c>
      <c r="C1041">
        <v>50</v>
      </c>
      <c r="D1041" t="s">
        <v>118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469</v>
      </c>
      <c r="C1042">
        <v>60</v>
      </c>
      <c r="D1042" t="s">
        <v>109</v>
      </c>
      <c r="E1042" t="s">
        <v>110</v>
      </c>
      <c r="F1042">
        <v>0.38900000000000001</v>
      </c>
      <c r="G1042" t="s">
        <v>15</v>
      </c>
    </row>
    <row r="1043" spans="1:7" x14ac:dyDescent="0.25">
      <c r="A1043">
        <v>70</v>
      </c>
      <c r="B1043" t="s">
        <v>469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469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469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469</v>
      </c>
      <c r="C1046">
        <v>100</v>
      </c>
      <c r="D1046" t="s">
        <v>124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469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469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469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469</v>
      </c>
      <c r="C1050">
        <v>140</v>
      </c>
      <c r="D1050" t="s">
        <v>120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70</v>
      </c>
      <c r="B1051" t="s">
        <v>469</v>
      </c>
      <c r="C1051">
        <v>150</v>
      </c>
      <c r="D1051" t="s">
        <v>473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474</v>
      </c>
      <c r="C1052">
        <v>10</v>
      </c>
      <c r="D1052" t="s">
        <v>475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474</v>
      </c>
      <c r="C1053">
        <v>20</v>
      </c>
      <c r="D1053" t="s">
        <v>242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474</v>
      </c>
      <c r="C1054">
        <v>30</v>
      </c>
      <c r="D1054" t="s">
        <v>476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474</v>
      </c>
      <c r="C1055">
        <v>40</v>
      </c>
      <c r="D1055" t="s">
        <v>477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474</v>
      </c>
      <c r="C1056">
        <v>50</v>
      </c>
      <c r="D1056" t="s">
        <v>118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474</v>
      </c>
      <c r="C1057">
        <v>60</v>
      </c>
      <c r="D1057" t="s">
        <v>109</v>
      </c>
      <c r="E1057" t="s">
        <v>110</v>
      </c>
      <c r="F1057">
        <v>0.46200000000000002</v>
      </c>
      <c r="G1057" t="s">
        <v>15</v>
      </c>
    </row>
    <row r="1058" spans="1:7" x14ac:dyDescent="0.25">
      <c r="A1058">
        <v>71</v>
      </c>
      <c r="B1058" t="s">
        <v>474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474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474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474</v>
      </c>
      <c r="C1061">
        <v>100</v>
      </c>
      <c r="D1061" t="s">
        <v>124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474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474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474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474</v>
      </c>
      <c r="C1065">
        <v>140</v>
      </c>
      <c r="D1065" t="s">
        <v>120</v>
      </c>
      <c r="E1065" t="s">
        <v>14</v>
      </c>
      <c r="F1065">
        <v>0.69099999999999995</v>
      </c>
      <c r="G1065" t="s">
        <v>15</v>
      </c>
    </row>
    <row r="1066" spans="1:7" x14ac:dyDescent="0.25">
      <c r="A1066">
        <v>71</v>
      </c>
      <c r="B1066" t="s">
        <v>474</v>
      </c>
      <c r="C1066">
        <v>150</v>
      </c>
      <c r="D1066" t="s">
        <v>478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479</v>
      </c>
      <c r="C1067">
        <v>10</v>
      </c>
      <c r="D1067" t="s">
        <v>480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479</v>
      </c>
      <c r="C1068">
        <v>20</v>
      </c>
      <c r="D1068" t="s">
        <v>242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479</v>
      </c>
      <c r="C1069">
        <v>30</v>
      </c>
      <c r="D1069" t="s">
        <v>481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479</v>
      </c>
      <c r="C1070">
        <v>40</v>
      </c>
      <c r="D1070" t="s">
        <v>482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479</v>
      </c>
      <c r="C1071">
        <v>50</v>
      </c>
      <c r="D1071" t="s">
        <v>118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479</v>
      </c>
      <c r="C1072">
        <v>60</v>
      </c>
      <c r="D1072" t="s">
        <v>109</v>
      </c>
      <c r="E1072" t="s">
        <v>110</v>
      </c>
      <c r="F1072">
        <v>0.53500000000000003</v>
      </c>
      <c r="G1072" t="s">
        <v>15</v>
      </c>
    </row>
    <row r="1073" spans="1:7" x14ac:dyDescent="0.25">
      <c r="A1073">
        <v>72</v>
      </c>
      <c r="B1073" t="s">
        <v>479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479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479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479</v>
      </c>
      <c r="C1076">
        <v>100</v>
      </c>
      <c r="D1076" t="s">
        <v>124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479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479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479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479</v>
      </c>
      <c r="C1080">
        <v>140</v>
      </c>
      <c r="D1080" t="s">
        <v>120</v>
      </c>
      <c r="E1080" t="s">
        <v>14</v>
      </c>
      <c r="F1080">
        <v>0.69099999999999995</v>
      </c>
      <c r="G1080" t="s">
        <v>15</v>
      </c>
    </row>
    <row r="1081" spans="1:7" x14ac:dyDescent="0.25">
      <c r="A1081">
        <v>72</v>
      </c>
      <c r="B1081" t="s">
        <v>479</v>
      </c>
      <c r="C1081">
        <v>150</v>
      </c>
      <c r="D1081" t="s">
        <v>483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484</v>
      </c>
      <c r="C1082">
        <v>10</v>
      </c>
      <c r="D1082" t="s">
        <v>485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484</v>
      </c>
      <c r="C1083">
        <v>20</v>
      </c>
      <c r="D1083" t="s">
        <v>242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484</v>
      </c>
      <c r="C1084">
        <v>30</v>
      </c>
      <c r="D1084" t="s">
        <v>486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484</v>
      </c>
      <c r="C1085">
        <v>40</v>
      </c>
      <c r="D1085" t="s">
        <v>487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484</v>
      </c>
      <c r="C1086">
        <v>50</v>
      </c>
      <c r="D1086" t="s">
        <v>118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484</v>
      </c>
      <c r="C1087">
        <v>60</v>
      </c>
      <c r="D1087" t="s">
        <v>109</v>
      </c>
      <c r="E1087" t="s">
        <v>110</v>
      </c>
      <c r="F1087">
        <v>0.68</v>
      </c>
      <c r="G1087" t="s">
        <v>15</v>
      </c>
    </row>
    <row r="1088" spans="1:7" x14ac:dyDescent="0.25">
      <c r="A1088">
        <v>73</v>
      </c>
      <c r="B1088" t="s">
        <v>484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484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484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484</v>
      </c>
      <c r="C1091">
        <v>100</v>
      </c>
      <c r="D1091" t="s">
        <v>124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484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484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484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484</v>
      </c>
      <c r="C1095">
        <v>140</v>
      </c>
      <c r="D1095" t="s">
        <v>120</v>
      </c>
      <c r="E1095" t="s">
        <v>14</v>
      </c>
      <c r="F1095">
        <v>0.69099999999999995</v>
      </c>
      <c r="G1095" t="s">
        <v>15</v>
      </c>
    </row>
    <row r="1096" spans="1:7" x14ac:dyDescent="0.25">
      <c r="A1096">
        <v>73</v>
      </c>
      <c r="B1096" t="s">
        <v>484</v>
      </c>
      <c r="C1096">
        <v>150</v>
      </c>
      <c r="D1096" t="s">
        <v>488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489</v>
      </c>
      <c r="C1097">
        <v>10</v>
      </c>
      <c r="D1097" t="s">
        <v>490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489</v>
      </c>
      <c r="C1098">
        <v>20</v>
      </c>
      <c r="D1098" t="s">
        <v>242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489</v>
      </c>
      <c r="C1099">
        <v>30</v>
      </c>
      <c r="D1099" t="s">
        <v>491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489</v>
      </c>
      <c r="C1100">
        <v>40</v>
      </c>
      <c r="D1100" t="s">
        <v>492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489</v>
      </c>
      <c r="C1101">
        <v>50</v>
      </c>
      <c r="D1101" t="s">
        <v>118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489</v>
      </c>
      <c r="C1102">
        <v>60</v>
      </c>
      <c r="D1102" t="s">
        <v>109</v>
      </c>
      <c r="E1102" t="s">
        <v>110</v>
      </c>
      <c r="F1102">
        <v>0.753</v>
      </c>
      <c r="G1102" t="s">
        <v>15</v>
      </c>
    </row>
    <row r="1103" spans="1:7" x14ac:dyDescent="0.25">
      <c r="A1103">
        <v>74</v>
      </c>
      <c r="B1103" t="s">
        <v>489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489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489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489</v>
      </c>
      <c r="C1106">
        <v>100</v>
      </c>
      <c r="D1106" t="s">
        <v>124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489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489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489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489</v>
      </c>
      <c r="C1110">
        <v>140</v>
      </c>
      <c r="D1110" t="s">
        <v>120</v>
      </c>
      <c r="E1110" t="s">
        <v>14</v>
      </c>
      <c r="F1110">
        <v>0.69099999999999995</v>
      </c>
      <c r="G1110" t="s">
        <v>15</v>
      </c>
    </row>
    <row r="1111" spans="1:7" x14ac:dyDescent="0.25">
      <c r="A1111">
        <v>74</v>
      </c>
      <c r="B1111" t="s">
        <v>489</v>
      </c>
      <c r="C1111">
        <v>150</v>
      </c>
      <c r="D1111" t="s">
        <v>493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494</v>
      </c>
      <c r="C1112">
        <v>10</v>
      </c>
      <c r="D1112" t="s">
        <v>495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494</v>
      </c>
      <c r="C1113">
        <v>20</v>
      </c>
      <c r="D1113" t="s">
        <v>242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494</v>
      </c>
      <c r="C1114">
        <v>30</v>
      </c>
      <c r="D1114" t="s">
        <v>496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494</v>
      </c>
      <c r="C1115">
        <v>40</v>
      </c>
      <c r="D1115" t="s">
        <v>497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494</v>
      </c>
      <c r="C1116">
        <v>50</v>
      </c>
      <c r="D1116" t="s">
        <v>118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494</v>
      </c>
      <c r="C1117">
        <v>60</v>
      </c>
      <c r="D1117" t="s">
        <v>109</v>
      </c>
      <c r="E1117" t="s">
        <v>110</v>
      </c>
      <c r="F1117">
        <v>0.82599999999999996</v>
      </c>
      <c r="G1117" t="s">
        <v>15</v>
      </c>
    </row>
    <row r="1118" spans="1:7" x14ac:dyDescent="0.25">
      <c r="A1118">
        <v>75</v>
      </c>
      <c r="B1118" t="s">
        <v>494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494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494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494</v>
      </c>
      <c r="C1121">
        <v>100</v>
      </c>
      <c r="D1121" t="s">
        <v>124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494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494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494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494</v>
      </c>
      <c r="C1125">
        <v>140</v>
      </c>
      <c r="D1125" t="s">
        <v>120</v>
      </c>
      <c r="E1125" t="s">
        <v>14</v>
      </c>
      <c r="F1125">
        <v>0.69099999999999995</v>
      </c>
      <c r="G1125" t="s">
        <v>15</v>
      </c>
    </row>
    <row r="1126" spans="1:7" x14ac:dyDescent="0.25">
      <c r="A1126">
        <v>75</v>
      </c>
      <c r="B1126" t="s">
        <v>494</v>
      </c>
      <c r="C1126">
        <v>150</v>
      </c>
      <c r="D1126" t="s">
        <v>498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abSelected="1" zoomScale="85" zoomScaleNormal="85" workbookViewId="0">
      <selection activeCell="E12" sqref="E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2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2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3" t="s">
        <v>53</v>
      </c>
      <c r="C4" s="23" t="s">
        <v>54</v>
      </c>
      <c r="D4" s="41" t="s">
        <v>55</v>
      </c>
      <c r="E4" s="23" t="s">
        <v>3</v>
      </c>
      <c r="F4" s="41" t="s">
        <v>56</v>
      </c>
      <c r="G4" s="23" t="s">
        <v>57</v>
      </c>
      <c r="H4" s="23" t="s">
        <v>6</v>
      </c>
      <c r="I4" s="23" t="s">
        <v>58</v>
      </c>
      <c r="J4" s="41" t="s">
        <v>59</v>
      </c>
      <c r="K4" s="41" t="s">
        <v>60</v>
      </c>
      <c r="L4" s="41" t="s">
        <v>61</v>
      </c>
      <c r="M4" s="24" t="s">
        <v>62</v>
      </c>
      <c r="N4" s="25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121</v>
      </c>
      <c r="D5" s="3"/>
      <c r="E5" s="3" t="s">
        <v>121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244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121</v>
      </c>
      <c r="D6" s="3"/>
      <c r="E6" s="3" t="s">
        <v>121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242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121</v>
      </c>
      <c r="D7" s="3"/>
      <c r="E7" s="3" t="s">
        <v>121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122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121</v>
      </c>
      <c r="D8" s="3"/>
      <c r="E8" s="3" t="s">
        <v>121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123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121</v>
      </c>
      <c r="D9" s="3"/>
      <c r="E9" s="3" t="s">
        <v>121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121</v>
      </c>
      <c r="D10" s="3"/>
      <c r="E10" s="3" t="s">
        <v>121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0.29899999999999999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121</v>
      </c>
      <c r="D11" s="3"/>
      <c r="E11" s="3" t="s">
        <v>121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121</v>
      </c>
      <c r="D12" s="3"/>
      <c r="E12" s="3" t="s">
        <v>121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121</v>
      </c>
      <c r="D13" s="3"/>
      <c r="E13" s="3" t="s">
        <v>121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121</v>
      </c>
      <c r="D14" s="3"/>
      <c r="E14" s="3" t="s">
        <v>121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124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121</v>
      </c>
      <c r="D15" s="3"/>
      <c r="E15" s="3" t="s">
        <v>121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121</v>
      </c>
      <c r="D16" s="3"/>
      <c r="E16" s="3" t="s">
        <v>121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121</v>
      </c>
      <c r="D17" s="3"/>
      <c r="E17" s="3" t="s">
        <v>121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121</v>
      </c>
      <c r="D18" s="3"/>
      <c r="E18" s="3" t="s">
        <v>121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120</v>
      </c>
      <c r="O18" s="3"/>
      <c r="P18" s="3"/>
      <c r="Q18" s="3">
        <v>0.308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245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246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242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125</v>
      </c>
      <c r="D23" s="3"/>
      <c r="E23" s="3" t="s">
        <v>125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127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125</v>
      </c>
      <c r="D24" s="3"/>
      <c r="E24" s="3" t="s">
        <v>125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118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125</v>
      </c>
      <c r="D25" s="3"/>
      <c r="E25" s="3" t="s">
        <v>125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0.36099999999999999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125</v>
      </c>
      <c r="D26" s="3"/>
      <c r="E26" s="3" t="s">
        <v>125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125</v>
      </c>
      <c r="D27" s="3"/>
      <c r="E27" s="3" t="s">
        <v>125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125</v>
      </c>
      <c r="D28" s="3"/>
      <c r="E28" s="3" t="s">
        <v>125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125</v>
      </c>
      <c r="D29" s="3"/>
      <c r="E29" s="3" t="s">
        <v>125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124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125</v>
      </c>
      <c r="D30" s="3"/>
      <c r="E30" s="3" t="s">
        <v>125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120</v>
      </c>
      <c r="O33" s="3"/>
      <c r="P33" s="3"/>
      <c r="Q33" s="3">
        <v>0.35299999999999998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247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248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242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129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130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118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0.42299999999999999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124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120</v>
      </c>
      <c r="O48" s="3"/>
      <c r="P48" s="3"/>
      <c r="Q48" s="3">
        <v>0.39800000000000002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249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131</v>
      </c>
      <c r="D50" s="3"/>
      <c r="E50" s="3" t="s">
        <v>131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250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131</v>
      </c>
      <c r="D51" s="3"/>
      <c r="E51" s="3" t="s">
        <v>131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242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131</v>
      </c>
      <c r="D52" s="3"/>
      <c r="E52" s="3" t="s">
        <v>131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132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131</v>
      </c>
      <c r="D53" s="3"/>
      <c r="E53" s="3" t="s">
        <v>131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133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131</v>
      </c>
      <c r="D54" s="3"/>
      <c r="E54" s="3" t="s">
        <v>131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118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131</v>
      </c>
      <c r="D55" s="3"/>
      <c r="E55" s="3" t="s">
        <v>131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0.48499999999999999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131</v>
      </c>
      <c r="D56" s="3"/>
      <c r="E56" s="3" t="s">
        <v>131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131</v>
      </c>
      <c r="D57" s="3"/>
      <c r="E57" s="3" t="s">
        <v>131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131</v>
      </c>
      <c r="D58" s="3"/>
      <c r="E58" s="3" t="s">
        <v>131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131</v>
      </c>
      <c r="D59" s="3"/>
      <c r="E59" s="3" t="s">
        <v>131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124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131</v>
      </c>
      <c r="D60" s="3"/>
      <c r="E60" s="3" t="s">
        <v>131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131</v>
      </c>
      <c r="D61" s="3"/>
      <c r="E61" s="3" t="s">
        <v>131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131</v>
      </c>
      <c r="D62" s="3"/>
      <c r="E62" s="3" t="s">
        <v>131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131</v>
      </c>
      <c r="D63" s="3"/>
      <c r="E63" s="3" t="s">
        <v>131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120</v>
      </c>
      <c r="O63" s="3"/>
      <c r="P63" s="3"/>
      <c r="Q63" s="3">
        <v>0.443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131</v>
      </c>
      <c r="D64" s="3"/>
      <c r="E64" s="3" t="s">
        <v>131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251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134</v>
      </c>
      <c r="D65" s="3"/>
      <c r="E65" s="3" t="s">
        <v>134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252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134</v>
      </c>
      <c r="D66" s="3"/>
      <c r="E66" s="3" t="s">
        <v>134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242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134</v>
      </c>
      <c r="D67" s="3"/>
      <c r="E67" s="3" t="s">
        <v>134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135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134</v>
      </c>
      <c r="D68" s="3"/>
      <c r="E68" s="3" t="s">
        <v>134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136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134</v>
      </c>
      <c r="D69" s="3"/>
      <c r="E69" s="3" t="s">
        <v>134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118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134</v>
      </c>
      <c r="D70" s="3"/>
      <c r="E70" s="3" t="s">
        <v>134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0.51600000000000001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134</v>
      </c>
      <c r="D71" s="3"/>
      <c r="E71" s="3" t="s">
        <v>134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134</v>
      </c>
      <c r="D72" s="3"/>
      <c r="E72" s="3" t="s">
        <v>134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134</v>
      </c>
      <c r="D73" s="3"/>
      <c r="E73" s="3" t="s">
        <v>134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134</v>
      </c>
      <c r="D74" s="3"/>
      <c r="E74" s="3" t="s">
        <v>134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124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134</v>
      </c>
      <c r="D75" s="3"/>
      <c r="E75" s="3" t="s">
        <v>134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134</v>
      </c>
      <c r="D76" s="3"/>
      <c r="E76" s="3" t="s">
        <v>134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134</v>
      </c>
      <c r="D77" s="3"/>
      <c r="E77" s="3" t="s">
        <v>134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134</v>
      </c>
      <c r="D78" s="3"/>
      <c r="E78" s="3" t="s">
        <v>134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120</v>
      </c>
      <c r="O78" s="3"/>
      <c r="P78" s="3"/>
      <c r="Q78" s="3">
        <v>0.46500000000000002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134</v>
      </c>
      <c r="D79" s="3"/>
      <c r="E79" s="3" t="s">
        <v>134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253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137</v>
      </c>
      <c r="D80" s="3"/>
      <c r="E80" s="3" t="s">
        <v>137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254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137</v>
      </c>
      <c r="D81" s="3"/>
      <c r="E81" s="3" t="s">
        <v>137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242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137</v>
      </c>
      <c r="D82" s="3"/>
      <c r="E82" s="3" t="s">
        <v>137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138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137</v>
      </c>
      <c r="D83" s="3"/>
      <c r="E83" s="3" t="s">
        <v>137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139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137</v>
      </c>
      <c r="D84" s="3"/>
      <c r="E84" s="3" t="s">
        <v>137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118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137</v>
      </c>
      <c r="D85" s="3"/>
      <c r="E85" s="3" t="s">
        <v>137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0.54700000000000004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137</v>
      </c>
      <c r="D86" s="3"/>
      <c r="E86" s="3" t="s">
        <v>137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137</v>
      </c>
      <c r="D87" s="3"/>
      <c r="E87" s="3" t="s">
        <v>137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137</v>
      </c>
      <c r="D88" s="3"/>
      <c r="E88" s="3" t="s">
        <v>137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137</v>
      </c>
      <c r="D89" s="3"/>
      <c r="E89" s="3" t="s">
        <v>137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124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137</v>
      </c>
      <c r="D90" s="3"/>
      <c r="E90" s="3" t="s">
        <v>137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137</v>
      </c>
      <c r="D91" s="3"/>
      <c r="E91" s="3" t="s">
        <v>137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137</v>
      </c>
      <c r="D92" s="3"/>
      <c r="E92" s="3" t="s">
        <v>137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137</v>
      </c>
      <c r="D93" s="3"/>
      <c r="E93" s="3" t="s">
        <v>137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120</v>
      </c>
      <c r="O93" s="3"/>
      <c r="P93" s="3"/>
      <c r="Q93" s="3">
        <v>0.48799999999999999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137</v>
      </c>
      <c r="D94" s="3"/>
      <c r="E94" s="3" t="s">
        <v>137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255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140</v>
      </c>
      <c r="D95" s="3"/>
      <c r="E95" s="3" t="s">
        <v>140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256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242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141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142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118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0.60899999999999999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140</v>
      </c>
      <c r="D101" s="3"/>
      <c r="E101" s="3" t="s">
        <v>140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140</v>
      </c>
      <c r="D102" s="3"/>
      <c r="E102" s="3" t="s">
        <v>140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140</v>
      </c>
      <c r="D103" s="3"/>
      <c r="E103" s="3" t="s">
        <v>140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140</v>
      </c>
      <c r="D107" s="3"/>
      <c r="E107" s="3" t="s">
        <v>140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140</v>
      </c>
      <c r="D108" s="3"/>
      <c r="E108" s="3" t="s">
        <v>140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120</v>
      </c>
      <c r="O108" s="3"/>
      <c r="P108" s="3"/>
      <c r="Q108" s="3">
        <v>0.53300000000000003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140</v>
      </c>
      <c r="D109" s="3"/>
      <c r="E109" s="3" t="s">
        <v>140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257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143</v>
      </c>
      <c r="D110" s="3"/>
      <c r="E110" s="3" t="s">
        <v>143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258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143</v>
      </c>
      <c r="D111" s="3"/>
      <c r="E111" s="3" t="s">
        <v>143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242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143</v>
      </c>
      <c r="D112" s="3"/>
      <c r="E112" s="3" t="s">
        <v>143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144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143</v>
      </c>
      <c r="D113" s="3"/>
      <c r="E113" s="3" t="s">
        <v>143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145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143</v>
      </c>
      <c r="D114" s="3"/>
      <c r="E114" s="3" t="s">
        <v>143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118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0.67100000000000004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120</v>
      </c>
      <c r="O123" s="3"/>
      <c r="P123" s="3"/>
      <c r="Q123" s="3">
        <v>0.57799999999999996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143</v>
      </c>
      <c r="D124" s="3"/>
      <c r="E124" s="3" t="s">
        <v>143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259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146</v>
      </c>
      <c r="D125" s="3"/>
      <c r="E125" s="3" t="s">
        <v>146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260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146</v>
      </c>
      <c r="D126" s="3"/>
      <c r="E126" s="3" t="s">
        <v>146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242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146</v>
      </c>
      <c r="D127" s="3"/>
      <c r="E127" s="3" t="s">
        <v>146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147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146</v>
      </c>
      <c r="D128" s="3"/>
      <c r="E128" s="3" t="s">
        <v>146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148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146</v>
      </c>
      <c r="D129" s="3"/>
      <c r="E129" s="3" t="s">
        <v>146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118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146</v>
      </c>
      <c r="D130" s="3"/>
      <c r="E130" s="3" t="s">
        <v>146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0.313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124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146</v>
      </c>
      <c r="D135" s="3"/>
      <c r="E135" s="3" t="s">
        <v>146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146</v>
      </c>
      <c r="D136" s="3"/>
      <c r="E136" s="3" t="s">
        <v>146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146</v>
      </c>
      <c r="D137" s="3"/>
      <c r="E137" s="3" t="s">
        <v>146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146</v>
      </c>
      <c r="D138" s="3"/>
      <c r="E138" s="3" t="s">
        <v>146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120</v>
      </c>
      <c r="O138" s="3"/>
      <c r="P138" s="3"/>
      <c r="Q138" s="3">
        <v>0.308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146</v>
      </c>
      <c r="D139" s="3"/>
      <c r="E139" s="3" t="s">
        <v>146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261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149</v>
      </c>
      <c r="D140" s="3"/>
      <c r="E140" s="3" t="s">
        <v>149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262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149</v>
      </c>
      <c r="D141" s="3"/>
      <c r="E141" s="3" t="s">
        <v>149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242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149</v>
      </c>
      <c r="D142" s="3"/>
      <c r="E142" s="3" t="s">
        <v>149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150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149</v>
      </c>
      <c r="D143" s="3"/>
      <c r="E143" s="3" t="s">
        <v>149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151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149</v>
      </c>
      <c r="D144" s="3"/>
      <c r="E144" s="3" t="s">
        <v>149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118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0.377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149</v>
      </c>
      <c r="D146" s="3"/>
      <c r="E146" s="3" t="s">
        <v>149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149</v>
      </c>
      <c r="D147" s="3"/>
      <c r="E147" s="3" t="s">
        <v>149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149</v>
      </c>
      <c r="D148" s="3"/>
      <c r="E148" s="3" t="s">
        <v>149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149</v>
      </c>
      <c r="D149" s="3"/>
      <c r="E149" s="3" t="s">
        <v>149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124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149</v>
      </c>
      <c r="D150" s="3"/>
      <c r="E150" s="3" t="s">
        <v>149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149</v>
      </c>
      <c r="D151" s="3"/>
      <c r="E151" s="3" t="s">
        <v>149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149</v>
      </c>
      <c r="D152" s="3"/>
      <c r="E152" s="3" t="s">
        <v>149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149</v>
      </c>
      <c r="D153" s="3"/>
      <c r="E153" s="3" t="s">
        <v>149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120</v>
      </c>
      <c r="O153" s="3"/>
      <c r="P153" s="3"/>
      <c r="Q153" s="3">
        <v>0.35299999999999998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149</v>
      </c>
      <c r="D154" s="3"/>
      <c r="E154" s="3" t="s">
        <v>149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263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152</v>
      </c>
      <c r="D155" s="3"/>
      <c r="E155" s="3" t="s">
        <v>152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264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152</v>
      </c>
      <c r="D156" s="3"/>
      <c r="E156" s="3" t="s">
        <v>152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242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152</v>
      </c>
      <c r="D157" s="3"/>
      <c r="E157" s="3" t="s">
        <v>152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153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152</v>
      </c>
      <c r="D158" s="3"/>
      <c r="E158" s="3" t="s">
        <v>152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154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152</v>
      </c>
      <c r="D159" s="3"/>
      <c r="E159" s="3" t="s">
        <v>152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118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152</v>
      </c>
      <c r="D160" s="3"/>
      <c r="E160" s="3" t="s">
        <v>152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0.442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152</v>
      </c>
      <c r="D161" s="3"/>
      <c r="E161" s="3" t="s">
        <v>152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152</v>
      </c>
      <c r="D162" s="3"/>
      <c r="E162" s="3" t="s">
        <v>152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152</v>
      </c>
      <c r="D163" s="3"/>
      <c r="E163" s="3" t="s">
        <v>152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152</v>
      </c>
      <c r="D164" s="3"/>
      <c r="E164" s="3" t="s">
        <v>152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124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152</v>
      </c>
      <c r="D165" s="3"/>
      <c r="E165" s="3" t="s">
        <v>152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152</v>
      </c>
      <c r="D166" s="3"/>
      <c r="E166" s="3" t="s">
        <v>152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152</v>
      </c>
      <c r="D167" s="3"/>
      <c r="E167" s="3" t="s">
        <v>152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152</v>
      </c>
      <c r="D168" s="3"/>
      <c r="E168" s="3" t="s">
        <v>152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120</v>
      </c>
      <c r="O168" s="3"/>
      <c r="P168" s="3"/>
      <c r="Q168" s="3">
        <v>0.39800000000000002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152</v>
      </c>
      <c r="D169" s="3"/>
      <c r="E169" s="3" t="s">
        <v>152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265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155</v>
      </c>
      <c r="D170" s="3"/>
      <c r="E170" s="3" t="s">
        <v>155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266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155</v>
      </c>
      <c r="D171" s="3"/>
      <c r="E171" s="3" t="s">
        <v>155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242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155</v>
      </c>
      <c r="D172" s="3"/>
      <c r="E172" s="3" t="s">
        <v>155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155</v>
      </c>
      <c r="D173" s="3"/>
      <c r="E173" s="3" t="s">
        <v>155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157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155</v>
      </c>
      <c r="D174" s="3"/>
      <c r="E174" s="3" t="s">
        <v>155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118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155</v>
      </c>
      <c r="D175" s="3"/>
      <c r="E175" s="3" t="s">
        <v>155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0.50700000000000001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155</v>
      </c>
      <c r="D176" s="3"/>
      <c r="E176" s="3" t="s">
        <v>155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155</v>
      </c>
      <c r="D177" s="3"/>
      <c r="E177" s="3" t="s">
        <v>155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155</v>
      </c>
      <c r="D178" s="3"/>
      <c r="E178" s="3" t="s">
        <v>155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155</v>
      </c>
      <c r="D179" s="3"/>
      <c r="E179" s="3" t="s">
        <v>155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124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155</v>
      </c>
      <c r="D180" s="3"/>
      <c r="E180" s="3" t="s">
        <v>155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155</v>
      </c>
      <c r="D181" s="3"/>
      <c r="E181" s="3" t="s">
        <v>155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155</v>
      </c>
      <c r="D182" s="3"/>
      <c r="E182" s="3" t="s">
        <v>155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155</v>
      </c>
      <c r="D183" s="3"/>
      <c r="E183" s="3" t="s">
        <v>155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120</v>
      </c>
      <c r="O183" s="3"/>
      <c r="P183" s="3"/>
      <c r="Q183" s="3">
        <v>0.443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155</v>
      </c>
      <c r="D184" s="3"/>
      <c r="E184" s="3" t="s">
        <v>155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267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158</v>
      </c>
      <c r="D185" s="3"/>
      <c r="E185" s="3" t="s">
        <v>158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268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158</v>
      </c>
      <c r="D186" s="3"/>
      <c r="E186" s="3" t="s">
        <v>158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242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158</v>
      </c>
      <c r="D187" s="3"/>
      <c r="E187" s="3" t="s">
        <v>158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159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158</v>
      </c>
      <c r="D188" s="3"/>
      <c r="E188" s="3" t="s">
        <v>158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160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158</v>
      </c>
      <c r="D189" s="3"/>
      <c r="E189" s="3" t="s">
        <v>158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118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158</v>
      </c>
      <c r="D190" s="3"/>
      <c r="E190" s="3" t="s">
        <v>158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0.53900000000000003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158</v>
      </c>
      <c r="D191" s="3"/>
      <c r="E191" s="3" t="s">
        <v>158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158</v>
      </c>
      <c r="D192" s="3"/>
      <c r="E192" s="3" t="s">
        <v>158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158</v>
      </c>
      <c r="D193" s="3"/>
      <c r="E193" s="3" t="s">
        <v>158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158</v>
      </c>
      <c r="D194" s="3"/>
      <c r="E194" s="3" t="s">
        <v>158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158</v>
      </c>
      <c r="D195" s="3"/>
      <c r="E195" s="3" t="s">
        <v>158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158</v>
      </c>
      <c r="D196" s="3"/>
      <c r="E196" s="3" t="s">
        <v>158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158</v>
      </c>
      <c r="D197" s="3"/>
      <c r="E197" s="3" t="s">
        <v>158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158</v>
      </c>
      <c r="D198" s="3"/>
      <c r="E198" s="3" t="s">
        <v>158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120</v>
      </c>
      <c r="O198" s="3"/>
      <c r="P198" s="3"/>
      <c r="Q198" s="3">
        <v>0.46500000000000002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158</v>
      </c>
      <c r="D199" s="3"/>
      <c r="E199" s="3" t="s">
        <v>158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269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161</v>
      </c>
      <c r="D200" s="3"/>
      <c r="E200" s="3" t="s">
        <v>161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270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161</v>
      </c>
      <c r="D201" s="3"/>
      <c r="E201" s="3" t="s">
        <v>161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242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161</v>
      </c>
      <c r="D202" s="3"/>
      <c r="E202" s="3" t="s">
        <v>161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162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161</v>
      </c>
      <c r="D203" s="3"/>
      <c r="E203" s="3" t="s">
        <v>161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163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161</v>
      </c>
      <c r="D204" s="3"/>
      <c r="E204" s="3" t="s">
        <v>161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118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161</v>
      </c>
      <c r="D205" s="3"/>
      <c r="E205" s="3" t="s">
        <v>161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0.57199999999999995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161</v>
      </c>
      <c r="D206" s="3"/>
      <c r="E206" s="3" t="s">
        <v>161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161</v>
      </c>
      <c r="D207" s="3"/>
      <c r="E207" s="3" t="s">
        <v>161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161</v>
      </c>
      <c r="D208" s="3"/>
      <c r="E208" s="3" t="s">
        <v>161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161</v>
      </c>
      <c r="D209" s="3"/>
      <c r="E209" s="3" t="s">
        <v>161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161</v>
      </c>
      <c r="D210" s="3"/>
      <c r="E210" s="3" t="s">
        <v>161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161</v>
      </c>
      <c r="D211" s="3"/>
      <c r="E211" s="3" t="s">
        <v>161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161</v>
      </c>
      <c r="D212" s="3"/>
      <c r="E212" s="3" t="s">
        <v>161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161</v>
      </c>
      <c r="D213" s="3"/>
      <c r="E213" s="3" t="s">
        <v>161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120</v>
      </c>
      <c r="O213" s="3"/>
      <c r="P213" s="3"/>
      <c r="Q213" s="3">
        <v>0.48799999999999999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161</v>
      </c>
      <c r="D214" s="3"/>
      <c r="E214" s="3" t="s">
        <v>161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271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164</v>
      </c>
      <c r="D215" s="3"/>
      <c r="E215" s="3" t="s">
        <v>164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272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164</v>
      </c>
      <c r="D216" s="3"/>
      <c r="E216" s="3" t="s">
        <v>164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242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164</v>
      </c>
      <c r="D217" s="3"/>
      <c r="E217" s="3" t="s">
        <v>164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165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164</v>
      </c>
      <c r="D218" s="3"/>
      <c r="E218" s="3" t="s">
        <v>164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164</v>
      </c>
      <c r="D219" s="3"/>
      <c r="E219" s="3" t="s">
        <v>164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118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164</v>
      </c>
      <c r="D220" s="3"/>
      <c r="E220" s="3" t="s">
        <v>164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0.63600000000000001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164</v>
      </c>
      <c r="D221" s="3"/>
      <c r="E221" s="3" t="s">
        <v>164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164</v>
      </c>
      <c r="D222" s="3"/>
      <c r="E222" s="3" t="s">
        <v>164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164</v>
      </c>
      <c r="D223" s="3"/>
      <c r="E223" s="3" t="s">
        <v>164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164</v>
      </c>
      <c r="D224" s="3"/>
      <c r="E224" s="3" t="s">
        <v>164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124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164</v>
      </c>
      <c r="D225" s="3"/>
      <c r="E225" s="3" t="s">
        <v>164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164</v>
      </c>
      <c r="D226" s="3"/>
      <c r="E226" s="3" t="s">
        <v>164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164</v>
      </c>
      <c r="D227" s="3"/>
      <c r="E227" s="3" t="s">
        <v>164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164</v>
      </c>
      <c r="D228" s="3"/>
      <c r="E228" s="3" t="s">
        <v>164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120</v>
      </c>
      <c r="O228" s="3"/>
      <c r="P228" s="3"/>
      <c r="Q228" s="3">
        <v>0.53300000000000003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164</v>
      </c>
      <c r="D229" s="3"/>
      <c r="E229" s="3" t="s">
        <v>164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273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167</v>
      </c>
      <c r="D230" s="3"/>
      <c r="E230" s="3" t="s">
        <v>167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274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167</v>
      </c>
      <c r="D231" s="3"/>
      <c r="E231" s="3" t="s">
        <v>167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242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167</v>
      </c>
      <c r="D232" s="3"/>
      <c r="E232" s="3" t="s">
        <v>167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168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167</v>
      </c>
      <c r="D233" s="3"/>
      <c r="E233" s="3" t="s">
        <v>167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169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167</v>
      </c>
      <c r="D234" s="3"/>
      <c r="E234" s="3" t="s">
        <v>167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118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167</v>
      </c>
      <c r="D235" s="3"/>
      <c r="E235" s="3" t="s">
        <v>167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0.70099999999999996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167</v>
      </c>
      <c r="D236" s="3"/>
      <c r="E236" s="3" t="s">
        <v>167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167</v>
      </c>
      <c r="D237" s="3"/>
      <c r="E237" s="3" t="s">
        <v>167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167</v>
      </c>
      <c r="D238" s="3"/>
      <c r="E238" s="3" t="s">
        <v>167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167</v>
      </c>
      <c r="D239" s="3"/>
      <c r="E239" s="3" t="s">
        <v>167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124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167</v>
      </c>
      <c r="D240" s="3"/>
      <c r="E240" s="3" t="s">
        <v>167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167</v>
      </c>
      <c r="D241" s="3"/>
      <c r="E241" s="3" t="s">
        <v>167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167</v>
      </c>
      <c r="D242" s="3"/>
      <c r="E242" s="3" t="s">
        <v>167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167</v>
      </c>
      <c r="D243" s="3"/>
      <c r="E243" s="3" t="s">
        <v>167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120</v>
      </c>
      <c r="O243" s="3"/>
      <c r="P243" s="3"/>
      <c r="Q243" s="3">
        <v>0.57799999999999996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167</v>
      </c>
      <c r="D244" s="3"/>
      <c r="E244" s="3" t="s">
        <v>167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275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170</v>
      </c>
      <c r="D245" s="3"/>
      <c r="E245" s="3" t="s">
        <v>170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276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170</v>
      </c>
      <c r="D246" s="3"/>
      <c r="E246" s="3" t="s">
        <v>170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242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170</v>
      </c>
      <c r="D247" s="3"/>
      <c r="E247" s="3" t="s">
        <v>170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171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170</v>
      </c>
      <c r="D248" s="3"/>
      <c r="E248" s="3" t="s">
        <v>170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172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170</v>
      </c>
      <c r="D249" s="3"/>
      <c r="E249" s="3" t="s">
        <v>170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118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170</v>
      </c>
      <c r="D250" s="3"/>
      <c r="E250" s="3" t="s">
        <v>170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0.32600000000000001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170</v>
      </c>
      <c r="D251" s="3"/>
      <c r="E251" s="3" t="s">
        <v>170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170</v>
      </c>
      <c r="D252" s="3"/>
      <c r="E252" s="3" t="s">
        <v>170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170</v>
      </c>
      <c r="D253" s="3"/>
      <c r="E253" s="3" t="s">
        <v>170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170</v>
      </c>
      <c r="D254" s="3"/>
      <c r="E254" s="3" t="s">
        <v>170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124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170</v>
      </c>
      <c r="D255" s="3"/>
      <c r="E255" s="3" t="s">
        <v>170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170</v>
      </c>
      <c r="D256" s="3"/>
      <c r="E256" s="3" t="s">
        <v>170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170</v>
      </c>
      <c r="D257" s="3"/>
      <c r="E257" s="3" t="s">
        <v>170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170</v>
      </c>
      <c r="D258" s="3"/>
      <c r="E258" s="3" t="s">
        <v>170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120</v>
      </c>
      <c r="O258" s="3"/>
      <c r="P258" s="3"/>
      <c r="Q258" s="3">
        <v>0.308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170</v>
      </c>
      <c r="D259" s="3"/>
      <c r="E259" s="3" t="s">
        <v>170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277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173</v>
      </c>
      <c r="D260" s="3"/>
      <c r="E260" s="3" t="s">
        <v>173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278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173</v>
      </c>
      <c r="D261" s="3"/>
      <c r="E261" s="3" t="s">
        <v>173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242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173</v>
      </c>
      <c r="D262" s="3"/>
      <c r="E262" s="3" t="s">
        <v>173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174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173</v>
      </c>
      <c r="D263" s="3"/>
      <c r="E263" s="3" t="s">
        <v>173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175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173</v>
      </c>
      <c r="D264" s="3"/>
      <c r="E264" s="3" t="s">
        <v>173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118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173</v>
      </c>
      <c r="D265" s="3"/>
      <c r="E265" s="3" t="s">
        <v>173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0.39300000000000002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173</v>
      </c>
      <c r="D266" s="3"/>
      <c r="E266" s="3" t="s">
        <v>173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173</v>
      </c>
      <c r="D267" s="3"/>
      <c r="E267" s="3" t="s">
        <v>173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173</v>
      </c>
      <c r="D268" s="3"/>
      <c r="E268" s="3" t="s">
        <v>173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173</v>
      </c>
      <c r="D269" s="3"/>
      <c r="E269" s="3" t="s">
        <v>173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124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173</v>
      </c>
      <c r="D270" s="3"/>
      <c r="E270" s="3" t="s">
        <v>173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173</v>
      </c>
      <c r="D271" s="3"/>
      <c r="E271" s="3" t="s">
        <v>173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173</v>
      </c>
      <c r="D272" s="3"/>
      <c r="E272" s="3" t="s">
        <v>173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173</v>
      </c>
      <c r="D273" s="3"/>
      <c r="E273" s="3" t="s">
        <v>173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120</v>
      </c>
      <c r="O273" s="3"/>
      <c r="P273" s="3"/>
      <c r="Q273" s="3">
        <v>0.35299999999999998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173</v>
      </c>
      <c r="D274" s="3"/>
      <c r="E274" s="3" t="s">
        <v>173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279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176</v>
      </c>
      <c r="D275" s="3"/>
      <c r="E275" s="3" t="s">
        <v>176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280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176</v>
      </c>
      <c r="D276" s="3"/>
      <c r="E276" s="3" t="s">
        <v>176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242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176</v>
      </c>
      <c r="D277" s="3"/>
      <c r="E277" s="3" t="s">
        <v>176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177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176</v>
      </c>
      <c r="D278" s="3"/>
      <c r="E278" s="3" t="s">
        <v>176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178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176</v>
      </c>
      <c r="D279" s="3"/>
      <c r="E279" s="3" t="s">
        <v>176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118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176</v>
      </c>
      <c r="D280" s="3"/>
      <c r="E280" s="3" t="s">
        <v>176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0.46100000000000002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176</v>
      </c>
      <c r="D281" s="3"/>
      <c r="E281" s="3" t="s">
        <v>176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176</v>
      </c>
      <c r="D282" s="3"/>
      <c r="E282" s="3" t="s">
        <v>176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176</v>
      </c>
      <c r="D283" s="3"/>
      <c r="E283" s="3" t="s">
        <v>176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176</v>
      </c>
      <c r="D284" s="3"/>
      <c r="E284" s="3" t="s">
        <v>176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124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176</v>
      </c>
      <c r="D285" s="3"/>
      <c r="E285" s="3" t="s">
        <v>176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176</v>
      </c>
      <c r="D286" s="3"/>
      <c r="E286" s="3" t="s">
        <v>176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176</v>
      </c>
      <c r="D287" s="3"/>
      <c r="E287" s="3" t="s">
        <v>176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176</v>
      </c>
      <c r="D288" s="3"/>
      <c r="E288" s="3" t="s">
        <v>176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120</v>
      </c>
      <c r="O288" s="3"/>
      <c r="P288" s="3"/>
      <c r="Q288" s="3">
        <v>0.39800000000000002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176</v>
      </c>
      <c r="D289" s="3"/>
      <c r="E289" s="3" t="s">
        <v>176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281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179</v>
      </c>
      <c r="D290" s="3"/>
      <c r="E290" s="3" t="s">
        <v>179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282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179</v>
      </c>
      <c r="D291" s="3"/>
      <c r="E291" s="3" t="s">
        <v>179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242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179</v>
      </c>
      <c r="D292" s="3"/>
      <c r="E292" s="3" t="s">
        <v>179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180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179</v>
      </c>
      <c r="D293" s="3"/>
      <c r="E293" s="3" t="s">
        <v>179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181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179</v>
      </c>
      <c r="D294" s="3"/>
      <c r="E294" s="3" t="s">
        <v>179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118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179</v>
      </c>
      <c r="D295" s="3"/>
      <c r="E295" s="3" t="s">
        <v>179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0.52800000000000002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179</v>
      </c>
      <c r="D296" s="3"/>
      <c r="E296" s="3" t="s">
        <v>179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179</v>
      </c>
      <c r="D297" s="3"/>
      <c r="E297" s="3" t="s">
        <v>179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179</v>
      </c>
      <c r="D298" s="3"/>
      <c r="E298" s="3" t="s">
        <v>179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179</v>
      </c>
      <c r="D299" s="3"/>
      <c r="E299" s="3" t="s">
        <v>179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124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179</v>
      </c>
      <c r="D300" s="3"/>
      <c r="E300" s="3" t="s">
        <v>179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179</v>
      </c>
      <c r="D301" s="3"/>
      <c r="E301" s="3" t="s">
        <v>179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179</v>
      </c>
      <c r="D302" s="3"/>
      <c r="E302" s="3" t="s">
        <v>179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179</v>
      </c>
      <c r="D303" s="3"/>
      <c r="E303" s="3" t="s">
        <v>179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120</v>
      </c>
      <c r="O303" s="3"/>
      <c r="P303" s="3"/>
      <c r="Q303" s="3">
        <v>0.443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179</v>
      </c>
      <c r="D304" s="3"/>
      <c r="E304" s="3" t="s">
        <v>179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283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182</v>
      </c>
      <c r="D305" s="3"/>
      <c r="E305" s="3" t="s">
        <v>182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284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182</v>
      </c>
      <c r="D306" s="3"/>
      <c r="E306" s="3" t="s">
        <v>182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242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182</v>
      </c>
      <c r="D307" s="3"/>
      <c r="E307" s="3" t="s">
        <v>182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183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182</v>
      </c>
      <c r="D308" s="3"/>
      <c r="E308" s="3" t="s">
        <v>182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184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182</v>
      </c>
      <c r="D309" s="3"/>
      <c r="E309" s="3" t="s">
        <v>182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118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182</v>
      </c>
      <c r="D310" s="3"/>
      <c r="E310" s="3" t="s">
        <v>182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0.56200000000000006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182</v>
      </c>
      <c r="D311" s="3"/>
      <c r="E311" s="3" t="s">
        <v>182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182</v>
      </c>
      <c r="D312" s="3"/>
      <c r="E312" s="3" t="s">
        <v>182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182</v>
      </c>
      <c r="D313" s="3"/>
      <c r="E313" s="3" t="s">
        <v>182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182</v>
      </c>
      <c r="D314" s="3"/>
      <c r="E314" s="3" t="s">
        <v>182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182</v>
      </c>
      <c r="D315" s="3"/>
      <c r="E315" s="3" t="s">
        <v>182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182</v>
      </c>
      <c r="D316" s="3"/>
      <c r="E316" s="3" t="s">
        <v>182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182</v>
      </c>
      <c r="D317" s="3"/>
      <c r="E317" s="3" t="s">
        <v>182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182</v>
      </c>
      <c r="D318" s="3"/>
      <c r="E318" s="3" t="s">
        <v>182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120</v>
      </c>
      <c r="O318" s="3"/>
      <c r="P318" s="3"/>
      <c r="Q318" s="3">
        <v>0.46500000000000002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182</v>
      </c>
      <c r="D319" s="3"/>
      <c r="E319" s="3" t="s">
        <v>182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285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185</v>
      </c>
      <c r="D320" s="3"/>
      <c r="E320" s="3" t="s">
        <v>185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286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185</v>
      </c>
      <c r="D321" s="3"/>
      <c r="E321" s="3" t="s">
        <v>185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242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185</v>
      </c>
      <c r="D322" s="3"/>
      <c r="E322" s="3" t="s">
        <v>185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186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185</v>
      </c>
      <c r="D323" s="3"/>
      <c r="E323" s="3" t="s">
        <v>185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187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185</v>
      </c>
      <c r="D324" s="3"/>
      <c r="E324" s="3" t="s">
        <v>185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118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185</v>
      </c>
      <c r="D325" s="3"/>
      <c r="E325" s="3" t="s">
        <v>185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0.59599999999999997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185</v>
      </c>
      <c r="D326" s="3"/>
      <c r="E326" s="3" t="s">
        <v>185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185</v>
      </c>
      <c r="D327" s="3"/>
      <c r="E327" s="3" t="s">
        <v>185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185</v>
      </c>
      <c r="D328" s="3"/>
      <c r="E328" s="3" t="s">
        <v>185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185</v>
      </c>
      <c r="D329" s="3"/>
      <c r="E329" s="3" t="s">
        <v>185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124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185</v>
      </c>
      <c r="D330" s="3"/>
      <c r="E330" s="3" t="s">
        <v>185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185</v>
      </c>
      <c r="D331" s="3"/>
      <c r="E331" s="3" t="s">
        <v>185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185</v>
      </c>
      <c r="D332" s="3"/>
      <c r="E332" s="3" t="s">
        <v>185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185</v>
      </c>
      <c r="D333" s="3"/>
      <c r="E333" s="3" t="s">
        <v>185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120</v>
      </c>
      <c r="O333" s="3"/>
      <c r="P333" s="3"/>
      <c r="Q333" s="3">
        <v>0.48799999999999999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185</v>
      </c>
      <c r="D334" s="3"/>
      <c r="E334" s="3" t="s">
        <v>185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287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188</v>
      </c>
      <c r="D335" s="3"/>
      <c r="E335" s="3" t="s">
        <v>188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288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188</v>
      </c>
      <c r="D336" s="3"/>
      <c r="E336" s="3" t="s">
        <v>188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242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188</v>
      </c>
      <c r="D337" s="3"/>
      <c r="E337" s="3" t="s">
        <v>188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189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188</v>
      </c>
      <c r="D338" s="3"/>
      <c r="E338" s="3" t="s">
        <v>188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190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188</v>
      </c>
      <c r="D339" s="3"/>
      <c r="E339" s="3" t="s">
        <v>188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118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188</v>
      </c>
      <c r="D340" s="3"/>
      <c r="E340" s="3" t="s">
        <v>188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0.66300000000000003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188</v>
      </c>
      <c r="D341" s="3"/>
      <c r="E341" s="3" t="s">
        <v>188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188</v>
      </c>
      <c r="D342" s="3"/>
      <c r="E342" s="3" t="s">
        <v>188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188</v>
      </c>
      <c r="D343" s="3"/>
      <c r="E343" s="3" t="s">
        <v>188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188</v>
      </c>
      <c r="D344" s="3"/>
      <c r="E344" s="3" t="s">
        <v>188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124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188</v>
      </c>
      <c r="D345" s="3"/>
      <c r="E345" s="3" t="s">
        <v>188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188</v>
      </c>
      <c r="D346" s="3"/>
      <c r="E346" s="3" t="s">
        <v>188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188</v>
      </c>
      <c r="D347" s="3"/>
      <c r="E347" s="3" t="s">
        <v>188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188</v>
      </c>
      <c r="D348" s="3"/>
      <c r="E348" s="3" t="s">
        <v>188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120</v>
      </c>
      <c r="O348" s="3"/>
      <c r="P348" s="3"/>
      <c r="Q348" s="3">
        <v>0.53300000000000003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188</v>
      </c>
      <c r="D349" s="3"/>
      <c r="E349" s="3" t="s">
        <v>188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289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191</v>
      </c>
      <c r="D350" s="3"/>
      <c r="E350" s="3" t="s">
        <v>191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290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191</v>
      </c>
      <c r="D351" s="3"/>
      <c r="E351" s="3" t="s">
        <v>191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242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191</v>
      </c>
      <c r="D352" s="3"/>
      <c r="E352" s="3" t="s">
        <v>191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192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191</v>
      </c>
      <c r="D353" s="3"/>
      <c r="E353" s="3" t="s">
        <v>191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193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191</v>
      </c>
      <c r="D354" s="3"/>
      <c r="E354" s="3" t="s">
        <v>191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118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191</v>
      </c>
      <c r="D355" s="3"/>
      <c r="E355" s="3" t="s">
        <v>191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0.73099999999999998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191</v>
      </c>
      <c r="D356" s="3"/>
      <c r="E356" s="3" t="s">
        <v>191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191</v>
      </c>
      <c r="D357" s="3"/>
      <c r="E357" s="3" t="s">
        <v>191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191</v>
      </c>
      <c r="D358" s="3"/>
      <c r="E358" s="3" t="s">
        <v>191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191</v>
      </c>
      <c r="D359" s="3"/>
      <c r="E359" s="3" t="s">
        <v>191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124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191</v>
      </c>
      <c r="D360" s="3"/>
      <c r="E360" s="3" t="s">
        <v>191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191</v>
      </c>
      <c r="D361" s="3"/>
      <c r="E361" s="3" t="s">
        <v>191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191</v>
      </c>
      <c r="D362" s="3"/>
      <c r="E362" s="3" t="s">
        <v>191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191</v>
      </c>
      <c r="D363" s="3"/>
      <c r="E363" s="3" t="s">
        <v>191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120</v>
      </c>
      <c r="O363" s="3"/>
      <c r="P363" s="3"/>
      <c r="Q363" s="3">
        <v>0.57799999999999996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191</v>
      </c>
      <c r="D364" s="3"/>
      <c r="E364" s="3" t="s">
        <v>191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291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194</v>
      </c>
      <c r="D365" s="3"/>
      <c r="E365" s="3" t="s">
        <v>194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292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194</v>
      </c>
      <c r="D366" s="3"/>
      <c r="E366" s="3" t="s">
        <v>194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242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194</v>
      </c>
      <c r="D367" s="3"/>
      <c r="E367" s="3" t="s">
        <v>194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195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194</v>
      </c>
      <c r="D368" s="3"/>
      <c r="E368" s="3" t="s">
        <v>194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196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194</v>
      </c>
      <c r="D369" s="3"/>
      <c r="E369" s="3" t="s">
        <v>194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118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194</v>
      </c>
      <c r="D370" s="3"/>
      <c r="E370" s="3" t="s">
        <v>194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0.33500000000000002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194</v>
      </c>
      <c r="D371" s="3"/>
      <c r="E371" s="3" t="s">
        <v>194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194</v>
      </c>
      <c r="D372" s="3"/>
      <c r="E372" s="3" t="s">
        <v>194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194</v>
      </c>
      <c r="D373" s="3"/>
      <c r="E373" s="3" t="s">
        <v>194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194</v>
      </c>
      <c r="D374" s="3"/>
      <c r="E374" s="3" t="s">
        <v>194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124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194</v>
      </c>
      <c r="D375" s="3"/>
      <c r="E375" s="3" t="s">
        <v>194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194</v>
      </c>
      <c r="D376" s="3"/>
      <c r="E376" s="3" t="s">
        <v>194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194</v>
      </c>
      <c r="D377" s="3"/>
      <c r="E377" s="3" t="s">
        <v>194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194</v>
      </c>
      <c r="D378" s="3"/>
      <c r="E378" s="3" t="s">
        <v>194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120</v>
      </c>
      <c r="O378" s="3"/>
      <c r="P378" s="3"/>
      <c r="Q378" s="3">
        <v>0.66100000000000003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194</v>
      </c>
      <c r="D379" s="3"/>
      <c r="E379" s="3" t="s">
        <v>194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293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197</v>
      </c>
      <c r="D380" s="3"/>
      <c r="E380" s="3" t="s">
        <v>197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294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197</v>
      </c>
      <c r="D381" s="3"/>
      <c r="E381" s="3" t="s">
        <v>197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242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197</v>
      </c>
      <c r="D382" s="3"/>
      <c r="E382" s="3" t="s">
        <v>197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198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197</v>
      </c>
      <c r="D383" s="3"/>
      <c r="E383" s="3" t="s">
        <v>197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199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197</v>
      </c>
      <c r="D384" s="3"/>
      <c r="E384" s="3" t="s">
        <v>197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118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197</v>
      </c>
      <c r="D385" s="3"/>
      <c r="E385" s="3" t="s">
        <v>197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0.40400000000000003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197</v>
      </c>
      <c r="D386" s="3"/>
      <c r="E386" s="3" t="s">
        <v>197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197</v>
      </c>
      <c r="D387" s="3"/>
      <c r="E387" s="3" t="s">
        <v>197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197</v>
      </c>
      <c r="D388" s="3"/>
      <c r="E388" s="3" t="s">
        <v>197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197</v>
      </c>
      <c r="D389" s="3"/>
      <c r="E389" s="3" t="s">
        <v>197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124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197</v>
      </c>
      <c r="D390" s="3"/>
      <c r="E390" s="3" t="s">
        <v>197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197</v>
      </c>
      <c r="D391" s="3"/>
      <c r="E391" s="3" t="s">
        <v>197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197</v>
      </c>
      <c r="D392" s="3"/>
      <c r="E392" s="3" t="s">
        <v>197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197</v>
      </c>
      <c r="D393" s="3"/>
      <c r="E393" s="3" t="s">
        <v>197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120</v>
      </c>
      <c r="O393" s="3"/>
      <c r="P393" s="3"/>
      <c r="Q393" s="3">
        <v>0.66100000000000003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197</v>
      </c>
      <c r="D394" s="3"/>
      <c r="E394" s="3" t="s">
        <v>197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295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200</v>
      </c>
      <c r="D395" s="3"/>
      <c r="E395" s="3" t="s">
        <v>200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296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200</v>
      </c>
      <c r="D396" s="3"/>
      <c r="E396" s="3" t="s">
        <v>200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242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200</v>
      </c>
      <c r="D397" s="3"/>
      <c r="E397" s="3" t="s">
        <v>200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201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200</v>
      </c>
      <c r="D398" s="3"/>
      <c r="E398" s="3" t="s">
        <v>200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202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200</v>
      </c>
      <c r="D399" s="3"/>
      <c r="E399" s="3" t="s">
        <v>200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118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200</v>
      </c>
      <c r="D400" s="3"/>
      <c r="E400" s="3" t="s">
        <v>200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0.47299999999999998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200</v>
      </c>
      <c r="D401" s="3"/>
      <c r="E401" s="3" t="s">
        <v>200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200</v>
      </c>
      <c r="D402" s="3"/>
      <c r="E402" s="3" t="s">
        <v>200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200</v>
      </c>
      <c r="D403" s="3"/>
      <c r="E403" s="3" t="s">
        <v>200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200</v>
      </c>
      <c r="D404" s="3"/>
      <c r="E404" s="3" t="s">
        <v>200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124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200</v>
      </c>
      <c r="D405" s="3"/>
      <c r="E405" s="3" t="s">
        <v>200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200</v>
      </c>
      <c r="D406" s="3"/>
      <c r="E406" s="3" t="s">
        <v>200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200</v>
      </c>
      <c r="D407" s="3"/>
      <c r="E407" s="3" t="s">
        <v>200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200</v>
      </c>
      <c r="D408" s="3"/>
      <c r="E408" s="3" t="s">
        <v>200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120</v>
      </c>
      <c r="O408" s="3"/>
      <c r="P408" s="3"/>
      <c r="Q408" s="3">
        <v>0.66100000000000003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200</v>
      </c>
      <c r="D409" s="3"/>
      <c r="E409" s="3" t="s">
        <v>200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297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203</v>
      </c>
      <c r="D410" s="3"/>
      <c r="E410" s="3" t="s">
        <v>203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298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203</v>
      </c>
      <c r="D411" s="3"/>
      <c r="E411" s="3" t="s">
        <v>203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242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203</v>
      </c>
      <c r="D412" s="3"/>
      <c r="E412" s="3" t="s">
        <v>203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204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203</v>
      </c>
      <c r="D413" s="3"/>
      <c r="E413" s="3" t="s">
        <v>203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205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203</v>
      </c>
      <c r="D414" s="3"/>
      <c r="E414" s="3" t="s">
        <v>203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118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203</v>
      </c>
      <c r="D415" s="3"/>
      <c r="E415" s="3" t="s">
        <v>203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0.54200000000000004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203</v>
      </c>
      <c r="D416" s="3"/>
      <c r="E416" s="3" t="s">
        <v>203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203</v>
      </c>
      <c r="D417" s="3"/>
      <c r="E417" s="3" t="s">
        <v>203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203</v>
      </c>
      <c r="D418" s="3"/>
      <c r="E418" s="3" t="s">
        <v>203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203</v>
      </c>
      <c r="D419" s="3"/>
      <c r="E419" s="3" t="s">
        <v>203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203</v>
      </c>
      <c r="D420" s="3"/>
      <c r="E420" s="3" t="s">
        <v>203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203</v>
      </c>
      <c r="D421" s="3"/>
      <c r="E421" s="3" t="s">
        <v>203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203</v>
      </c>
      <c r="D422" s="3"/>
      <c r="E422" s="3" t="s">
        <v>203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203</v>
      </c>
      <c r="D423" s="3"/>
      <c r="E423" s="3" t="s">
        <v>203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120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203</v>
      </c>
      <c r="D424" s="3"/>
      <c r="E424" s="3" t="s">
        <v>203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299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206</v>
      </c>
      <c r="D425" s="3"/>
      <c r="E425" s="3" t="s">
        <v>206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300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206</v>
      </c>
      <c r="D426" s="3"/>
      <c r="E426" s="3" t="s">
        <v>206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242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206</v>
      </c>
      <c r="D427" s="3"/>
      <c r="E427" s="3" t="s">
        <v>206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207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206</v>
      </c>
      <c r="D428" s="3"/>
      <c r="E428" s="3" t="s">
        <v>206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208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206</v>
      </c>
      <c r="D429" s="3"/>
      <c r="E429" s="3" t="s">
        <v>206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118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206</v>
      </c>
      <c r="D430" s="3"/>
      <c r="E430" s="3" t="s">
        <v>206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0.57699999999999996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206</v>
      </c>
      <c r="D431" s="3"/>
      <c r="E431" s="3" t="s">
        <v>206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206</v>
      </c>
      <c r="D432" s="3"/>
      <c r="E432" s="3" t="s">
        <v>206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206</v>
      </c>
      <c r="D433" s="3"/>
      <c r="E433" s="3" t="s">
        <v>206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206</v>
      </c>
      <c r="D434" s="3"/>
      <c r="E434" s="3" t="s">
        <v>206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124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206</v>
      </c>
      <c r="D435" s="3"/>
      <c r="E435" s="3" t="s">
        <v>206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206</v>
      </c>
      <c r="D436" s="3"/>
      <c r="E436" s="3" t="s">
        <v>206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206</v>
      </c>
      <c r="D437" s="3"/>
      <c r="E437" s="3" t="s">
        <v>206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206</v>
      </c>
      <c r="D438" s="3"/>
      <c r="E438" s="3" t="s">
        <v>206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120</v>
      </c>
      <c r="O438" s="3"/>
      <c r="P438" s="3"/>
      <c r="Q438" s="3">
        <v>0.66100000000000003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206</v>
      </c>
      <c r="D439" s="3"/>
      <c r="E439" s="3" t="s">
        <v>206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301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209</v>
      </c>
      <c r="D440" s="3"/>
      <c r="E440" s="3" t="s">
        <v>209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302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209</v>
      </c>
      <c r="D441" s="3"/>
      <c r="E441" s="3" t="s">
        <v>209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242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209</v>
      </c>
      <c r="D442" s="3"/>
      <c r="E442" s="3" t="s">
        <v>209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210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209</v>
      </c>
      <c r="D443" s="3"/>
      <c r="E443" s="3" t="s">
        <v>209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211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209</v>
      </c>
      <c r="D444" s="3"/>
      <c r="E444" s="3" t="s">
        <v>209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118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209</v>
      </c>
      <c r="D445" s="3"/>
      <c r="E445" s="3" t="s">
        <v>209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0.61199999999999999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209</v>
      </c>
      <c r="D446" s="3"/>
      <c r="E446" s="3" t="s">
        <v>209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209</v>
      </c>
      <c r="D447" s="3"/>
      <c r="E447" s="3" t="s">
        <v>209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209</v>
      </c>
      <c r="D448" s="3"/>
      <c r="E448" s="3" t="s">
        <v>209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209</v>
      </c>
      <c r="D449" s="3"/>
      <c r="E449" s="3" t="s">
        <v>209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124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209</v>
      </c>
      <c r="D450" s="3"/>
      <c r="E450" s="3" t="s">
        <v>209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209</v>
      </c>
      <c r="D451" s="3"/>
      <c r="E451" s="3" t="s">
        <v>209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209</v>
      </c>
      <c r="D452" s="3"/>
      <c r="E452" s="3" t="s">
        <v>209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209</v>
      </c>
      <c r="D453" s="3"/>
      <c r="E453" s="3" t="s">
        <v>209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120</v>
      </c>
      <c r="O453" s="3"/>
      <c r="P453" s="3"/>
      <c r="Q453" s="3">
        <v>0.66100000000000003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209</v>
      </c>
      <c r="D454" s="3"/>
      <c r="E454" s="3" t="s">
        <v>209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303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212</v>
      </c>
      <c r="D455" s="3"/>
      <c r="E455" s="3" t="s">
        <v>212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304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212</v>
      </c>
      <c r="D456" s="3"/>
      <c r="E456" s="3" t="s">
        <v>212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242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212</v>
      </c>
      <c r="D457" s="3"/>
      <c r="E457" s="3" t="s">
        <v>212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213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212</v>
      </c>
      <c r="D458" s="3"/>
      <c r="E458" s="3" t="s">
        <v>212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214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212</v>
      </c>
      <c r="D459" s="3"/>
      <c r="E459" s="3" t="s">
        <v>212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118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212</v>
      </c>
      <c r="D460" s="3"/>
      <c r="E460" s="3" t="s">
        <v>212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0.68100000000000005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212</v>
      </c>
      <c r="D461" s="3"/>
      <c r="E461" s="3" t="s">
        <v>212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212</v>
      </c>
      <c r="D462" s="3"/>
      <c r="E462" s="3" t="s">
        <v>212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212</v>
      </c>
      <c r="D463" s="3"/>
      <c r="E463" s="3" t="s">
        <v>212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212</v>
      </c>
      <c r="D464" s="3"/>
      <c r="E464" s="3" t="s">
        <v>212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124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212</v>
      </c>
      <c r="D465" s="3"/>
      <c r="E465" s="3" t="s">
        <v>212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212</v>
      </c>
      <c r="D466" s="3"/>
      <c r="E466" s="3" t="s">
        <v>212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212</v>
      </c>
      <c r="D467" s="3"/>
      <c r="E467" s="3" t="s">
        <v>212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212</v>
      </c>
      <c r="D468" s="3"/>
      <c r="E468" s="3" t="s">
        <v>212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120</v>
      </c>
      <c r="O468" s="3"/>
      <c r="P468" s="3"/>
      <c r="Q468" s="3">
        <v>0.66100000000000003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212</v>
      </c>
      <c r="D469" s="3"/>
      <c r="E469" s="3" t="s">
        <v>212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305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215</v>
      </c>
      <c r="D470" s="3"/>
      <c r="E470" s="3" t="s">
        <v>215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306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215</v>
      </c>
      <c r="D471" s="3"/>
      <c r="E471" s="3" t="s">
        <v>215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242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215</v>
      </c>
      <c r="D472" s="3"/>
      <c r="E472" s="3" t="s">
        <v>215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216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215</v>
      </c>
      <c r="D473" s="3"/>
      <c r="E473" s="3" t="s">
        <v>215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217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215</v>
      </c>
      <c r="D474" s="3"/>
      <c r="E474" s="3" t="s">
        <v>215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118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215</v>
      </c>
      <c r="D475" s="3"/>
      <c r="E475" s="3" t="s">
        <v>215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0.75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215</v>
      </c>
      <c r="D476" s="3"/>
      <c r="E476" s="3" t="s">
        <v>215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215</v>
      </c>
      <c r="D477" s="3"/>
      <c r="E477" s="3" t="s">
        <v>215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215</v>
      </c>
      <c r="D478" s="3"/>
      <c r="E478" s="3" t="s">
        <v>215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215</v>
      </c>
      <c r="D479" s="3"/>
      <c r="E479" s="3" t="s">
        <v>215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124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215</v>
      </c>
      <c r="D480" s="3"/>
      <c r="E480" s="3" t="s">
        <v>215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215</v>
      </c>
      <c r="D481" s="3"/>
      <c r="E481" s="3" t="s">
        <v>215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215</v>
      </c>
      <c r="D482" s="3"/>
      <c r="E482" s="3" t="s">
        <v>215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215</v>
      </c>
      <c r="D483" s="3"/>
      <c r="E483" s="3" t="s">
        <v>215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120</v>
      </c>
      <c r="O483" s="3"/>
      <c r="P483" s="3"/>
      <c r="Q483" s="3">
        <v>0.66100000000000003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215</v>
      </c>
      <c r="D484" s="3"/>
      <c r="E484" s="3" t="s">
        <v>215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307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218</v>
      </c>
      <c r="D485" s="3"/>
      <c r="E485" s="3" t="s">
        <v>218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308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218</v>
      </c>
      <c r="D486" s="3"/>
      <c r="E486" s="3" t="s">
        <v>218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242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218</v>
      </c>
      <c r="D487" s="3"/>
      <c r="E487" s="3" t="s">
        <v>218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219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218</v>
      </c>
      <c r="D488" s="3"/>
      <c r="E488" s="3" t="s">
        <v>218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220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218</v>
      </c>
      <c r="D489" s="3"/>
      <c r="E489" s="3" t="s">
        <v>218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118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218</v>
      </c>
      <c r="D490" s="3"/>
      <c r="E490" s="3" t="s">
        <v>218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0.35199999999999998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218</v>
      </c>
      <c r="D491" s="3"/>
      <c r="E491" s="3" t="s">
        <v>218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218</v>
      </c>
      <c r="D492" s="3"/>
      <c r="E492" s="3" t="s">
        <v>218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218</v>
      </c>
      <c r="D493" s="3"/>
      <c r="E493" s="3" t="s">
        <v>218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218</v>
      </c>
      <c r="D494" s="3"/>
      <c r="E494" s="3" t="s">
        <v>218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218</v>
      </c>
      <c r="D495" s="3"/>
      <c r="E495" s="3" t="s">
        <v>218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218</v>
      </c>
      <c r="D496" s="3"/>
      <c r="E496" s="3" t="s">
        <v>218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218</v>
      </c>
      <c r="D497" s="3"/>
      <c r="E497" s="3" t="s">
        <v>218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218</v>
      </c>
      <c r="D498" s="3"/>
      <c r="E498" s="3" t="s">
        <v>218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120</v>
      </c>
      <c r="O498" s="3"/>
      <c r="P498" s="3"/>
      <c r="Q498" s="3">
        <v>0.69099999999999995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218</v>
      </c>
      <c r="D499" s="3"/>
      <c r="E499" s="3" t="s">
        <v>218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309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221</v>
      </c>
      <c r="D500" s="3"/>
      <c r="E500" s="3" t="s">
        <v>221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310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221</v>
      </c>
      <c r="D501" s="3"/>
      <c r="E501" s="3" t="s">
        <v>221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242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221</v>
      </c>
      <c r="D502" s="3"/>
      <c r="E502" s="3" t="s">
        <v>221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222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221</v>
      </c>
      <c r="D503" s="3"/>
      <c r="E503" s="3" t="s">
        <v>221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223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221</v>
      </c>
      <c r="D504" s="3"/>
      <c r="E504" s="3" t="s">
        <v>221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118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221</v>
      </c>
      <c r="D505" s="3"/>
      <c r="E505" s="3" t="s">
        <v>221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0.42499999999999999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221</v>
      </c>
      <c r="D506" s="3"/>
      <c r="E506" s="3" t="s">
        <v>221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221</v>
      </c>
      <c r="D507" s="3"/>
      <c r="E507" s="3" t="s">
        <v>221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221</v>
      </c>
      <c r="D508" s="3"/>
      <c r="E508" s="3" t="s">
        <v>221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221</v>
      </c>
      <c r="D509" s="3"/>
      <c r="E509" s="3" t="s">
        <v>221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124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221</v>
      </c>
      <c r="D510" s="3"/>
      <c r="E510" s="3" t="s">
        <v>221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221</v>
      </c>
      <c r="D511" s="3"/>
      <c r="E511" s="3" t="s">
        <v>221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221</v>
      </c>
      <c r="D512" s="3"/>
      <c r="E512" s="3" t="s">
        <v>221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221</v>
      </c>
      <c r="D513" s="3"/>
      <c r="E513" s="3" t="s">
        <v>221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120</v>
      </c>
      <c r="O513" s="3"/>
      <c r="P513" s="3"/>
      <c r="Q513" s="3">
        <v>0.69099999999999995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221</v>
      </c>
      <c r="D514" s="3"/>
      <c r="E514" s="3" t="s">
        <v>221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311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224</v>
      </c>
      <c r="D515" s="3"/>
      <c r="E515" s="3" t="s">
        <v>224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312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224</v>
      </c>
      <c r="D516" s="3"/>
      <c r="E516" s="3" t="s">
        <v>224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242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224</v>
      </c>
      <c r="D517" s="3"/>
      <c r="E517" s="3" t="s">
        <v>224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225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224</v>
      </c>
      <c r="D518" s="3"/>
      <c r="E518" s="3" t="s">
        <v>224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226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224</v>
      </c>
      <c r="D519" s="3"/>
      <c r="E519" s="3" t="s">
        <v>224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118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224</v>
      </c>
      <c r="D520" s="3"/>
      <c r="E520" s="3" t="s">
        <v>224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0.498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224</v>
      </c>
      <c r="D521" s="3"/>
      <c r="E521" s="3" t="s">
        <v>224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224</v>
      </c>
      <c r="D522" s="3"/>
      <c r="E522" s="3" t="s">
        <v>224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224</v>
      </c>
      <c r="D523" s="3"/>
      <c r="E523" s="3" t="s">
        <v>224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224</v>
      </c>
      <c r="D524" s="3"/>
      <c r="E524" s="3" t="s">
        <v>224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224</v>
      </c>
      <c r="D525" s="3"/>
      <c r="E525" s="3" t="s">
        <v>224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224</v>
      </c>
      <c r="D526" s="3"/>
      <c r="E526" s="3" t="s">
        <v>224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224</v>
      </c>
      <c r="D527" s="3"/>
      <c r="E527" s="3" t="s">
        <v>224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224</v>
      </c>
      <c r="D528" s="3"/>
      <c r="E528" s="3" t="s">
        <v>224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120</v>
      </c>
      <c r="O528" s="3"/>
      <c r="P528" s="3"/>
      <c r="Q528" s="3">
        <v>0.69099999999999995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224</v>
      </c>
      <c r="D529" s="3"/>
      <c r="E529" s="3" t="s">
        <v>224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313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227</v>
      </c>
      <c r="D530" s="3"/>
      <c r="E530" s="3" t="s">
        <v>227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314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227</v>
      </c>
      <c r="D531" s="3"/>
      <c r="E531" s="3" t="s">
        <v>227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242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227</v>
      </c>
      <c r="D532" s="3"/>
      <c r="E532" s="3" t="s">
        <v>227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228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227</v>
      </c>
      <c r="D533" s="3"/>
      <c r="E533" s="3" t="s">
        <v>227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229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227</v>
      </c>
      <c r="D534" s="3"/>
      <c r="E534" s="3" t="s">
        <v>227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118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227</v>
      </c>
      <c r="D535" s="3"/>
      <c r="E535" s="3" t="s">
        <v>227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0.57099999999999995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227</v>
      </c>
      <c r="D536" s="3"/>
      <c r="E536" s="3" t="s">
        <v>227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227</v>
      </c>
      <c r="D537" s="3"/>
      <c r="E537" s="3" t="s">
        <v>227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227</v>
      </c>
      <c r="D538" s="3"/>
      <c r="E538" s="3" t="s">
        <v>227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227</v>
      </c>
      <c r="D539" s="3"/>
      <c r="E539" s="3" t="s">
        <v>227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124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227</v>
      </c>
      <c r="D540" s="3"/>
      <c r="E540" s="3" t="s">
        <v>227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227</v>
      </c>
      <c r="D541" s="3"/>
      <c r="E541" s="3" t="s">
        <v>227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227</v>
      </c>
      <c r="D542" s="3"/>
      <c r="E542" s="3" t="s">
        <v>227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227</v>
      </c>
      <c r="D543" s="3"/>
      <c r="E543" s="3" t="s">
        <v>227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120</v>
      </c>
      <c r="O543" s="3"/>
      <c r="P543" s="3"/>
      <c r="Q543" s="3">
        <v>0.69099999999999995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227</v>
      </c>
      <c r="D544" s="3"/>
      <c r="E544" s="3" t="s">
        <v>227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315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230</v>
      </c>
      <c r="D545" s="3"/>
      <c r="E545" s="3" t="s">
        <v>230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316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230</v>
      </c>
      <c r="D546" s="3"/>
      <c r="E546" s="3" t="s">
        <v>230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242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230</v>
      </c>
      <c r="D547" s="3"/>
      <c r="E547" s="3" t="s">
        <v>230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231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230</v>
      </c>
      <c r="D548" s="3"/>
      <c r="E548" s="3" t="s">
        <v>230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232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230</v>
      </c>
      <c r="D549" s="3"/>
      <c r="E549" s="3" t="s">
        <v>230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118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230</v>
      </c>
      <c r="D550" s="3"/>
      <c r="E550" s="3" t="s">
        <v>230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0.60799999999999998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230</v>
      </c>
      <c r="D551" s="3"/>
      <c r="E551" s="3" t="s">
        <v>230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230</v>
      </c>
      <c r="D552" s="3"/>
      <c r="E552" s="3" t="s">
        <v>230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230</v>
      </c>
      <c r="D553" s="3"/>
      <c r="E553" s="3" t="s">
        <v>230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230</v>
      </c>
      <c r="D554" s="3"/>
      <c r="E554" s="3" t="s">
        <v>230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124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230</v>
      </c>
      <c r="D555" s="3"/>
      <c r="E555" s="3" t="s">
        <v>230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230</v>
      </c>
      <c r="D556" s="3"/>
      <c r="E556" s="3" t="s">
        <v>230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230</v>
      </c>
      <c r="D557" s="3"/>
      <c r="E557" s="3" t="s">
        <v>230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230</v>
      </c>
      <c r="D558" s="3"/>
      <c r="E558" s="3" t="s">
        <v>230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120</v>
      </c>
      <c r="O558" s="3"/>
      <c r="P558" s="3"/>
      <c r="Q558" s="3">
        <v>0.69099999999999995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230</v>
      </c>
      <c r="D559" s="3"/>
      <c r="E559" s="3" t="s">
        <v>230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317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233</v>
      </c>
      <c r="D560" s="3"/>
      <c r="E560" s="3" t="s">
        <v>233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318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233</v>
      </c>
      <c r="D561" s="3"/>
      <c r="E561" s="3" t="s">
        <v>233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242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233</v>
      </c>
      <c r="D562" s="3"/>
      <c r="E562" s="3" t="s">
        <v>233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234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233</v>
      </c>
      <c r="D563" s="3"/>
      <c r="E563" s="3" t="s">
        <v>233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235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233</v>
      </c>
      <c r="D564" s="3"/>
      <c r="E564" s="3" t="s">
        <v>233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118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233</v>
      </c>
      <c r="D565" s="3"/>
      <c r="E565" s="3" t="s">
        <v>233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0.64400000000000002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233</v>
      </c>
      <c r="D566" s="3"/>
      <c r="E566" s="3" t="s">
        <v>233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233</v>
      </c>
      <c r="D567" s="3"/>
      <c r="E567" s="3" t="s">
        <v>233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233</v>
      </c>
      <c r="D568" s="3"/>
      <c r="E568" s="3" t="s">
        <v>233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233</v>
      </c>
      <c r="D569" s="3"/>
      <c r="E569" s="3" t="s">
        <v>233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124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233</v>
      </c>
      <c r="D570" s="3"/>
      <c r="E570" s="3" t="s">
        <v>233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233</v>
      </c>
      <c r="D571" s="3"/>
      <c r="E571" s="3" t="s">
        <v>233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233</v>
      </c>
      <c r="D572" s="3"/>
      <c r="E572" s="3" t="s">
        <v>233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233</v>
      </c>
      <c r="D573" s="3"/>
      <c r="E573" s="3" t="s">
        <v>233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120</v>
      </c>
      <c r="O573" s="3"/>
      <c r="P573" s="3"/>
      <c r="Q573" s="3">
        <v>0.69099999999999995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233</v>
      </c>
      <c r="D574" s="3"/>
      <c r="E574" s="3" t="s">
        <v>233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319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236</v>
      </c>
      <c r="D575" s="3"/>
      <c r="E575" s="3" t="s">
        <v>236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320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236</v>
      </c>
      <c r="D576" s="3"/>
      <c r="E576" s="3" t="s">
        <v>236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242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236</v>
      </c>
      <c r="D577" s="3"/>
      <c r="E577" s="3" t="s">
        <v>236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237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236</v>
      </c>
      <c r="D578" s="3"/>
      <c r="E578" s="3" t="s">
        <v>236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238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236</v>
      </c>
      <c r="D579" s="3"/>
      <c r="E579" s="3" t="s">
        <v>236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118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236</v>
      </c>
      <c r="D580" s="3"/>
      <c r="E580" s="3" t="s">
        <v>236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0.71699999999999997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236</v>
      </c>
      <c r="D581" s="3"/>
      <c r="E581" s="3" t="s">
        <v>236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236</v>
      </c>
      <c r="D582" s="3"/>
      <c r="E582" s="3" t="s">
        <v>236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236</v>
      </c>
      <c r="D583" s="3"/>
      <c r="E583" s="3" t="s">
        <v>236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236</v>
      </c>
      <c r="D584" s="3"/>
      <c r="E584" s="3" t="s">
        <v>236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124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236</v>
      </c>
      <c r="D585" s="3"/>
      <c r="E585" s="3" t="s">
        <v>236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236</v>
      </c>
      <c r="D586" s="3"/>
      <c r="E586" s="3" t="s">
        <v>236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236</v>
      </c>
      <c r="D587" s="3"/>
      <c r="E587" s="3" t="s">
        <v>236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236</v>
      </c>
      <c r="D588" s="3"/>
      <c r="E588" s="3" t="s">
        <v>236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120</v>
      </c>
      <c r="O588" s="3"/>
      <c r="P588" s="3"/>
      <c r="Q588" s="3">
        <v>0.69099999999999995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236</v>
      </c>
      <c r="D589" s="3"/>
      <c r="E589" s="3" t="s">
        <v>236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321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322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242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240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239</v>
      </c>
      <c r="D593" s="3"/>
      <c r="E593" s="3" t="s">
        <v>239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241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239</v>
      </c>
      <c r="D594" s="3"/>
      <c r="E594" s="3" t="s">
        <v>239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118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239</v>
      </c>
      <c r="D595" s="3"/>
      <c r="E595" s="3" t="s">
        <v>239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0.79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239</v>
      </c>
      <c r="D596" s="3"/>
      <c r="E596" s="3" t="s">
        <v>239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239</v>
      </c>
      <c r="D597" s="3"/>
      <c r="E597" s="3" t="s">
        <v>239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239</v>
      </c>
      <c r="D598" s="3"/>
      <c r="E598" s="3" t="s">
        <v>239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239</v>
      </c>
      <c r="D599" s="3"/>
      <c r="E599" s="3" t="s">
        <v>239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124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239</v>
      </c>
      <c r="D600" s="3"/>
      <c r="E600" s="3" t="s">
        <v>239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239</v>
      </c>
      <c r="D601" s="3"/>
      <c r="E601" s="3" t="s">
        <v>239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239</v>
      </c>
      <c r="D602" s="3"/>
      <c r="E602" s="3" t="s">
        <v>239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239</v>
      </c>
      <c r="D603" s="3"/>
      <c r="E603" s="3" t="s">
        <v>239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120</v>
      </c>
      <c r="O603" s="3"/>
      <c r="P603" s="3"/>
      <c r="Q603" s="3">
        <v>0.69099999999999995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239</v>
      </c>
      <c r="D604" s="3"/>
      <c r="E604" s="3" t="s">
        <v>239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323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324</v>
      </c>
      <c r="D605" s="3"/>
      <c r="E605" s="3" t="s">
        <v>324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325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324</v>
      </c>
      <c r="D606" s="3"/>
      <c r="E606" s="3" t="s">
        <v>324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242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324</v>
      </c>
      <c r="D607" s="3"/>
      <c r="E607" s="3" t="s">
        <v>324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326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324</v>
      </c>
      <c r="D608" s="3"/>
      <c r="E608" s="3" t="s">
        <v>324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327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324</v>
      </c>
      <c r="D609" s="3"/>
      <c r="E609" s="3" t="s">
        <v>324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118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324</v>
      </c>
      <c r="D610" s="3"/>
      <c r="E610" s="3" t="s">
        <v>324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0.26900000000000002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324</v>
      </c>
      <c r="D611" s="3"/>
      <c r="E611" s="3" t="s">
        <v>324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324</v>
      </c>
      <c r="D612" s="3"/>
      <c r="E612" s="3" t="s">
        <v>324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324</v>
      </c>
      <c r="D613" s="3"/>
      <c r="E613" s="3" t="s">
        <v>324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324</v>
      </c>
      <c r="D614" s="3"/>
      <c r="E614" s="3" t="s">
        <v>324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324</v>
      </c>
      <c r="D615" s="3"/>
      <c r="E615" s="3" t="s">
        <v>324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324</v>
      </c>
      <c r="D616" s="3"/>
      <c r="E616" s="3" t="s">
        <v>324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324</v>
      </c>
      <c r="D617" s="3"/>
      <c r="E617" s="3" t="s">
        <v>324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324</v>
      </c>
      <c r="D618" s="3"/>
      <c r="E618" s="3" t="s">
        <v>324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120</v>
      </c>
      <c r="O618" s="3"/>
      <c r="P618" s="3"/>
      <c r="Q618" s="3">
        <v>0.28499999999999998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324</v>
      </c>
      <c r="D619" s="3"/>
      <c r="E619" s="3" t="s">
        <v>324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328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329</v>
      </c>
      <c r="D620" s="3"/>
      <c r="E620" s="3" t="s">
        <v>329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330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329</v>
      </c>
      <c r="D621" s="3"/>
      <c r="E621" s="3" t="s">
        <v>329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242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329</v>
      </c>
      <c r="D622" s="3"/>
      <c r="E622" s="3" t="s">
        <v>329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331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329</v>
      </c>
      <c r="D623" s="3"/>
      <c r="E623" s="3" t="s">
        <v>329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332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329</v>
      </c>
      <c r="D624" s="3"/>
      <c r="E624" s="3" t="s">
        <v>329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118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329</v>
      </c>
      <c r="D625" s="3"/>
      <c r="E625" s="3" t="s">
        <v>329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0.33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329</v>
      </c>
      <c r="D626" s="3"/>
      <c r="E626" s="3" t="s">
        <v>329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329</v>
      </c>
      <c r="D627" s="3"/>
      <c r="E627" s="3" t="s">
        <v>329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329</v>
      </c>
      <c r="D628" s="3"/>
      <c r="E628" s="3" t="s">
        <v>329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329</v>
      </c>
      <c r="D629" s="3"/>
      <c r="E629" s="3" t="s">
        <v>329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329</v>
      </c>
      <c r="D630" s="3"/>
      <c r="E630" s="3" t="s">
        <v>329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329</v>
      </c>
      <c r="D631" s="3"/>
      <c r="E631" s="3" t="s">
        <v>329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329</v>
      </c>
      <c r="D632" s="3"/>
      <c r="E632" s="3" t="s">
        <v>329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329</v>
      </c>
      <c r="D633" s="3"/>
      <c r="E633" s="3" t="s">
        <v>329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120</v>
      </c>
      <c r="O633" s="3"/>
      <c r="P633" s="3"/>
      <c r="Q633" s="3">
        <v>0.33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329</v>
      </c>
      <c r="D634" s="3"/>
      <c r="E634" s="3" t="s">
        <v>329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333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334</v>
      </c>
      <c r="D635" s="3"/>
      <c r="E635" s="3" t="s">
        <v>334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335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334</v>
      </c>
      <c r="D636" s="3"/>
      <c r="E636" s="3" t="s">
        <v>334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242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334</v>
      </c>
      <c r="D637" s="3"/>
      <c r="E637" s="3" t="s">
        <v>334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336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334</v>
      </c>
      <c r="D638" s="3"/>
      <c r="E638" s="3" t="s">
        <v>334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337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334</v>
      </c>
      <c r="D639" s="3"/>
      <c r="E639" s="3" t="s">
        <v>334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118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334</v>
      </c>
      <c r="D640" s="3"/>
      <c r="E640" s="3" t="s">
        <v>334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0.39200000000000002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334</v>
      </c>
      <c r="D641" s="3"/>
      <c r="E641" s="3" t="s">
        <v>334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334</v>
      </c>
      <c r="D642" s="3"/>
      <c r="E642" s="3" t="s">
        <v>334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334</v>
      </c>
      <c r="D643" s="3"/>
      <c r="E643" s="3" t="s">
        <v>334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334</v>
      </c>
      <c r="D644" s="3"/>
      <c r="E644" s="3" t="s">
        <v>334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124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334</v>
      </c>
      <c r="D645" s="3"/>
      <c r="E645" s="3" t="s">
        <v>334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334</v>
      </c>
      <c r="D646" s="3"/>
      <c r="E646" s="3" t="s">
        <v>334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334</v>
      </c>
      <c r="D647" s="3"/>
      <c r="E647" s="3" t="s">
        <v>334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334</v>
      </c>
      <c r="D648" s="3"/>
      <c r="E648" s="3" t="s">
        <v>334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120</v>
      </c>
      <c r="O648" s="3"/>
      <c r="P648" s="3"/>
      <c r="Q648" s="3">
        <v>0.375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334</v>
      </c>
      <c r="D649" s="3"/>
      <c r="E649" s="3" t="s">
        <v>334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338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339</v>
      </c>
      <c r="D650" s="3"/>
      <c r="E650" s="3" t="s">
        <v>339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340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339</v>
      </c>
      <c r="D651" s="3"/>
      <c r="E651" s="3" t="s">
        <v>339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242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339</v>
      </c>
      <c r="D652" s="3"/>
      <c r="E652" s="3" t="s">
        <v>339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341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339</v>
      </c>
      <c r="D653" s="3"/>
      <c r="E653" s="3" t="s">
        <v>339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342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339</v>
      </c>
      <c r="D654" s="3"/>
      <c r="E654" s="3" t="s">
        <v>339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118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339</v>
      </c>
      <c r="D655" s="3"/>
      <c r="E655" s="3" t="s">
        <v>339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0.45400000000000001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339</v>
      </c>
      <c r="D656" s="3"/>
      <c r="E656" s="3" t="s">
        <v>339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339</v>
      </c>
      <c r="D657" s="3"/>
      <c r="E657" s="3" t="s">
        <v>339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339</v>
      </c>
      <c r="D658" s="3"/>
      <c r="E658" s="3" t="s">
        <v>339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339</v>
      </c>
      <c r="D659" s="3"/>
      <c r="E659" s="3" t="s">
        <v>339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124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339</v>
      </c>
      <c r="D660" s="3"/>
      <c r="E660" s="3" t="s">
        <v>339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339</v>
      </c>
      <c r="D661" s="3"/>
      <c r="E661" s="3" t="s">
        <v>339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339</v>
      </c>
      <c r="D662" s="3"/>
      <c r="E662" s="3" t="s">
        <v>339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339</v>
      </c>
      <c r="D663" s="3"/>
      <c r="E663" s="3" t="s">
        <v>339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120</v>
      </c>
      <c r="O663" s="3"/>
      <c r="P663" s="3"/>
      <c r="Q663" s="3">
        <v>0.42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339</v>
      </c>
      <c r="D664" s="3"/>
      <c r="E664" s="3" t="s">
        <v>339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343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344</v>
      </c>
      <c r="D665" s="3"/>
      <c r="E665" s="3" t="s">
        <v>344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345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344</v>
      </c>
      <c r="D666" s="3"/>
      <c r="E666" s="3" t="s">
        <v>344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242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344</v>
      </c>
      <c r="D667" s="3"/>
      <c r="E667" s="3" t="s">
        <v>344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346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344</v>
      </c>
      <c r="D668" s="3"/>
      <c r="E668" s="3" t="s">
        <v>344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347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344</v>
      </c>
      <c r="D669" s="3"/>
      <c r="E669" s="3" t="s">
        <v>344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118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344</v>
      </c>
      <c r="D670" s="3"/>
      <c r="E670" s="3" t="s">
        <v>344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0.57799999999999996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344</v>
      </c>
      <c r="D671" s="3"/>
      <c r="E671" s="3" t="s">
        <v>344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344</v>
      </c>
      <c r="D672" s="3"/>
      <c r="E672" s="3" t="s">
        <v>344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344</v>
      </c>
      <c r="D673" s="3"/>
      <c r="E673" s="3" t="s">
        <v>344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344</v>
      </c>
      <c r="D674" s="3"/>
      <c r="E674" s="3" t="s">
        <v>344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124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344</v>
      </c>
      <c r="D675" s="3"/>
      <c r="E675" s="3" t="s">
        <v>344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344</v>
      </c>
      <c r="D676" s="3"/>
      <c r="E676" s="3" t="s">
        <v>344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344</v>
      </c>
      <c r="D677" s="3"/>
      <c r="E677" s="3" t="s">
        <v>344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344</v>
      </c>
      <c r="D678" s="3"/>
      <c r="E678" s="3" t="s">
        <v>344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120</v>
      </c>
      <c r="O678" s="3"/>
      <c r="P678" s="3"/>
      <c r="Q678" s="3">
        <v>0.51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344</v>
      </c>
      <c r="D679" s="3"/>
      <c r="E679" s="3" t="s">
        <v>344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348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349</v>
      </c>
      <c r="D680" s="3"/>
      <c r="E680" s="3" t="s">
        <v>349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350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349</v>
      </c>
      <c r="D681" s="3"/>
      <c r="E681" s="3" t="s">
        <v>349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242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349</v>
      </c>
      <c r="D682" s="3"/>
      <c r="E682" s="3" t="s">
        <v>349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351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349</v>
      </c>
      <c r="D683" s="3"/>
      <c r="E683" s="3" t="s">
        <v>349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352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349</v>
      </c>
      <c r="D684" s="3"/>
      <c r="E684" s="3" t="s">
        <v>349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118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349</v>
      </c>
      <c r="D685" s="3"/>
      <c r="E685" s="3" t="s">
        <v>349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0.64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349</v>
      </c>
      <c r="D686" s="3"/>
      <c r="E686" s="3" t="s">
        <v>349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349</v>
      </c>
      <c r="D687" s="3"/>
      <c r="E687" s="3" t="s">
        <v>349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349</v>
      </c>
      <c r="D688" s="3"/>
      <c r="E688" s="3" t="s">
        <v>349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349</v>
      </c>
      <c r="D689" s="3"/>
      <c r="E689" s="3" t="s">
        <v>349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349</v>
      </c>
      <c r="D690" s="3"/>
      <c r="E690" s="3" t="s">
        <v>349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349</v>
      </c>
      <c r="D691" s="3"/>
      <c r="E691" s="3" t="s">
        <v>349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349</v>
      </c>
      <c r="D692" s="3"/>
      <c r="E692" s="3" t="s">
        <v>349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349</v>
      </c>
      <c r="D693" s="3"/>
      <c r="E693" s="3" t="s">
        <v>349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120</v>
      </c>
      <c r="O693" s="3"/>
      <c r="P693" s="3"/>
      <c r="Q693" s="3">
        <v>0.55500000000000005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349</v>
      </c>
      <c r="D694" s="3"/>
      <c r="E694" s="3" t="s">
        <v>349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353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354</v>
      </c>
      <c r="D695" s="3"/>
      <c r="E695" s="3" t="s">
        <v>354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355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354</v>
      </c>
      <c r="D696" s="3"/>
      <c r="E696" s="3" t="s">
        <v>354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242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354</v>
      </c>
      <c r="D697" s="3"/>
      <c r="E697" s="3" t="s">
        <v>354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356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354</v>
      </c>
      <c r="D698" s="3"/>
      <c r="E698" s="3" t="s">
        <v>354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357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354</v>
      </c>
      <c r="D699" s="3"/>
      <c r="E699" s="3" t="s">
        <v>354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118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354</v>
      </c>
      <c r="D700" s="3"/>
      <c r="E700" s="3" t="s">
        <v>354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0.70199999999999996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354</v>
      </c>
      <c r="D701" s="3"/>
      <c r="E701" s="3" t="s">
        <v>354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354</v>
      </c>
      <c r="D702" s="3"/>
      <c r="E702" s="3" t="s">
        <v>354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354</v>
      </c>
      <c r="D703" s="3"/>
      <c r="E703" s="3" t="s">
        <v>354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354</v>
      </c>
      <c r="D704" s="3"/>
      <c r="E704" s="3" t="s">
        <v>354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124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354</v>
      </c>
      <c r="D705" s="3"/>
      <c r="E705" s="3" t="s">
        <v>354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354</v>
      </c>
      <c r="D706" s="3"/>
      <c r="E706" s="3" t="s">
        <v>354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354</v>
      </c>
      <c r="D707" s="3"/>
      <c r="E707" s="3" t="s">
        <v>354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354</v>
      </c>
      <c r="D708" s="3"/>
      <c r="E708" s="3" t="s">
        <v>354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120</v>
      </c>
      <c r="O708" s="3"/>
      <c r="P708" s="3"/>
      <c r="Q708" s="3">
        <v>0.60099999999999998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354</v>
      </c>
      <c r="D709" s="3"/>
      <c r="E709" s="3" t="s">
        <v>354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358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359</v>
      </c>
      <c r="D710" s="3"/>
      <c r="E710" s="3" t="s">
        <v>359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360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359</v>
      </c>
      <c r="D711" s="3"/>
      <c r="E711" s="3" t="s">
        <v>359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242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359</v>
      </c>
      <c r="D712" s="3"/>
      <c r="E712" s="3" t="s">
        <v>359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361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359</v>
      </c>
      <c r="D713" s="3"/>
      <c r="E713" s="3" t="s">
        <v>359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362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359</v>
      </c>
      <c r="D714" s="3"/>
      <c r="E714" s="3" t="s">
        <v>359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118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359</v>
      </c>
      <c r="D715" s="3"/>
      <c r="E715" s="3" t="s">
        <v>359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0.28000000000000003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359</v>
      </c>
      <c r="D716" s="3"/>
      <c r="E716" s="3" t="s">
        <v>359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359</v>
      </c>
      <c r="D717" s="3"/>
      <c r="E717" s="3" t="s">
        <v>359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359</v>
      </c>
      <c r="D718" s="3"/>
      <c r="E718" s="3" t="s">
        <v>359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359</v>
      </c>
      <c r="D719" s="3"/>
      <c r="E719" s="3" t="s">
        <v>359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124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359</v>
      </c>
      <c r="D720" s="3"/>
      <c r="E720" s="3" t="s">
        <v>359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359</v>
      </c>
      <c r="D721" s="3"/>
      <c r="E721" s="3" t="s">
        <v>359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359</v>
      </c>
      <c r="D722" s="3"/>
      <c r="E722" s="3" t="s">
        <v>359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359</v>
      </c>
      <c r="D723" s="3"/>
      <c r="E723" s="3" t="s">
        <v>359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120</v>
      </c>
      <c r="O723" s="3"/>
      <c r="P723" s="3"/>
      <c r="Q723" s="3">
        <v>0.28499999999999998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359</v>
      </c>
      <c r="D724" s="3"/>
      <c r="E724" s="3" t="s">
        <v>359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363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364</v>
      </c>
      <c r="D725" s="3"/>
      <c r="E725" s="3" t="s">
        <v>364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365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364</v>
      </c>
      <c r="D726" s="3"/>
      <c r="E726" s="3" t="s">
        <v>364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242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364</v>
      </c>
      <c r="D727" s="3"/>
      <c r="E727" s="3" t="s">
        <v>364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366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364</v>
      </c>
      <c r="D728" s="3"/>
      <c r="E728" s="3" t="s">
        <v>364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367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364</v>
      </c>
      <c r="D729" s="3"/>
      <c r="E729" s="3" t="s">
        <v>364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118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364</v>
      </c>
      <c r="D730" s="3"/>
      <c r="E730" s="3" t="s">
        <v>364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0.34499999999999997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364</v>
      </c>
      <c r="D731" s="3"/>
      <c r="E731" s="3" t="s">
        <v>364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364</v>
      </c>
      <c r="D732" s="3"/>
      <c r="E732" s="3" t="s">
        <v>364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364</v>
      </c>
      <c r="D733" s="3"/>
      <c r="E733" s="3" t="s">
        <v>364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364</v>
      </c>
      <c r="D734" s="3"/>
      <c r="E734" s="3" t="s">
        <v>364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124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364</v>
      </c>
      <c r="D735" s="3"/>
      <c r="E735" s="3" t="s">
        <v>364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364</v>
      </c>
      <c r="D736" s="3"/>
      <c r="E736" s="3" t="s">
        <v>364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364</v>
      </c>
      <c r="D737" s="3"/>
      <c r="E737" s="3" t="s">
        <v>364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364</v>
      </c>
      <c r="D738" s="3"/>
      <c r="E738" s="3" t="s">
        <v>364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120</v>
      </c>
      <c r="O738" s="3"/>
      <c r="P738" s="3"/>
      <c r="Q738" s="3">
        <v>0.33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364</v>
      </c>
      <c r="D739" s="3"/>
      <c r="E739" s="3" t="s">
        <v>364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368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369</v>
      </c>
      <c r="D740" s="3"/>
      <c r="E740" s="3" t="s">
        <v>369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370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369</v>
      </c>
      <c r="D741" s="3"/>
      <c r="E741" s="3" t="s">
        <v>369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242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369</v>
      </c>
      <c r="D742" s="3"/>
      <c r="E742" s="3" t="s">
        <v>369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371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369</v>
      </c>
      <c r="D743" s="3"/>
      <c r="E743" s="3" t="s">
        <v>369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372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369</v>
      </c>
      <c r="D744" s="3"/>
      <c r="E744" s="3" t="s">
        <v>369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118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369</v>
      </c>
      <c r="D745" s="3"/>
      <c r="E745" s="3" t="s">
        <v>369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0.41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369</v>
      </c>
      <c r="D746" s="3"/>
      <c r="E746" s="3" t="s">
        <v>369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369</v>
      </c>
      <c r="D747" s="3"/>
      <c r="E747" s="3" t="s">
        <v>369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369</v>
      </c>
      <c r="D748" s="3"/>
      <c r="E748" s="3" t="s">
        <v>369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369</v>
      </c>
      <c r="D749" s="3"/>
      <c r="E749" s="3" t="s">
        <v>369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124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369</v>
      </c>
      <c r="D750" s="3"/>
      <c r="E750" s="3" t="s">
        <v>369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369</v>
      </c>
      <c r="D751" s="3"/>
      <c r="E751" s="3" t="s">
        <v>369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369</v>
      </c>
      <c r="D752" s="3"/>
      <c r="E752" s="3" t="s">
        <v>369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369</v>
      </c>
      <c r="D753" s="3"/>
      <c r="E753" s="3" t="s">
        <v>369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120</v>
      </c>
      <c r="O753" s="3"/>
      <c r="P753" s="3"/>
      <c r="Q753" s="3">
        <v>0.375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369</v>
      </c>
      <c r="D754" s="3"/>
      <c r="E754" s="3" t="s">
        <v>369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373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374</v>
      </c>
      <c r="D755" s="3"/>
      <c r="E755" s="3" t="s">
        <v>374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375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374</v>
      </c>
      <c r="D756" s="3"/>
      <c r="E756" s="3" t="s">
        <v>374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242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374</v>
      </c>
      <c r="D757" s="3"/>
      <c r="E757" s="3" t="s">
        <v>374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376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374</v>
      </c>
      <c r="D758" s="3"/>
      <c r="E758" s="3" t="s">
        <v>374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377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374</v>
      </c>
      <c r="D759" s="3"/>
      <c r="E759" s="3" t="s">
        <v>374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118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374</v>
      </c>
      <c r="D760" s="3"/>
      <c r="E760" s="3" t="s">
        <v>374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0.47399999999999998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374</v>
      </c>
      <c r="D761" s="3"/>
      <c r="E761" s="3" t="s">
        <v>374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374</v>
      </c>
      <c r="D762" s="3"/>
      <c r="E762" s="3" t="s">
        <v>374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374</v>
      </c>
      <c r="D763" s="3"/>
      <c r="E763" s="3" t="s">
        <v>374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374</v>
      </c>
      <c r="D764" s="3"/>
      <c r="E764" s="3" t="s">
        <v>374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124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374</v>
      </c>
      <c r="D765" s="3"/>
      <c r="E765" s="3" t="s">
        <v>374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374</v>
      </c>
      <c r="D766" s="3"/>
      <c r="E766" s="3" t="s">
        <v>374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374</v>
      </c>
      <c r="D767" s="3"/>
      <c r="E767" s="3" t="s">
        <v>374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374</v>
      </c>
      <c r="D768" s="3"/>
      <c r="E768" s="3" t="s">
        <v>374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120</v>
      </c>
      <c r="O768" s="3"/>
      <c r="P768" s="3"/>
      <c r="Q768" s="3">
        <v>0.42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374</v>
      </c>
      <c r="D769" s="3"/>
      <c r="E769" s="3" t="s">
        <v>374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378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379</v>
      </c>
      <c r="D770" s="3"/>
      <c r="E770" s="3" t="s">
        <v>379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380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379</v>
      </c>
      <c r="D771" s="3"/>
      <c r="E771" s="3" t="s">
        <v>379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242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379</v>
      </c>
      <c r="D772" s="3"/>
      <c r="E772" s="3" t="s">
        <v>379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381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379</v>
      </c>
      <c r="D773" s="3"/>
      <c r="E773" s="3" t="s">
        <v>379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382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379</v>
      </c>
      <c r="D774" s="3"/>
      <c r="E774" s="3" t="s">
        <v>379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118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379</v>
      </c>
      <c r="D775" s="3"/>
      <c r="E775" s="3" t="s">
        <v>379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0.60399999999999998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379</v>
      </c>
      <c r="D776" s="3"/>
      <c r="E776" s="3" t="s">
        <v>379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379</v>
      </c>
      <c r="D777" s="3"/>
      <c r="E777" s="3" t="s">
        <v>379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379</v>
      </c>
      <c r="D778" s="3"/>
      <c r="E778" s="3" t="s">
        <v>379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379</v>
      </c>
      <c r="D779" s="3"/>
      <c r="E779" s="3" t="s">
        <v>379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124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379</v>
      </c>
      <c r="D780" s="3"/>
      <c r="E780" s="3" t="s">
        <v>379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379</v>
      </c>
      <c r="D781" s="3"/>
      <c r="E781" s="3" t="s">
        <v>379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379</v>
      </c>
      <c r="D782" s="3"/>
      <c r="E782" s="3" t="s">
        <v>379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379</v>
      </c>
      <c r="D783" s="3"/>
      <c r="E783" s="3" t="s">
        <v>379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120</v>
      </c>
      <c r="O783" s="3"/>
      <c r="P783" s="3"/>
      <c r="Q783" s="3">
        <v>0.51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379</v>
      </c>
      <c r="D784" s="3"/>
      <c r="E784" s="3" t="s">
        <v>379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383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384</v>
      </c>
      <c r="D785" s="3"/>
      <c r="E785" s="3" t="s">
        <v>384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385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384</v>
      </c>
      <c r="D786" s="3"/>
      <c r="E786" s="3" t="s">
        <v>384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242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384</v>
      </c>
      <c r="D787" s="3"/>
      <c r="E787" s="3" t="s">
        <v>384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386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384</v>
      </c>
      <c r="D788" s="3"/>
      <c r="E788" s="3" t="s">
        <v>384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387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384</v>
      </c>
      <c r="D789" s="3"/>
      <c r="E789" s="3" t="s">
        <v>384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118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384</v>
      </c>
      <c r="D790" s="3"/>
      <c r="E790" s="3" t="s">
        <v>384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0.66900000000000004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384</v>
      </c>
      <c r="D791" s="3"/>
      <c r="E791" s="3" t="s">
        <v>384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384</v>
      </c>
      <c r="D792" s="3"/>
      <c r="E792" s="3" t="s">
        <v>384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384</v>
      </c>
      <c r="D793" s="3"/>
      <c r="E793" s="3" t="s">
        <v>384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384</v>
      </c>
      <c r="D794" s="3"/>
      <c r="E794" s="3" t="s">
        <v>384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124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384</v>
      </c>
      <c r="D795" s="3"/>
      <c r="E795" s="3" t="s">
        <v>384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384</v>
      </c>
      <c r="D796" s="3"/>
      <c r="E796" s="3" t="s">
        <v>384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384</v>
      </c>
      <c r="D797" s="3"/>
      <c r="E797" s="3" t="s">
        <v>384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384</v>
      </c>
      <c r="D798" s="3"/>
      <c r="E798" s="3" t="s">
        <v>384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120</v>
      </c>
      <c r="O798" s="3"/>
      <c r="P798" s="3"/>
      <c r="Q798" s="3">
        <v>0.55500000000000005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384</v>
      </c>
      <c r="D799" s="3"/>
      <c r="E799" s="3" t="s">
        <v>384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388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389</v>
      </c>
      <c r="D800" s="3"/>
      <c r="E800" s="3" t="s">
        <v>389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390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389</v>
      </c>
      <c r="D801" s="3"/>
      <c r="E801" s="3" t="s">
        <v>389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242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389</v>
      </c>
      <c r="D802" s="3"/>
      <c r="E802" s="3" t="s">
        <v>389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391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389</v>
      </c>
      <c r="D803" s="3"/>
      <c r="E803" s="3" t="s">
        <v>389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392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389</v>
      </c>
      <c r="D804" s="3"/>
      <c r="E804" s="3" t="s">
        <v>389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118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389</v>
      </c>
      <c r="D805" s="3"/>
      <c r="E805" s="3" t="s">
        <v>389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0.73299999999999998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389</v>
      </c>
      <c r="D806" s="3"/>
      <c r="E806" s="3" t="s">
        <v>389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389</v>
      </c>
      <c r="D807" s="3"/>
      <c r="E807" s="3" t="s">
        <v>389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389</v>
      </c>
      <c r="D808" s="3"/>
      <c r="E808" s="3" t="s">
        <v>389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389</v>
      </c>
      <c r="D809" s="3"/>
      <c r="E809" s="3" t="s">
        <v>389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124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389</v>
      </c>
      <c r="D810" s="3"/>
      <c r="E810" s="3" t="s">
        <v>389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389</v>
      </c>
      <c r="D811" s="3"/>
      <c r="E811" s="3" t="s">
        <v>389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389</v>
      </c>
      <c r="D812" s="3"/>
      <c r="E812" s="3" t="s">
        <v>389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389</v>
      </c>
      <c r="D813" s="3"/>
      <c r="E813" s="3" t="s">
        <v>389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120</v>
      </c>
      <c r="O813" s="3"/>
      <c r="P813" s="3"/>
      <c r="Q813" s="3">
        <v>0.60099999999999998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389</v>
      </c>
      <c r="D814" s="3"/>
      <c r="E814" s="3" t="s">
        <v>389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393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394</v>
      </c>
      <c r="D815" s="3"/>
      <c r="E815" s="3" t="s">
        <v>394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395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394</v>
      </c>
      <c r="D816" s="3"/>
      <c r="E816" s="3" t="s">
        <v>394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242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394</v>
      </c>
      <c r="D817" s="3"/>
      <c r="E817" s="3" t="s">
        <v>394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396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394</v>
      </c>
      <c r="D818" s="3"/>
      <c r="E818" s="3" t="s">
        <v>394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397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394</v>
      </c>
      <c r="D819" s="3"/>
      <c r="E819" s="3" t="s">
        <v>394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118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394</v>
      </c>
      <c r="D820" s="3"/>
      <c r="E820" s="3" t="s">
        <v>394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0.29199999999999998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394</v>
      </c>
      <c r="D821" s="3"/>
      <c r="E821" s="3" t="s">
        <v>394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394</v>
      </c>
      <c r="D822" s="3"/>
      <c r="E822" s="3" t="s">
        <v>394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394</v>
      </c>
      <c r="D823" s="3"/>
      <c r="E823" s="3" t="s">
        <v>394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394</v>
      </c>
      <c r="D824" s="3"/>
      <c r="E824" s="3" t="s">
        <v>394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124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394</v>
      </c>
      <c r="D825" s="3"/>
      <c r="E825" s="3" t="s">
        <v>394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394</v>
      </c>
      <c r="D826" s="3"/>
      <c r="E826" s="3" t="s">
        <v>394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394</v>
      </c>
      <c r="D827" s="3"/>
      <c r="E827" s="3" t="s">
        <v>394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394</v>
      </c>
      <c r="D828" s="3"/>
      <c r="E828" s="3" t="s">
        <v>394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120</v>
      </c>
      <c r="O828" s="3"/>
      <c r="P828" s="3"/>
      <c r="Q828" s="3">
        <v>0.28499999999999998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394</v>
      </c>
      <c r="D829" s="3"/>
      <c r="E829" s="3" t="s">
        <v>394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398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399</v>
      </c>
      <c r="D830" s="3"/>
      <c r="E830" s="3" t="s">
        <v>399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400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399</v>
      </c>
      <c r="D831" s="3"/>
      <c r="E831" s="3" t="s">
        <v>399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242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399</v>
      </c>
      <c r="D832" s="3"/>
      <c r="E832" s="3" t="s">
        <v>399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401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399</v>
      </c>
      <c r="D833" s="3"/>
      <c r="E833" s="3" t="s">
        <v>399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402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399</v>
      </c>
      <c r="D834" s="3"/>
      <c r="E834" s="3" t="s">
        <v>399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118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399</v>
      </c>
      <c r="D835" s="3"/>
      <c r="E835" s="3" t="s">
        <v>399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0.36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399</v>
      </c>
      <c r="D836" s="3"/>
      <c r="E836" s="3" t="s">
        <v>399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399</v>
      </c>
      <c r="D837" s="3"/>
      <c r="E837" s="3" t="s">
        <v>399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399</v>
      </c>
      <c r="D838" s="3"/>
      <c r="E838" s="3" t="s">
        <v>399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399</v>
      </c>
      <c r="D839" s="3"/>
      <c r="E839" s="3" t="s">
        <v>399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124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399</v>
      </c>
      <c r="D840" s="3"/>
      <c r="E840" s="3" t="s">
        <v>399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399</v>
      </c>
      <c r="D841" s="3"/>
      <c r="E841" s="3" t="s">
        <v>399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399</v>
      </c>
      <c r="D842" s="3"/>
      <c r="E842" s="3" t="s">
        <v>399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399</v>
      </c>
      <c r="D843" s="3"/>
      <c r="E843" s="3" t="s">
        <v>399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120</v>
      </c>
      <c r="O843" s="3"/>
      <c r="P843" s="3"/>
      <c r="Q843" s="3">
        <v>0.33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399</v>
      </c>
      <c r="D844" s="3"/>
      <c r="E844" s="3" t="s">
        <v>399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403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404</v>
      </c>
      <c r="D845" s="3"/>
      <c r="E845" s="3" t="s">
        <v>404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404</v>
      </c>
      <c r="D846" s="3"/>
      <c r="E846" s="3" t="s">
        <v>404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242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404</v>
      </c>
      <c r="D847" s="3"/>
      <c r="E847" s="3" t="s">
        <v>404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406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404</v>
      </c>
      <c r="D848" s="3"/>
      <c r="E848" s="3" t="s">
        <v>404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407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404</v>
      </c>
      <c r="D849" s="3"/>
      <c r="E849" s="3" t="s">
        <v>404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118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404</v>
      </c>
      <c r="D850" s="3"/>
      <c r="E850" s="3" t="s">
        <v>404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0.42699999999999999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404</v>
      </c>
      <c r="D851" s="3"/>
      <c r="E851" s="3" t="s">
        <v>404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404</v>
      </c>
      <c r="D852" s="3"/>
      <c r="E852" s="3" t="s">
        <v>404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404</v>
      </c>
      <c r="D853" s="3"/>
      <c r="E853" s="3" t="s">
        <v>404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404</v>
      </c>
      <c r="D854" s="3"/>
      <c r="E854" s="3" t="s">
        <v>404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124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404</v>
      </c>
      <c r="D855" s="3"/>
      <c r="E855" s="3" t="s">
        <v>404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404</v>
      </c>
      <c r="D856" s="3"/>
      <c r="E856" s="3" t="s">
        <v>404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404</v>
      </c>
      <c r="D857" s="3"/>
      <c r="E857" s="3" t="s">
        <v>404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404</v>
      </c>
      <c r="D858" s="3"/>
      <c r="E858" s="3" t="s">
        <v>404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120</v>
      </c>
      <c r="O858" s="3"/>
      <c r="P858" s="3"/>
      <c r="Q858" s="3">
        <v>0.375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404</v>
      </c>
      <c r="D859" s="3"/>
      <c r="E859" s="3" t="s">
        <v>404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408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409</v>
      </c>
      <c r="D860" s="3"/>
      <c r="E860" s="3" t="s">
        <v>409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410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409</v>
      </c>
      <c r="D861" s="3"/>
      <c r="E861" s="3" t="s">
        <v>409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242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409</v>
      </c>
      <c r="D862" s="3"/>
      <c r="E862" s="3" t="s">
        <v>409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411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409</v>
      </c>
      <c r="D863" s="3"/>
      <c r="E863" s="3" t="s">
        <v>409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412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409</v>
      </c>
      <c r="D864" s="3"/>
      <c r="E864" s="3" t="s">
        <v>409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118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409</v>
      </c>
      <c r="D865" s="3"/>
      <c r="E865" s="3" t="s">
        <v>409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0.495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409</v>
      </c>
      <c r="D866" s="3"/>
      <c r="E866" s="3" t="s">
        <v>409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409</v>
      </c>
      <c r="D867" s="3"/>
      <c r="E867" s="3" t="s">
        <v>409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409</v>
      </c>
      <c r="D868" s="3"/>
      <c r="E868" s="3" t="s">
        <v>409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409</v>
      </c>
      <c r="D869" s="3"/>
      <c r="E869" s="3" t="s">
        <v>409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124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409</v>
      </c>
      <c r="D870" s="3"/>
      <c r="E870" s="3" t="s">
        <v>409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409</v>
      </c>
      <c r="D871" s="3"/>
      <c r="E871" s="3" t="s">
        <v>409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409</v>
      </c>
      <c r="D872" s="3"/>
      <c r="E872" s="3" t="s">
        <v>409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409</v>
      </c>
      <c r="D873" s="3"/>
      <c r="E873" s="3" t="s">
        <v>409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120</v>
      </c>
      <c r="O873" s="3"/>
      <c r="P873" s="3"/>
      <c r="Q873" s="3">
        <v>0.42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409</v>
      </c>
      <c r="D874" s="3"/>
      <c r="E874" s="3" t="s">
        <v>409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413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414</v>
      </c>
      <c r="D875" s="3"/>
      <c r="E875" s="3" t="s">
        <v>414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415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414</v>
      </c>
      <c r="D876" s="3"/>
      <c r="E876" s="3" t="s">
        <v>414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242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414</v>
      </c>
      <c r="D877" s="3"/>
      <c r="E877" s="3" t="s">
        <v>414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416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414</v>
      </c>
      <c r="D878" s="3"/>
      <c r="E878" s="3" t="s">
        <v>414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417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414</v>
      </c>
      <c r="D879" s="3"/>
      <c r="E879" s="3" t="s">
        <v>414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118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414</v>
      </c>
      <c r="D880" s="3"/>
      <c r="E880" s="3" t="s">
        <v>414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0.629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414</v>
      </c>
      <c r="D881" s="3"/>
      <c r="E881" s="3" t="s">
        <v>414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414</v>
      </c>
      <c r="D882" s="3"/>
      <c r="E882" s="3" t="s">
        <v>414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414</v>
      </c>
      <c r="D883" s="3"/>
      <c r="E883" s="3" t="s">
        <v>414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414</v>
      </c>
      <c r="D884" s="3"/>
      <c r="E884" s="3" t="s">
        <v>414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414</v>
      </c>
      <c r="D885" s="3"/>
      <c r="E885" s="3" t="s">
        <v>414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414</v>
      </c>
      <c r="D886" s="3"/>
      <c r="E886" s="3" t="s">
        <v>414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414</v>
      </c>
      <c r="D887" s="3"/>
      <c r="E887" s="3" t="s">
        <v>414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414</v>
      </c>
      <c r="D888" s="3"/>
      <c r="E888" s="3" t="s">
        <v>414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120</v>
      </c>
      <c r="O888" s="3"/>
      <c r="P888" s="3"/>
      <c r="Q888" s="3">
        <v>0.51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414</v>
      </c>
      <c r="D889" s="3"/>
      <c r="E889" s="3" t="s">
        <v>414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418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419</v>
      </c>
      <c r="D890" s="3"/>
      <c r="E890" s="3" t="s">
        <v>419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419</v>
      </c>
      <c r="D891" s="3"/>
      <c r="E891" s="3" t="s">
        <v>419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242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419</v>
      </c>
      <c r="D892" s="3"/>
      <c r="E892" s="3" t="s">
        <v>419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421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419</v>
      </c>
      <c r="D893" s="3"/>
      <c r="E893" s="3" t="s">
        <v>419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422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419</v>
      </c>
      <c r="D894" s="3"/>
      <c r="E894" s="3" t="s">
        <v>419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118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419</v>
      </c>
      <c r="D895" s="3"/>
      <c r="E895" s="3" t="s">
        <v>419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0.69699999999999995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419</v>
      </c>
      <c r="D896" s="3"/>
      <c r="E896" s="3" t="s">
        <v>419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419</v>
      </c>
      <c r="D897" s="3"/>
      <c r="E897" s="3" t="s">
        <v>419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419</v>
      </c>
      <c r="D898" s="3"/>
      <c r="E898" s="3" t="s">
        <v>419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419</v>
      </c>
      <c r="D899" s="3"/>
      <c r="E899" s="3" t="s">
        <v>419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124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419</v>
      </c>
      <c r="D900" s="3"/>
      <c r="E900" s="3" t="s">
        <v>419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419</v>
      </c>
      <c r="D901" s="3"/>
      <c r="E901" s="3" t="s">
        <v>419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419</v>
      </c>
      <c r="D902" s="3"/>
      <c r="E902" s="3" t="s">
        <v>419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419</v>
      </c>
      <c r="D903" s="3"/>
      <c r="E903" s="3" t="s">
        <v>419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120</v>
      </c>
      <c r="O903" s="3"/>
      <c r="P903" s="3"/>
      <c r="Q903" s="3">
        <v>0.55500000000000005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419</v>
      </c>
      <c r="D904" s="3"/>
      <c r="E904" s="3" t="s">
        <v>419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423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424</v>
      </c>
      <c r="D905" s="3"/>
      <c r="E905" s="3" t="s">
        <v>424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425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424</v>
      </c>
      <c r="D906" s="3"/>
      <c r="E906" s="3" t="s">
        <v>424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242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424</v>
      </c>
      <c r="D907" s="3"/>
      <c r="E907" s="3" t="s">
        <v>424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426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424</v>
      </c>
      <c r="D908" s="3"/>
      <c r="E908" s="3" t="s">
        <v>424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427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424</v>
      </c>
      <c r="D909" s="3"/>
      <c r="E909" s="3" t="s">
        <v>424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118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424</v>
      </c>
      <c r="D910" s="3"/>
      <c r="E910" s="3" t="s">
        <v>424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0.76400000000000001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424</v>
      </c>
      <c r="D911" s="3"/>
      <c r="E911" s="3" t="s">
        <v>424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424</v>
      </c>
      <c r="D912" s="3"/>
      <c r="E912" s="3" t="s">
        <v>424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424</v>
      </c>
      <c r="D913" s="3"/>
      <c r="E913" s="3" t="s">
        <v>424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424</v>
      </c>
      <c r="D914" s="3"/>
      <c r="E914" s="3" t="s">
        <v>424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124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424</v>
      </c>
      <c r="D915" s="3"/>
      <c r="E915" s="3" t="s">
        <v>424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424</v>
      </c>
      <c r="D916" s="3"/>
      <c r="E916" s="3" t="s">
        <v>424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424</v>
      </c>
      <c r="D917" s="3"/>
      <c r="E917" s="3" t="s">
        <v>424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424</v>
      </c>
      <c r="D918" s="3"/>
      <c r="E918" s="3" t="s">
        <v>424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120</v>
      </c>
      <c r="O918" s="3"/>
      <c r="P918" s="3"/>
      <c r="Q918" s="3">
        <v>0.60099999999999998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424</v>
      </c>
      <c r="D919" s="3"/>
      <c r="E919" s="3" t="s">
        <v>424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428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429</v>
      </c>
      <c r="D920" s="3"/>
      <c r="E920" s="3" t="s">
        <v>429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430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429</v>
      </c>
      <c r="D921" s="3"/>
      <c r="E921" s="3" t="s">
        <v>429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242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429</v>
      </c>
      <c r="D922" s="3"/>
      <c r="E922" s="3" t="s">
        <v>429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431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429</v>
      </c>
      <c r="D923" s="3"/>
      <c r="E923" s="3" t="s">
        <v>429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432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429</v>
      </c>
      <c r="D924" s="3"/>
      <c r="E924" s="3" t="s">
        <v>429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118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429</v>
      </c>
      <c r="D925" s="3"/>
      <c r="E925" s="3" t="s">
        <v>429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0.3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429</v>
      </c>
      <c r="D926" s="3"/>
      <c r="E926" s="3" t="s">
        <v>429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429</v>
      </c>
      <c r="D927" s="3"/>
      <c r="E927" s="3" t="s">
        <v>429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429</v>
      </c>
      <c r="D928" s="3"/>
      <c r="E928" s="3" t="s">
        <v>429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429</v>
      </c>
      <c r="D929" s="3"/>
      <c r="E929" s="3" t="s">
        <v>429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124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429</v>
      </c>
      <c r="D930" s="3"/>
      <c r="E930" s="3" t="s">
        <v>429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429</v>
      </c>
      <c r="D931" s="3"/>
      <c r="E931" s="3" t="s">
        <v>429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429</v>
      </c>
      <c r="D932" s="3"/>
      <c r="E932" s="3" t="s">
        <v>429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429</v>
      </c>
      <c r="D933" s="3"/>
      <c r="E933" s="3" t="s">
        <v>429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120</v>
      </c>
      <c r="O933" s="3"/>
      <c r="P933" s="3"/>
      <c r="Q933" s="3">
        <v>0.66100000000000003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429</v>
      </c>
      <c r="D934" s="3"/>
      <c r="E934" s="3" t="s">
        <v>429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433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434</v>
      </c>
      <c r="D935" s="3"/>
      <c r="E935" s="3" t="s">
        <v>434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435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434</v>
      </c>
      <c r="D936" s="3"/>
      <c r="E936" s="3" t="s">
        <v>434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242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434</v>
      </c>
      <c r="D937" s="3"/>
      <c r="E937" s="3" t="s">
        <v>434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436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434</v>
      </c>
      <c r="D938" s="3"/>
      <c r="E938" s="3" t="s">
        <v>434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437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434</v>
      </c>
      <c r="D939" s="3"/>
      <c r="E939" s="3" t="s">
        <v>434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118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434</v>
      </c>
      <c r="D940" s="3"/>
      <c r="E940" s="3" t="s">
        <v>434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0.36899999999999999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434</v>
      </c>
      <c r="D941" s="3"/>
      <c r="E941" s="3" t="s">
        <v>434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434</v>
      </c>
      <c r="D942" s="3"/>
      <c r="E942" s="3" t="s">
        <v>434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434</v>
      </c>
      <c r="D943" s="3"/>
      <c r="E943" s="3" t="s">
        <v>434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434</v>
      </c>
      <c r="D944" s="3"/>
      <c r="E944" s="3" t="s">
        <v>434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124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434</v>
      </c>
      <c r="D945" s="3"/>
      <c r="E945" s="3" t="s">
        <v>434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434</v>
      </c>
      <c r="D946" s="3"/>
      <c r="E946" s="3" t="s">
        <v>434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434</v>
      </c>
      <c r="D947" s="3"/>
      <c r="E947" s="3" t="s">
        <v>434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434</v>
      </c>
      <c r="D948" s="3"/>
      <c r="E948" s="3" t="s">
        <v>434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120</v>
      </c>
      <c r="O948" s="3"/>
      <c r="P948" s="3"/>
      <c r="Q948" s="3">
        <v>0.66100000000000003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434</v>
      </c>
      <c r="D949" s="3"/>
      <c r="E949" s="3" t="s">
        <v>434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438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439</v>
      </c>
      <c r="D950" s="3"/>
      <c r="E950" s="3" t="s">
        <v>439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440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439</v>
      </c>
      <c r="D951" s="3"/>
      <c r="E951" s="3" t="s">
        <v>439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242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439</v>
      </c>
      <c r="D952" s="3"/>
      <c r="E952" s="3" t="s">
        <v>439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441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439</v>
      </c>
      <c r="D953" s="3"/>
      <c r="E953" s="3" t="s">
        <v>439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442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439</v>
      </c>
      <c r="D954" s="3"/>
      <c r="E954" s="3" t="s">
        <v>439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118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439</v>
      </c>
      <c r="D955" s="3"/>
      <c r="E955" s="3" t="s">
        <v>439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0.439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439</v>
      </c>
      <c r="D956" s="3"/>
      <c r="E956" s="3" t="s">
        <v>439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439</v>
      </c>
      <c r="D957" s="3"/>
      <c r="E957" s="3" t="s">
        <v>439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439</v>
      </c>
      <c r="D958" s="3"/>
      <c r="E958" s="3" t="s">
        <v>439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439</v>
      </c>
      <c r="D959" s="3"/>
      <c r="E959" s="3" t="s">
        <v>439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124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439</v>
      </c>
      <c r="D960" s="3"/>
      <c r="E960" s="3" t="s">
        <v>439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439</v>
      </c>
      <c r="D961" s="3"/>
      <c r="E961" s="3" t="s">
        <v>439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439</v>
      </c>
      <c r="D962" s="3"/>
      <c r="E962" s="3" t="s">
        <v>439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439</v>
      </c>
      <c r="D963" s="3"/>
      <c r="E963" s="3" t="s">
        <v>439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120</v>
      </c>
      <c r="O963" s="3"/>
      <c r="P963" s="3"/>
      <c r="Q963" s="3">
        <v>0.66100000000000003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439</v>
      </c>
      <c r="D964" s="3"/>
      <c r="E964" s="3" t="s">
        <v>439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443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444</v>
      </c>
      <c r="D965" s="3"/>
      <c r="E965" s="3" t="s">
        <v>444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445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444</v>
      </c>
      <c r="D966" s="3"/>
      <c r="E966" s="3" t="s">
        <v>444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242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444</v>
      </c>
      <c r="D967" s="3"/>
      <c r="E967" s="3" t="s">
        <v>444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446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444</v>
      </c>
      <c r="D968" s="3"/>
      <c r="E968" s="3" t="s">
        <v>444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447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444</v>
      </c>
      <c r="D969" s="3"/>
      <c r="E969" s="3" t="s">
        <v>444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118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444</v>
      </c>
      <c r="D970" s="3"/>
      <c r="E970" s="3" t="s">
        <v>444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0.50800000000000001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444</v>
      </c>
      <c r="D971" s="3"/>
      <c r="E971" s="3" t="s">
        <v>444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444</v>
      </c>
      <c r="D972" s="3"/>
      <c r="E972" s="3" t="s">
        <v>444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444</v>
      </c>
      <c r="D973" s="3"/>
      <c r="E973" s="3" t="s">
        <v>444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444</v>
      </c>
      <c r="D974" s="3"/>
      <c r="E974" s="3" t="s">
        <v>444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124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444</v>
      </c>
      <c r="D975" s="3"/>
      <c r="E975" s="3" t="s">
        <v>444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444</v>
      </c>
      <c r="D976" s="3"/>
      <c r="E976" s="3" t="s">
        <v>444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444</v>
      </c>
      <c r="D977" s="3"/>
      <c r="E977" s="3" t="s">
        <v>444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444</v>
      </c>
      <c r="D978" s="3"/>
      <c r="E978" s="3" t="s">
        <v>444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120</v>
      </c>
      <c r="O978" s="3"/>
      <c r="P978" s="3"/>
      <c r="Q978" s="3">
        <v>0.66100000000000003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444</v>
      </c>
      <c r="D979" s="3"/>
      <c r="E979" s="3" t="s">
        <v>444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448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450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449</v>
      </c>
      <c r="D981" s="3"/>
      <c r="E981" s="3" t="s">
        <v>449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242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449</v>
      </c>
      <c r="D982" s="3"/>
      <c r="E982" s="3" t="s">
        <v>449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451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449</v>
      </c>
      <c r="D983" s="3"/>
      <c r="E983" s="3" t="s">
        <v>449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452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449</v>
      </c>
      <c r="D984" s="3"/>
      <c r="E984" s="3" t="s">
        <v>449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118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449</v>
      </c>
      <c r="D985" s="3"/>
      <c r="E985" s="3" t="s">
        <v>449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0.64600000000000002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449</v>
      </c>
      <c r="D986" s="3"/>
      <c r="E986" s="3" t="s">
        <v>449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449</v>
      </c>
      <c r="D987" s="3"/>
      <c r="E987" s="3" t="s">
        <v>449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449</v>
      </c>
      <c r="D988" s="3"/>
      <c r="E988" s="3" t="s">
        <v>449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449</v>
      </c>
      <c r="D989" s="3"/>
      <c r="E989" s="3" t="s">
        <v>449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124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449</v>
      </c>
      <c r="D990" s="3"/>
      <c r="E990" s="3" t="s">
        <v>449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449</v>
      </c>
      <c r="D991" s="3"/>
      <c r="E991" s="3" t="s">
        <v>449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449</v>
      </c>
      <c r="D992" s="3"/>
      <c r="E992" s="3" t="s">
        <v>449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449</v>
      </c>
      <c r="D993" s="3"/>
      <c r="E993" s="3" t="s">
        <v>449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120</v>
      </c>
      <c r="O993" s="3"/>
      <c r="P993" s="3"/>
      <c r="Q993" s="3">
        <v>0.66100000000000003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449</v>
      </c>
      <c r="D994" s="3"/>
      <c r="E994" s="3" t="s">
        <v>449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453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455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242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454</v>
      </c>
      <c r="D997" s="3"/>
      <c r="E997" s="3" t="s">
        <v>454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456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454</v>
      </c>
      <c r="D998" s="3"/>
      <c r="E998" s="3" t="s">
        <v>454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457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454</v>
      </c>
      <c r="D999" s="3"/>
      <c r="E999" s="3" t="s">
        <v>454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118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454</v>
      </c>
      <c r="D1000" s="3"/>
      <c r="E1000" s="3" t="s">
        <v>454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0.71599999999999997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454</v>
      </c>
      <c r="D1001" s="3"/>
      <c r="E1001" s="3" t="s">
        <v>454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454</v>
      </c>
      <c r="D1002" s="3"/>
      <c r="E1002" s="3" t="s">
        <v>454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454</v>
      </c>
      <c r="D1003" s="3"/>
      <c r="E1003" s="3" t="s">
        <v>454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454</v>
      </c>
      <c r="D1004" s="3"/>
      <c r="E1004" s="3" t="s">
        <v>454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124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454</v>
      </c>
      <c r="D1005" s="3"/>
      <c r="E1005" s="3" t="s">
        <v>454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454</v>
      </c>
      <c r="D1006" s="3"/>
      <c r="E1006" s="3" t="s">
        <v>454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454</v>
      </c>
      <c r="D1007" s="3"/>
      <c r="E1007" s="3" t="s">
        <v>454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454</v>
      </c>
      <c r="D1008" s="3"/>
      <c r="E1008" s="3" t="s">
        <v>454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120</v>
      </c>
      <c r="O1008" s="3"/>
      <c r="P1008" s="3"/>
      <c r="Q1008" s="3">
        <v>0.66100000000000003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454</v>
      </c>
      <c r="D1009" s="3"/>
      <c r="E1009" s="3" t="s">
        <v>454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458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460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242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461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459</v>
      </c>
      <c r="D1013" s="3"/>
      <c r="E1013" s="3" t="s">
        <v>459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462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459</v>
      </c>
      <c r="D1014" s="3"/>
      <c r="E1014" s="3" t="s">
        <v>459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118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459</v>
      </c>
      <c r="D1015" s="3"/>
      <c r="E1015" s="3" t="s">
        <v>459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0.78500000000000003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459</v>
      </c>
      <c r="D1016" s="3"/>
      <c r="E1016" s="3" t="s">
        <v>459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459</v>
      </c>
      <c r="D1017" s="3"/>
      <c r="E1017" s="3" t="s">
        <v>459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459</v>
      </c>
      <c r="D1018" s="3"/>
      <c r="E1018" s="3" t="s">
        <v>459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459</v>
      </c>
      <c r="D1019" s="3"/>
      <c r="E1019" s="3" t="s">
        <v>459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124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459</v>
      </c>
      <c r="D1020" s="3"/>
      <c r="E1020" s="3" t="s">
        <v>459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459</v>
      </c>
      <c r="D1021" s="3"/>
      <c r="E1021" s="3" t="s">
        <v>459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459</v>
      </c>
      <c r="D1022" s="3"/>
      <c r="E1022" s="3" t="s">
        <v>459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459</v>
      </c>
      <c r="D1023" s="3"/>
      <c r="E1023" s="3" t="s">
        <v>459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120</v>
      </c>
      <c r="O1023" s="3"/>
      <c r="P1023" s="3"/>
      <c r="Q1023" s="3">
        <v>0.66100000000000003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459</v>
      </c>
      <c r="D1024" s="3"/>
      <c r="E1024" s="3" t="s">
        <v>459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463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465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242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466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467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464</v>
      </c>
      <c r="D1029" s="3"/>
      <c r="E1029" s="3" t="s">
        <v>464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118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464</v>
      </c>
      <c r="D1030" s="3"/>
      <c r="E1030" s="3" t="s">
        <v>464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0.316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464</v>
      </c>
      <c r="D1031" s="3"/>
      <c r="E1031" s="3" t="s">
        <v>464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464</v>
      </c>
      <c r="D1032" s="3"/>
      <c r="E1032" s="3" t="s">
        <v>464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464</v>
      </c>
      <c r="D1033" s="3"/>
      <c r="E1033" s="3" t="s">
        <v>464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464</v>
      </c>
      <c r="D1034" s="3"/>
      <c r="E1034" s="3" t="s">
        <v>464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124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464</v>
      </c>
      <c r="D1035" s="3"/>
      <c r="E1035" s="3" t="s">
        <v>464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464</v>
      </c>
      <c r="D1036" s="3"/>
      <c r="E1036" s="3" t="s">
        <v>464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464</v>
      </c>
      <c r="D1037" s="3"/>
      <c r="E1037" s="3" t="s">
        <v>464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464</v>
      </c>
      <c r="D1038" s="3"/>
      <c r="E1038" s="3" t="s">
        <v>464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120</v>
      </c>
      <c r="O1038" s="3"/>
      <c r="P1038" s="3"/>
      <c r="Q1038" s="3">
        <v>0.69099999999999995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464</v>
      </c>
      <c r="D1039" s="3"/>
      <c r="E1039" s="3" t="s">
        <v>464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468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470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242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471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118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469</v>
      </c>
      <c r="D1045" s="3"/>
      <c r="E1045" s="3" t="s">
        <v>469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0.38900000000000001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469</v>
      </c>
      <c r="D1046" s="3"/>
      <c r="E1046" s="3" t="s">
        <v>469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469</v>
      </c>
      <c r="D1047" s="3"/>
      <c r="E1047" s="3" t="s">
        <v>469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469</v>
      </c>
      <c r="D1048" s="3"/>
      <c r="E1048" s="3" t="s">
        <v>469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469</v>
      </c>
      <c r="D1049" s="3"/>
      <c r="E1049" s="3" t="s">
        <v>469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124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469</v>
      </c>
      <c r="D1050" s="3"/>
      <c r="E1050" s="3" t="s">
        <v>469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469</v>
      </c>
      <c r="D1051" s="3"/>
      <c r="E1051" s="3" t="s">
        <v>469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469</v>
      </c>
      <c r="D1052" s="3"/>
      <c r="E1052" s="3" t="s">
        <v>469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469</v>
      </c>
      <c r="D1053" s="3"/>
      <c r="E1053" s="3" t="s">
        <v>469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120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469</v>
      </c>
      <c r="D1054" s="3"/>
      <c r="E1054" s="3" t="s">
        <v>469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473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475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242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476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477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118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0.46200000000000002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474</v>
      </c>
      <c r="D1061" s="3"/>
      <c r="E1061" s="3" t="s">
        <v>474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474</v>
      </c>
      <c r="D1062" s="3"/>
      <c r="E1062" s="3" t="s">
        <v>474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474</v>
      </c>
      <c r="D1063" s="3"/>
      <c r="E1063" s="3" t="s">
        <v>474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474</v>
      </c>
      <c r="D1064" s="3"/>
      <c r="E1064" s="3" t="s">
        <v>474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124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474</v>
      </c>
      <c r="D1065" s="3"/>
      <c r="E1065" s="3" t="s">
        <v>474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474</v>
      </c>
      <c r="D1066" s="3"/>
      <c r="E1066" s="3" t="s">
        <v>474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474</v>
      </c>
      <c r="D1067" s="3"/>
      <c r="E1067" s="3" t="s">
        <v>474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474</v>
      </c>
      <c r="D1068" s="3"/>
      <c r="E1068" s="3" t="s">
        <v>474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120</v>
      </c>
      <c r="O1068" s="3"/>
      <c r="P1068" s="3"/>
      <c r="Q1068" s="3">
        <v>0.69099999999999995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474</v>
      </c>
      <c r="D1069" s="3"/>
      <c r="E1069" s="3" t="s">
        <v>474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478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480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242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481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482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118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0.53500000000000003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479</v>
      </c>
      <c r="D1077" s="3"/>
      <c r="E1077" s="3" t="s">
        <v>479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479</v>
      </c>
      <c r="D1078" s="3"/>
      <c r="E1078" s="3" t="s">
        <v>479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479</v>
      </c>
      <c r="D1079" s="3"/>
      <c r="E1079" s="3" t="s">
        <v>479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124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479</v>
      </c>
      <c r="D1080" s="3"/>
      <c r="E1080" s="3" t="s">
        <v>479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479</v>
      </c>
      <c r="D1081" s="3"/>
      <c r="E1081" s="3" t="s">
        <v>479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479</v>
      </c>
      <c r="D1082" s="3"/>
      <c r="E1082" s="3" t="s">
        <v>479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479</v>
      </c>
      <c r="D1083" s="3"/>
      <c r="E1083" s="3" t="s">
        <v>479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120</v>
      </c>
      <c r="O1083" s="3"/>
      <c r="P1083" s="3"/>
      <c r="Q1083" s="3">
        <v>0.69099999999999995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479</v>
      </c>
      <c r="D1084" s="3"/>
      <c r="E1084" s="3" t="s">
        <v>479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483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485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242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486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487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118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0.68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484</v>
      </c>
      <c r="D1093" s="3"/>
      <c r="E1093" s="3" t="s">
        <v>484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484</v>
      </c>
      <c r="D1094" s="3"/>
      <c r="E1094" s="3" t="s">
        <v>484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124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484</v>
      </c>
      <c r="D1095" s="3"/>
      <c r="E1095" s="3" t="s">
        <v>484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484</v>
      </c>
      <c r="D1096" s="3"/>
      <c r="E1096" s="3" t="s">
        <v>484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484</v>
      </c>
      <c r="D1097" s="3"/>
      <c r="E1097" s="3" t="s">
        <v>484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484</v>
      </c>
      <c r="D1098" s="3"/>
      <c r="E1098" s="3" t="s">
        <v>484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120</v>
      </c>
      <c r="O1098" s="3"/>
      <c r="P1098" s="3"/>
      <c r="Q1098" s="3">
        <v>0.69099999999999995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484</v>
      </c>
      <c r="D1099" s="3"/>
      <c r="E1099" s="3" t="s">
        <v>484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488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242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491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492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118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0.753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489</v>
      </c>
      <c r="D1109" s="3"/>
      <c r="E1109" s="3" t="s">
        <v>489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124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489</v>
      </c>
      <c r="D1110" s="3"/>
      <c r="E1110" s="3" t="s">
        <v>489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489</v>
      </c>
      <c r="D1111" s="3"/>
      <c r="E1111" s="3" t="s">
        <v>489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489</v>
      </c>
      <c r="D1112" s="3"/>
      <c r="E1112" s="3" t="s">
        <v>489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489</v>
      </c>
      <c r="D1113" s="3"/>
      <c r="E1113" s="3" t="s">
        <v>489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120</v>
      </c>
      <c r="O1113" s="3"/>
      <c r="P1113" s="3"/>
      <c r="Q1113" s="3">
        <v>0.69099999999999995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489</v>
      </c>
      <c r="D1114" s="3"/>
      <c r="E1114" s="3" t="s">
        <v>489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493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495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242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496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497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118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0.82599999999999996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124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494</v>
      </c>
      <c r="D1125" s="3"/>
      <c r="E1125" s="3" t="s">
        <v>494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494</v>
      </c>
      <c r="D1126" s="3"/>
      <c r="E1126" s="3" t="s">
        <v>494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494</v>
      </c>
      <c r="D1127" s="3"/>
      <c r="E1127" s="3" t="s">
        <v>494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494</v>
      </c>
      <c r="D1128" s="3"/>
      <c r="E1128" s="3" t="s">
        <v>494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120</v>
      </c>
      <c r="O1128" s="3"/>
      <c r="P1128" s="3"/>
      <c r="Q1128" s="3">
        <v>0.69099999999999995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494</v>
      </c>
      <c r="D1129" s="3"/>
      <c r="E1129" s="3" t="s">
        <v>494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498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2026-04-13T11:24:11Z</dcterms:modified>
</cp:coreProperties>
</file>