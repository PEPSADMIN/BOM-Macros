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BN MEM\FR-BN - REG - MEM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3" i="13"/>
  <c r="G3" i="13"/>
  <c r="D4" i="13" l="1"/>
  <c r="G4" i="13"/>
  <c r="H4" i="13" s="1"/>
  <c r="D5" i="13"/>
  <c r="E5" i="13"/>
  <c r="H5" i="13"/>
  <c r="D6" i="13"/>
  <c r="G6" i="13"/>
  <c r="H6" i="13"/>
  <c r="D7" i="13"/>
  <c r="G7" i="13"/>
  <c r="H7" i="13" s="1"/>
  <c r="D8" i="13"/>
  <c r="G8" i="13"/>
  <c r="H8" i="13"/>
  <c r="D9" i="13"/>
  <c r="G9" i="13"/>
  <c r="H9" i="13" s="1"/>
  <c r="D10" i="13"/>
  <c r="E10" i="13"/>
  <c r="H10" i="13"/>
  <c r="D11" i="13"/>
  <c r="H11" i="13"/>
  <c r="D12" i="13"/>
  <c r="H12" i="13"/>
  <c r="D13" i="13"/>
  <c r="H13" i="13"/>
  <c r="D14" i="13"/>
  <c r="G14" i="13"/>
  <c r="H14" i="13" s="1"/>
  <c r="E15" i="13" l="1"/>
  <c r="H15" i="13" l="1"/>
  <c r="D15" i="13"/>
  <c r="H3" i="13"/>
  <c r="D3" i="13"/>
  <c r="H2" i="13"/>
  <c r="D2" i="13"/>
</calcChain>
</file>

<file path=xl/sharedStrings.xml><?xml version="1.0" encoding="utf-8"?>
<sst xmlns="http://schemas.openxmlformats.org/spreadsheetml/2006/main" count="8742" uniqueCount="297">
  <si>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</si>
  <si>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</si>
  <si>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</si>
  <si>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</si>
  <si>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</si>
  <si>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</si>
  <si>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</si>
  <si>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</si>
  <si>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</si>
  <si>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</si>
  <si>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</si>
  <si>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</si>
  <si>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</si>
  <si>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</si>
  <si>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</si>
  <si>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</si>
  <si>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</si>
  <si>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</si>
  <si>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</si>
  <si>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</si>
  <si>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</si>
  <si>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</si>
  <si>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</si>
  <si>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</si>
  <si>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</si>
  <si>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</si>
  <si>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</si>
  <si>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</si>
  <si>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</si>
  <si>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</si>
  <si>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</si>
  <si>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</si>
  <si>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</si>
  <si>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</si>
  <si>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</si>
  <si>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</si>
  <si>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</si>
  <si>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</si>
  <si>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</si>
  <si>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</si>
  <si>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</si>
  <si>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</si>
  <si>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</si>
  <si>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</si>
  <si>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</si>
  <si>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</si>
  <si>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</si>
  <si>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</si>
  <si>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</si>
  <si>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</si>
  <si>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</si>
  <si>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</si>
  <si>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</si>
  <si>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</si>
  <si>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</si>
  <si>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</si>
  <si>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</si>
  <si>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</si>
  <si>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</si>
  <si>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</si>
  <si>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</si>
  <si>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</si>
  <si>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</si>
  <si>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</si>
  <si>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</si>
  <si>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</si>
  <si>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</si>
  <si>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</si>
  <si>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</si>
  <si>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</si>
  <si>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</si>
  <si>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</si>
  <si>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</si>
  <si>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</si>
  <si>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</si>
  <si>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</si>
  <si>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</si>
  <si>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</si>
  <si>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</si>
  <si>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</si>
  <si>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</si>
  <si>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</si>
  <si>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</si>
  <si>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</si>
  <si>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</si>
  <si>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</si>
  <si>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</si>
  <si>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</si>
  <si>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</si>
  <si>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</si>
  <si>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</si>
  <si>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</si>
  <si>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</si>
  <si>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</si>
  <si>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</si>
  <si>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</si>
  <si>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</si>
  <si>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</si>
  <si>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</si>
  <si>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</si>
  <si>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</si>
  <si>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</si>
  <si>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</si>
  <si>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</si>
  <si>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</si>
  <si>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</si>
  <si>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</si>
  <si>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</si>
  <si>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</si>
  <si>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</si>
  <si>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</si>
  <si>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</si>
  <si>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</si>
  <si>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</si>
  <si>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</si>
  <si>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</si>
  <si>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</si>
  <si>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</si>
  <si>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</si>
  <si>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</si>
  <si>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</si>
  <si>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</si>
  <si>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</si>
  <si>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</si>
  <si>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</si>
  <si>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</si>
  <si>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</si>
  <si>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</si>
  <si>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</si>
  <si>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</si>
  <si>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</si>
  <si>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</si>
  <si>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SFG-RTHTMTRG-BONPOC-MEM-QUILT</t>
  </si>
  <si>
    <t>SFG-RTHTMTRG-BONPOC-MEM-BP</t>
  </si>
  <si>
    <t>Qpanel Flanging</t>
  </si>
  <si>
    <t>RMI-PVC-90</t>
  </si>
  <si>
    <t>RTHTMTBNMFRG72X33X06</t>
  </si>
  <si>
    <t>OEFRBNSR71X32X130</t>
  </si>
  <si>
    <t>SFG-FRBNRG-MEM-BOR-72X33X06</t>
  </si>
  <si>
    <t>RML-CS-PL-6.5"</t>
  </si>
  <si>
    <t>28D-PU-FOAM-71X32X10MM</t>
  </si>
  <si>
    <t>RTHTMTBNMFRG72X39X06</t>
  </si>
  <si>
    <t>OEFRBNSR71X38X130</t>
  </si>
  <si>
    <t>SFG-FRBNRG-MEM-BOR-72X39X06</t>
  </si>
  <si>
    <t>28D-PU-FOAM-71X38X10MM</t>
  </si>
  <si>
    <t>RTHTMTBNMFRG72X45X06</t>
  </si>
  <si>
    <t>OEFRBNSR71X44X130</t>
  </si>
  <si>
    <t>SFG-FRBNRG-MEM-BOR-72X45X06</t>
  </si>
  <si>
    <t>28D-PU-FOAM-71X44X10MM</t>
  </si>
  <si>
    <t>RTHTMTBNMFRG72X51X06</t>
  </si>
  <si>
    <t>OEFRBNSR71X50X130</t>
  </si>
  <si>
    <t>SFG-FRBNRG-MEM-BOR-72X51X06</t>
  </si>
  <si>
    <t>28D-PU-FOAM-71X50X10MM</t>
  </si>
  <si>
    <t>RTHTMTBNMFRG72X54X06</t>
  </si>
  <si>
    <t>OEFRBNSR71X53X130</t>
  </si>
  <si>
    <t>SFG-FRBNRG-MEM-BOR-72X54X06</t>
  </si>
  <si>
    <t>28D-PU-FOAM-71X53X10MM</t>
  </si>
  <si>
    <t>RTHTMTBNMFRG72X57X06</t>
  </si>
  <si>
    <t>OEFRBNSR71X56X130</t>
  </si>
  <si>
    <t>SFG-FRBNRG-MEM-BOR-72X57X06</t>
  </si>
  <si>
    <t>28D-PU-FOAM-71X56X10MM</t>
  </si>
  <si>
    <t>RTHTMTBNMFRG72X63X06</t>
  </si>
  <si>
    <t>OEFRBNSR71X62X130</t>
  </si>
  <si>
    <t>SFG-FRBNRG-MEM-BOR-72X63X06</t>
  </si>
  <si>
    <t>28D-PU-FOAM-71X62X10MM</t>
  </si>
  <si>
    <t>RTHTMTBNMFRG72X69X06</t>
  </si>
  <si>
    <t>OEFRBNSR71X68X130</t>
  </si>
  <si>
    <t>SFG-FRBNRG-MEM-BOR-72X69X06</t>
  </si>
  <si>
    <t>28D-PU-FOAM-71X68X10MM</t>
  </si>
  <si>
    <t>RTHTMTBNMFRG75X33X06</t>
  </si>
  <si>
    <t>OEFRBNSR74X32X130</t>
  </si>
  <si>
    <t>SFG-FRBNRG-MEM-BOR-75X33X06</t>
  </si>
  <si>
    <t>28D-PU-FOAM-74X32X10MM</t>
  </si>
  <si>
    <t>RTHTMTBNMFRG75X39X06</t>
  </si>
  <si>
    <t>OEFRBNSR74X38X130</t>
  </si>
  <si>
    <t>SFG-FRBNRG-MEM-BOR-75X39X06</t>
  </si>
  <si>
    <t>28D-PU-FOAM-74X38X10MM</t>
  </si>
  <si>
    <t>RTHTMTBNMFRG75X45X06</t>
  </si>
  <si>
    <t>OEFRBNSR74X44X130</t>
  </si>
  <si>
    <t>SFG-FRBNRG-MEM-BOR-75X45X06</t>
  </si>
  <si>
    <t>28D-PU-FOAM-74X44X10MM</t>
  </si>
  <si>
    <t>RTHTMTBNMFRG75X51X06</t>
  </si>
  <si>
    <t>OEFRBNSR74X50X130</t>
  </si>
  <si>
    <t>SFG-FRBNRG-MEM-BOR-75X51X06</t>
  </si>
  <si>
    <t>28D-PU-FOAM-74X50X10MM</t>
  </si>
  <si>
    <t>RTHTMTBNMFRG75X54X06</t>
  </si>
  <si>
    <t>OEFRBNSR74X53X130</t>
  </si>
  <si>
    <t>SFG-FRBNRG-MEM-BOR-75X54X06</t>
  </si>
  <si>
    <t>28D-PU-FOAM-74X53X10MM</t>
  </si>
  <si>
    <t>RTHTMTBNMFRG75X57X06</t>
  </si>
  <si>
    <t>OEFRBNSR74X56X130</t>
  </si>
  <si>
    <t>SFG-FRBNRG-MEM-BOR-75X57X06</t>
  </si>
  <si>
    <t>28D-PU-FOAM-74X56X10MM</t>
  </si>
  <si>
    <t>RTHTMTBNMFRG75X63X06</t>
  </si>
  <si>
    <t>OEFRBNSR74X62X130</t>
  </si>
  <si>
    <t>SFG-FRBNRG-MEM-BOR-75X63X06</t>
  </si>
  <si>
    <t>28D-PU-FOAM-74X62X10MM</t>
  </si>
  <si>
    <t>RTHTMTBNMFRG75X69X06</t>
  </si>
  <si>
    <t>OEFRBNSR74X68X130</t>
  </si>
  <si>
    <t>SFG-FRBNRG-MEM-BOR-75X69X06</t>
  </si>
  <si>
    <t>28D-PU-FOAM-74X68X10MM</t>
  </si>
  <si>
    <t>RTHTMTBNMFRG78X33X06</t>
  </si>
  <si>
    <t>OEFRBNSR77X32X130</t>
  </si>
  <si>
    <t>SFG-FRBNRG-MEM-BOR-78X33X06</t>
  </si>
  <si>
    <t>28D-PU-FOAM-77X32X10MM</t>
  </si>
  <si>
    <t>RTHTMTBNMFRG78X39X06</t>
  </si>
  <si>
    <t>OEFRBNSR77X38X130</t>
  </si>
  <si>
    <t>SFG-FRBNRG-MEM-BOR-78X39X06</t>
  </si>
  <si>
    <t>28D-PU-FOAM-77X38X10MM</t>
  </si>
  <si>
    <t>RTHTMTBNMFRG78X45X06</t>
  </si>
  <si>
    <t>OEFRBNSR77X44X130</t>
  </si>
  <si>
    <t>SFG-FRBNRG-MEM-BOR-78X45X06</t>
  </si>
  <si>
    <t>28D-PU-FOAM-77X44X10MM</t>
  </si>
  <si>
    <t>RTHTMTBNMFRG78X51X06</t>
  </si>
  <si>
    <t>OEFRBNSR77X50X130</t>
  </si>
  <si>
    <t>SFG-FRBNRG-MEM-BOR-78X51X06</t>
  </si>
  <si>
    <t>28D-PU-FOAM-77X50X10MM</t>
  </si>
  <si>
    <t>RTHTMTBNMFRG78X54X06</t>
  </si>
  <si>
    <t>OEFRBNSR77X53X130</t>
  </si>
  <si>
    <t>SFG-FRBNRG-MEM-BOR-78X54X06</t>
  </si>
  <si>
    <t>28D-PU-FOAM-77X53X10MM</t>
  </si>
  <si>
    <t>RTHTMTBNMFRG78X57X06</t>
  </si>
  <si>
    <t>OEFRBNSR77X56X130</t>
  </si>
  <si>
    <t>SFG-FRBNRG-MEM-BOR-78X57X06</t>
  </si>
  <si>
    <t>28D-PU-FOAM-77X56X10MM</t>
  </si>
  <si>
    <t>RTHTMTBNMFRG78X63X06</t>
  </si>
  <si>
    <t>OEFRBNSR77X62X130</t>
  </si>
  <si>
    <t>SFG-FRBNRG-MEM-BOR-78X63X06</t>
  </si>
  <si>
    <t>28D-PU-FOAM-77X62X10MM</t>
  </si>
  <si>
    <t>RTHTMTBNMFRG78X69X06</t>
  </si>
  <si>
    <t>OEFRBNSR77X68X130</t>
  </si>
  <si>
    <t>SFG-FRBNRG-MEM-BOR-78X69X06</t>
  </si>
  <si>
    <t>28D-PU-FOAM-77X68X10MM</t>
  </si>
  <si>
    <t>RTHTMTBNMFRG80X33X06</t>
  </si>
  <si>
    <t>OEFRBNSR79X32X130</t>
  </si>
  <si>
    <t>SFG-FRBNRG-MEM-BOR-80X33X06</t>
  </si>
  <si>
    <t>28D-PU-FOAM-79X32X10MM</t>
  </si>
  <si>
    <t>RTHTMTBNMFRG80X39X06</t>
  </si>
  <si>
    <t>OEFRBNSR79X38X130</t>
  </si>
  <si>
    <t>SFG-FRBNRG-MEM-BOR-80X39X06</t>
  </si>
  <si>
    <t>28D-PU-FOAM-79X38X10MM</t>
  </si>
  <si>
    <t>RTHTMTBNMFRG80X45X06</t>
  </si>
  <si>
    <t>OEFRBNSR79X44X130</t>
  </si>
  <si>
    <t>SFG-FRBNRG-MEM-BOR-80X45X06</t>
  </si>
  <si>
    <t>28D-PU-FOAM-79X44X10MM</t>
  </si>
  <si>
    <t>RTHTMTBNMFRG80X51X06</t>
  </si>
  <si>
    <t>OEFRBNSR79X50X130</t>
  </si>
  <si>
    <t>SFG-FRBNRG-MEM-BOR-80X51X06</t>
  </si>
  <si>
    <t>28D-PU-FOAM-79X50X10MM</t>
  </si>
  <si>
    <t>RTHTMTBNMFRG80X54X06</t>
  </si>
  <si>
    <t>OEFRBNSR79X53X130</t>
  </si>
  <si>
    <t>SFG-FRBNRG-MEM-BOR-80X54X06</t>
  </si>
  <si>
    <t>28D-PU-FOAM-79X53X10MM</t>
  </si>
  <si>
    <t>RTHTMTBNMFRG80X57X06</t>
  </si>
  <si>
    <t>OEFRBNSR79X56X130</t>
  </si>
  <si>
    <t>SFG-FRBNRG-MEM-BOR-80X57X06</t>
  </si>
  <si>
    <t>28D-PU-FOAM-79X56X10MM</t>
  </si>
  <si>
    <t>RTHTMTBNMFRG80X63X06</t>
  </si>
  <si>
    <t>OEFRBNSR79X62X130</t>
  </si>
  <si>
    <t>SFG-FRBNRG-MEM-BOR-80X63X06</t>
  </si>
  <si>
    <t>28D-PU-FOAM-79X62X10MM</t>
  </si>
  <si>
    <t>RTHTMTBNMFRG80X69X06</t>
  </si>
  <si>
    <t>OEFRBNSR79X68X130</t>
  </si>
  <si>
    <t>SFG-FRBNRG-MEM-BOR-80X69X06</t>
  </si>
  <si>
    <t>28D-PU-FOAM-79X68X10MM</t>
  </si>
  <si>
    <t>RTHTMTBNMFRG84X33X06</t>
  </si>
  <si>
    <t>OEFRBNSR83X32X130</t>
  </si>
  <si>
    <t>SFG-FRBNRG-MEM-BOR-84X33X06</t>
  </si>
  <si>
    <t>28D-PU-FOAM-83X32X10MM</t>
  </si>
  <si>
    <t>RTHTMTBNMFRG84X39X06</t>
  </si>
  <si>
    <t>OEFRBNSR83X38X130</t>
  </si>
  <si>
    <t>SFG-FRBNRG-MEM-BOR-84X39X06</t>
  </si>
  <si>
    <t>28D-PU-FOAM-83X38X10MM</t>
  </si>
  <si>
    <t>RTHTMTBNMFRG84X45X06</t>
  </si>
  <si>
    <t>OEFRBNSR83X44X130</t>
  </si>
  <si>
    <t>SFG-FRBNRG-MEM-BOR-84X45X06</t>
  </si>
  <si>
    <t>28D-PU-FOAM-83X44X10MM</t>
  </si>
  <si>
    <t>RTHTMTBNMFRG84X51X06</t>
  </si>
  <si>
    <t>OEFRBNSR83X50X130</t>
  </si>
  <si>
    <t>SFG-FRBNRG-MEM-BOR-84X51X06</t>
  </si>
  <si>
    <t>28D-PU-FOAM-83X50X10MM</t>
  </si>
  <si>
    <t>RTHTMTBNMFRG84X54X06</t>
  </si>
  <si>
    <t>OEFRBNSR83X53X130</t>
  </si>
  <si>
    <t>SFG-FRBNRG-MEM-BOR-84X54X06</t>
  </si>
  <si>
    <t>28D-PU-FOAM-83X53X10MM</t>
  </si>
  <si>
    <t>RTHTMTBNMFRG84X57X06</t>
  </si>
  <si>
    <t>OEFRBNSR83X56X130</t>
  </si>
  <si>
    <t>SFG-FRBNRG-MEM-BOR-84X57X06</t>
  </si>
  <si>
    <t>28D-PU-FOAM-83X56X10MM</t>
  </si>
  <si>
    <t>RTHTMTBNMFRG84X63X06</t>
  </si>
  <si>
    <t>OEFRBNSR83X62X130</t>
  </si>
  <si>
    <t>SFG-FRBNRG-MEM-BOR-84X63X06</t>
  </si>
  <si>
    <t>28D-PU-FOAM-83X62X10MM</t>
  </si>
  <si>
    <t>RTHTMTBNMFRG84X69X06</t>
  </si>
  <si>
    <t>OEFRBNSR83X68X130</t>
  </si>
  <si>
    <t>SFG-FRBNRG-MEM-BOR-84X69X06</t>
  </si>
  <si>
    <t>28D-PU-FOAM-83X68X10MM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</si>
</sst>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1" fillId="0" borderId="1" xfId="0" applyFont="1" applyBorder="1"/>
    <xf numFmtId="0" fontId="3" fillId="0" borderId="1" xfId="0" applyNumberFormat="1" applyFont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3" sqref="E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96</v>
      </c>
      <c r="S1" s="38" t="s">
        <v>97</v>
      </c>
      <c r="T1" s="38" t="s">
        <v>98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13</v>
      </c>
      <c r="D2" s="7" t="str">
        <f>"RTHTMTBNMFRG"&amp;$K$2&amp;"X"&amp;$L$2&amp;"X"&amp;IF($M$2&gt;9,$M$2,"0"&amp;$M$2)</f>
        <v>RTHTMTBNMFRG75X36X06</v>
      </c>
      <c r="E2" s="1" t="str">
        <f>"OEBOXBNSR"&amp;(K2-0.5)&amp;"0"&amp;"X"&amp;(L2-0.5)&amp;"0"&amp;"X"&amp;IF(M2=6,"110",IF(M2=8,"160",IF(M2&gt;9,"180",0)))</f>
        <v>OEBOXBNSR74.50X35.50X110</v>
      </c>
      <c r="F2" s="11" t="s">
        <v>11</v>
      </c>
      <c r="G2" s="10">
        <v>1</v>
      </c>
      <c r="H2" s="10">
        <f t="shared" ref="H2:H5" si="0">ROUND(G2,3)</f>
        <v>1</v>
      </c>
      <c r="I2" s="19" t="s">
        <v>22</v>
      </c>
      <c r="J2" s="5"/>
      <c r="K2" s="6">
        <v>75</v>
      </c>
      <c r="L2" s="6">
        <v>36</v>
      </c>
      <c r="M2" s="37">
        <v>6</v>
      </c>
      <c r="N2" s="6" t="s">
        <v>131</v>
      </c>
      <c r="P2" s="4" t="s">
        <v>112</v>
      </c>
      <c r="R2" s="34" t="s">
        <v>113</v>
      </c>
      <c r="S2" s="34" t="s">
        <v>114</v>
      </c>
      <c r="T2" s="34">
        <v>6</v>
      </c>
      <c r="U2" s="35" t="s">
        <v>131</v>
      </c>
    </row>
    <row r="3" spans="1:21" s="18" customFormat="1" x14ac:dyDescent="0.25">
      <c r="A3" s="36">
        <v>2</v>
      </c>
      <c r="B3" s="7" t="s">
        <v>12</v>
      </c>
      <c r="C3" s="9" t="s">
        <v>16</v>
      </c>
      <c r="D3" s="7" t="str">
        <f t="shared" ref="D3:D17" si="1">"RTHTMTBNMFRG"&amp;$K$2&amp;"X"&amp;$L$2&amp;"X"&amp;IF($M$2&gt;9,$M$2,"0"&amp;$M$2)</f>
        <v>RTHTMTBNMFRG75X36X06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8" t="s">
        <v>15</v>
      </c>
      <c r="J3" s="5"/>
      <c r="K3" s="17"/>
      <c r="L3" s="17"/>
      <c r="M3" s="17"/>
      <c r="N3" s="17"/>
      <c r="O3" s="4"/>
      <c r="R3" s="34" t="s">
        <v>113</v>
      </c>
      <c r="S3" s="34" t="s">
        <v>115</v>
      </c>
      <c r="T3" s="34">
        <v>6</v>
      </c>
      <c r="U3" s="35" t="s">
        <v>131</v>
      </c>
    </row>
    <row r="4" spans="1:21" x14ac:dyDescent="0.25">
      <c r="A4" s="36">
        <v>3</v>
      </c>
      <c r="B4" s="7" t="s">
        <v>23</v>
      </c>
      <c r="C4" s="9" t="s">
        <v>24</v>
      </c>
      <c r="D4" s="7" t="str">
        <f t="shared" si="1"/>
        <v>RTHTMTBNMFRG75X36X06</v>
      </c>
      <c r="E4" s="42" t="s">
        <v>132</v>
      </c>
      <c r="F4" s="11" t="s">
        <v>18</v>
      </c>
      <c r="G4" s="25">
        <f>IF(K2&lt;79,(L2+1),(K2+1))*0.0254</f>
        <v>0.93979999999999997</v>
      </c>
      <c r="H4" s="10">
        <f t="shared" ref="H4:H15" si="2">ROUND(G4,3)</f>
        <v>0.94</v>
      </c>
      <c r="I4" s="19" t="s">
        <v>22</v>
      </c>
      <c r="J4" s="12"/>
      <c r="O4" s="18"/>
      <c r="R4" s="34" t="s">
        <v>113</v>
      </c>
      <c r="S4" s="34" t="s">
        <v>116</v>
      </c>
      <c r="T4" s="34">
        <v>6</v>
      </c>
      <c r="U4" s="35" t="s">
        <v>131</v>
      </c>
    </row>
    <row r="5" spans="1:21" x14ac:dyDescent="0.25">
      <c r="A5" s="36">
        <v>4</v>
      </c>
      <c r="B5" s="7" t="s">
        <v>23</v>
      </c>
      <c r="C5" s="9" t="s">
        <v>33</v>
      </c>
      <c r="D5" s="7" t="str">
        <f t="shared" si="1"/>
        <v>RTHTMTBNMFRG75X36X06</v>
      </c>
      <c r="E5" s="26" t="str">
        <f>"SFG-FRBNRG-MEM-BOR-"&amp;K2&amp;"X"&amp;L2&amp;"X"&amp;IF(M2&gt;9,M2,"0"&amp;M2)</f>
        <v>SFG-FRBNRG-MEM-BOR-75X36X06</v>
      </c>
      <c r="F5" s="8" t="s">
        <v>11</v>
      </c>
      <c r="G5" s="10">
        <v>1</v>
      </c>
      <c r="H5" s="10">
        <f t="shared" si="2"/>
        <v>1</v>
      </c>
      <c r="I5" s="19" t="s">
        <v>22</v>
      </c>
      <c r="J5" s="12"/>
      <c r="O5" s="18"/>
      <c r="R5" s="34" t="s">
        <v>113</v>
      </c>
      <c r="S5" s="34" t="s">
        <v>117</v>
      </c>
      <c r="T5" s="34">
        <v>6</v>
      </c>
      <c r="U5" s="35" t="s">
        <v>131</v>
      </c>
    </row>
    <row r="6" spans="1:21" x14ac:dyDescent="0.25">
      <c r="A6" s="36">
        <v>5</v>
      </c>
      <c r="B6" s="7" t="s">
        <v>23</v>
      </c>
      <c r="C6" s="9" t="s">
        <v>33</v>
      </c>
      <c r="D6" s="7" t="str">
        <f t="shared" si="1"/>
        <v>RTHTMTBNMFRG75X36X06</v>
      </c>
      <c r="E6" s="26" t="s">
        <v>133</v>
      </c>
      <c r="F6" s="11" t="s">
        <v>18</v>
      </c>
      <c r="G6" s="25">
        <f>IF(K2&lt;79,(L2+1),(K2+1))*0.0254</f>
        <v>0.93979999999999997</v>
      </c>
      <c r="H6" s="10">
        <f t="shared" si="2"/>
        <v>0.94</v>
      </c>
      <c r="I6" s="19" t="s">
        <v>22</v>
      </c>
      <c r="J6" s="12"/>
      <c r="R6" s="34" t="s">
        <v>113</v>
      </c>
      <c r="S6" s="34" t="s">
        <v>118</v>
      </c>
      <c r="T6" s="34">
        <v>6</v>
      </c>
      <c r="U6" s="35" t="s">
        <v>131</v>
      </c>
    </row>
    <row r="7" spans="1:21" x14ac:dyDescent="0.25">
      <c r="A7" s="36">
        <v>6</v>
      </c>
      <c r="B7" s="7" t="s">
        <v>23</v>
      </c>
      <c r="C7" s="43" t="s">
        <v>134</v>
      </c>
      <c r="D7" s="7" t="str">
        <f t="shared" si="1"/>
        <v>RTHTMTBNMFRG75X36X06</v>
      </c>
      <c r="E7" s="20" t="s">
        <v>126</v>
      </c>
      <c r="F7" s="15" t="s">
        <v>127</v>
      </c>
      <c r="G7" s="22">
        <f>((K2-1)*(L2-1)/144)*0.00729*3</f>
        <v>0.39335624999999996</v>
      </c>
      <c r="H7" s="10">
        <f t="shared" si="2"/>
        <v>0.39300000000000002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4" t="s">
        <v>113</v>
      </c>
      <c r="S7" s="34" t="s">
        <v>119</v>
      </c>
      <c r="T7" s="34">
        <v>6</v>
      </c>
      <c r="U7" s="35" t="s">
        <v>131</v>
      </c>
    </row>
    <row r="8" spans="1:21" x14ac:dyDescent="0.25">
      <c r="A8" s="36">
        <v>7</v>
      </c>
      <c r="B8" s="7" t="s">
        <v>26</v>
      </c>
      <c r="C8" s="9" t="s">
        <v>27</v>
      </c>
      <c r="D8" s="7" t="str">
        <f t="shared" si="1"/>
        <v>RTHTMTBNMFRG75X36X06</v>
      </c>
      <c r="E8" s="20" t="s">
        <v>128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4" t="s">
        <v>113</v>
      </c>
      <c r="S8" s="34" t="s">
        <v>120</v>
      </c>
      <c r="T8" s="34">
        <v>6</v>
      </c>
      <c r="U8" s="35" t="s">
        <v>131</v>
      </c>
    </row>
    <row r="9" spans="1:21" x14ac:dyDescent="0.25">
      <c r="A9" s="36">
        <v>8</v>
      </c>
      <c r="B9" s="7" t="s">
        <v>26</v>
      </c>
      <c r="C9" s="9" t="s">
        <v>27</v>
      </c>
      <c r="D9" s="7" t="str">
        <f t="shared" si="1"/>
        <v>RTHTMTBNMFRG75X36X06</v>
      </c>
      <c r="E9" s="20" t="s">
        <v>25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4" t="s">
        <v>113</v>
      </c>
      <c r="S9" s="34" t="s">
        <v>121</v>
      </c>
      <c r="T9" s="34">
        <v>6</v>
      </c>
      <c r="U9" s="35" t="s">
        <v>131</v>
      </c>
    </row>
    <row r="10" spans="1:21" x14ac:dyDescent="0.25">
      <c r="A10" s="36">
        <v>9</v>
      </c>
      <c r="B10" s="7" t="s">
        <v>28</v>
      </c>
      <c r="C10" s="9" t="s">
        <v>28</v>
      </c>
      <c r="D10" s="7" t="str">
        <f t="shared" si="1"/>
        <v>RTHTMTBNMFRG75X36X06</v>
      </c>
      <c r="E10" s="20" t="str">
        <f>IF(M2=6,"RML-CS-PL-6.5""",IF(M2=8,"RML-CS-PL-8.5",IF(M2=10,"RML-CS-PL-10.5",IF(M2=12,"RML-CS-PL-12.25"))))</f>
        <v>RML-CS-PL-6.5"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4" t="s">
        <v>122</v>
      </c>
      <c r="S10" s="34" t="s">
        <v>114</v>
      </c>
      <c r="T10" s="34">
        <v>6</v>
      </c>
      <c r="U10" s="35" t="s">
        <v>131</v>
      </c>
    </row>
    <row r="11" spans="1:21" x14ac:dyDescent="0.25">
      <c r="A11" s="36">
        <v>10</v>
      </c>
      <c r="B11" s="7" t="s">
        <v>28</v>
      </c>
      <c r="C11" s="9" t="s">
        <v>28</v>
      </c>
      <c r="D11" s="7" t="str">
        <f t="shared" si="1"/>
        <v>RTHTMTBNMFRG75X36X06</v>
      </c>
      <c r="E11" s="20" t="s">
        <v>29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4" t="s">
        <v>122</v>
      </c>
      <c r="S11" s="34" t="s">
        <v>115</v>
      </c>
      <c r="T11" s="34">
        <v>6</v>
      </c>
      <c r="U11" s="35" t="s">
        <v>131</v>
      </c>
    </row>
    <row r="12" spans="1:21" x14ac:dyDescent="0.25">
      <c r="A12" s="36">
        <v>11</v>
      </c>
      <c r="B12" s="7" t="s">
        <v>28</v>
      </c>
      <c r="C12" s="9" t="s">
        <v>28</v>
      </c>
      <c r="D12" s="7" t="str">
        <f t="shared" si="1"/>
        <v>RTHTMTBNMFRG75X36X06</v>
      </c>
      <c r="E12" s="20" t="s">
        <v>30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4" t="s">
        <v>122</v>
      </c>
      <c r="S12" s="34" t="s">
        <v>116</v>
      </c>
      <c r="T12" s="34">
        <v>6</v>
      </c>
      <c r="U12" s="35" t="s">
        <v>131</v>
      </c>
    </row>
    <row r="13" spans="1:21" x14ac:dyDescent="0.25">
      <c r="A13" s="36">
        <v>12</v>
      </c>
      <c r="B13" s="7" t="s">
        <v>28</v>
      </c>
      <c r="C13" s="9" t="s">
        <v>28</v>
      </c>
      <c r="D13" s="7" t="str">
        <f t="shared" si="1"/>
        <v>RTHTMTBNMFRG75X36X06</v>
      </c>
      <c r="E13" s="20" t="s">
        <v>31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1"/>
      <c r="R13" s="34" t="s">
        <v>122</v>
      </c>
      <c r="S13" s="34" t="s">
        <v>117</v>
      </c>
      <c r="T13" s="34">
        <v>6</v>
      </c>
      <c r="U13" s="35" t="s">
        <v>131</v>
      </c>
    </row>
    <row r="14" spans="1:21" x14ac:dyDescent="0.25">
      <c r="A14" s="36">
        <v>13</v>
      </c>
      <c r="B14" s="7" t="s">
        <v>28</v>
      </c>
      <c r="C14" s="9" t="s">
        <v>28</v>
      </c>
      <c r="D14" s="7" t="str">
        <f t="shared" si="1"/>
        <v>RTHTMTBNMFRG75X36X06</v>
      </c>
      <c r="E14" s="9" t="s">
        <v>135</v>
      </c>
      <c r="F14" s="11" t="s">
        <v>14</v>
      </c>
      <c r="G14" s="23">
        <f>IF(K2&lt;79,((L2*2)+(M2*2)+4),((K2*2)+(M2*2)+4))*0.0254*89.5*0.0254*0.00009*1300</f>
        <v>0.59450977871999999</v>
      </c>
      <c r="H14" s="10">
        <f t="shared" si="2"/>
        <v>0.59499999999999997</v>
      </c>
      <c r="I14" s="8" t="s">
        <v>15</v>
      </c>
      <c r="J14" s="12"/>
      <c r="M14" s="21"/>
      <c r="O14" s="21"/>
      <c r="R14" s="34" t="s">
        <v>122</v>
      </c>
      <c r="S14" s="34" t="s">
        <v>118</v>
      </c>
      <c r="T14" s="34">
        <v>6</v>
      </c>
      <c r="U14" s="35" t="s">
        <v>131</v>
      </c>
    </row>
    <row r="15" spans="1:21" x14ac:dyDescent="0.25">
      <c r="A15" s="36">
        <v>14</v>
      </c>
      <c r="B15" s="7" t="s">
        <v>129</v>
      </c>
      <c r="C15" s="9" t="s">
        <v>130</v>
      </c>
      <c r="D15" s="7" t="str">
        <f t="shared" si="1"/>
        <v>RTHTMTBNMFRG75X36X06</v>
      </c>
      <c r="E15" s="39" t="str">
        <f>"18D-PU-FOAM-"&amp;(K2-0.5)&amp;"0"&amp;"X"&amp;(L2-0.5)&amp;"0"&amp;"X10MM"</f>
        <v>18D-PU-FOAM-74.50X35.50X10MM</v>
      </c>
      <c r="F15" s="8" t="s">
        <v>11</v>
      </c>
      <c r="G15" s="14">
        <v>1</v>
      </c>
      <c r="H15" s="10">
        <f t="shared" si="2"/>
        <v>1</v>
      </c>
      <c r="I15" s="19" t="s">
        <v>22</v>
      </c>
      <c r="J15" s="12"/>
      <c r="N15"/>
      <c r="O15"/>
      <c r="R15" s="34" t="s">
        <v>122</v>
      </c>
      <c r="S15" s="34" t="s">
        <v>119</v>
      </c>
      <c r="T15" s="34">
        <v>6</v>
      </c>
      <c r="U15" s="35" t="s">
        <v>131</v>
      </c>
    </row>
    <row r="16" spans="1:21" x14ac:dyDescent="0.25">
      <c r="J16" s="12"/>
      <c r="M16" s="21"/>
      <c r="N16"/>
      <c r="O16"/>
      <c r="R16" s="34" t="s">
        <v>122</v>
      </c>
      <c r="S16" s="34" t="s">
        <v>120</v>
      </c>
      <c r="T16" s="34">
        <v>6</v>
      </c>
      <c r="U16" s="35" t="s">
        <v>131</v>
      </c>
    </row>
    <row r="17" spans="5:21" x14ac:dyDescent="0.25">
      <c r="J17" s="12"/>
      <c r="N17"/>
      <c r="O17"/>
      <c r="R17" s="34" t="s">
        <v>122</v>
      </c>
      <c r="S17" s="34" t="s">
        <v>121</v>
      </c>
      <c r="T17" s="34">
        <v>6</v>
      </c>
      <c r="U17" s="35" t="s">
        <v>131</v>
      </c>
    </row>
    <row r="18" spans="5:21" x14ac:dyDescent="0.25">
      <c r="J18" s="12"/>
      <c r="N18"/>
      <c r="O18"/>
      <c r="R18" s="34" t="s">
        <v>123</v>
      </c>
      <c r="S18" s="34" t="s">
        <v>114</v>
      </c>
      <c r="T18" s="34">
        <v>6</v>
      </c>
      <c r="U18" s="35" t="s">
        <v>131</v>
      </c>
    </row>
    <row r="19" spans="5:21" x14ac:dyDescent="0.25">
      <c r="J19" s="12"/>
      <c r="N19"/>
      <c r="O19"/>
      <c r="R19" s="34" t="s">
        <v>123</v>
      </c>
      <c r="S19" s="34" t="s">
        <v>115</v>
      </c>
      <c r="T19" s="34">
        <v>6</v>
      </c>
      <c r="U19" s="35" t="s">
        <v>131</v>
      </c>
    </row>
    <row r="20" spans="5:21" x14ac:dyDescent="0.25">
      <c r="J20" s="12"/>
      <c r="N20" s="33"/>
      <c r="O20"/>
      <c r="R20" s="34" t="s">
        <v>123</v>
      </c>
      <c r="S20" s="34" t="s">
        <v>116</v>
      </c>
      <c r="T20" s="34">
        <v>6</v>
      </c>
      <c r="U20" s="35" t="s">
        <v>131</v>
      </c>
    </row>
    <row r="21" spans="5:21" x14ac:dyDescent="0.25">
      <c r="J21" s="12"/>
      <c r="N21"/>
      <c r="O21"/>
      <c r="R21" s="34" t="s">
        <v>123</v>
      </c>
      <c r="S21" s="34" t="s">
        <v>117</v>
      </c>
      <c r="T21" s="34">
        <v>6</v>
      </c>
      <c r="U21" s="35" t="s">
        <v>131</v>
      </c>
    </row>
    <row r="22" spans="5:21" x14ac:dyDescent="0.25">
      <c r="J22" s="12"/>
      <c r="N22"/>
      <c r="O22"/>
      <c r="R22" s="34" t="s">
        <v>123</v>
      </c>
      <c r="S22" s="34" t="s">
        <v>118</v>
      </c>
      <c r="T22" s="34">
        <v>6</v>
      </c>
      <c r="U22" s="35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123</v>
      </c>
      <c r="S23" s="34" t="s">
        <v>119</v>
      </c>
      <c r="T23" s="34">
        <v>6</v>
      </c>
      <c r="U23" s="35" t="s">
        <v>131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123</v>
      </c>
      <c r="S24" s="34" t="s">
        <v>120</v>
      </c>
      <c r="T24" s="34">
        <v>6</v>
      </c>
      <c r="U24" s="35" t="s">
        <v>131</v>
      </c>
    </row>
    <row r="25" spans="5:21" x14ac:dyDescent="0.25">
      <c r="N25"/>
      <c r="O25"/>
      <c r="R25" s="34" t="s">
        <v>123</v>
      </c>
      <c r="S25" s="34" t="s">
        <v>121</v>
      </c>
      <c r="T25" s="34">
        <v>6</v>
      </c>
      <c r="U25" s="35" t="s">
        <v>131</v>
      </c>
    </row>
    <row r="26" spans="5:21" x14ac:dyDescent="0.25">
      <c r="N26"/>
      <c r="O26"/>
      <c r="R26" s="34" t="s">
        <v>124</v>
      </c>
      <c r="S26" s="34" t="s">
        <v>114</v>
      </c>
      <c r="T26" s="34">
        <v>6</v>
      </c>
      <c r="U26" s="35" t="s">
        <v>131</v>
      </c>
    </row>
    <row r="27" spans="5:21" x14ac:dyDescent="0.25">
      <c r="N27"/>
      <c r="O27"/>
      <c r="R27" s="34" t="s">
        <v>124</v>
      </c>
      <c r="S27" s="34" t="s">
        <v>115</v>
      </c>
      <c r="T27" s="34">
        <v>6</v>
      </c>
      <c r="U27" s="35" t="s">
        <v>131</v>
      </c>
    </row>
    <row r="28" spans="5:21" x14ac:dyDescent="0.25">
      <c r="E28" s="21"/>
      <c r="I28" s="21"/>
      <c r="M28" s="21"/>
      <c r="N28"/>
      <c r="O28"/>
      <c r="R28" s="34" t="s">
        <v>124</v>
      </c>
      <c r="S28" s="34" t="s">
        <v>116</v>
      </c>
      <c r="T28" s="34">
        <v>6</v>
      </c>
      <c r="U28" s="35" t="s">
        <v>131</v>
      </c>
    </row>
    <row r="29" spans="5:21" x14ac:dyDescent="0.25">
      <c r="E29" s="21"/>
      <c r="N29"/>
      <c r="O29"/>
      <c r="R29" s="34" t="s">
        <v>124</v>
      </c>
      <c r="S29" s="34" t="s">
        <v>117</v>
      </c>
      <c r="T29" s="34">
        <v>6</v>
      </c>
      <c r="U29" s="35" t="s">
        <v>131</v>
      </c>
    </row>
    <row r="30" spans="5:21" x14ac:dyDescent="0.25">
      <c r="H30" s="21"/>
      <c r="N30"/>
      <c r="O30"/>
      <c r="R30" s="34" t="s">
        <v>124</v>
      </c>
      <c r="S30" s="34" t="s">
        <v>118</v>
      </c>
      <c r="T30" s="34">
        <v>6</v>
      </c>
      <c r="U30" s="35" t="s">
        <v>131</v>
      </c>
    </row>
    <row r="31" spans="5:21" x14ac:dyDescent="0.25">
      <c r="N31"/>
      <c r="O31"/>
      <c r="R31" s="34" t="s">
        <v>124</v>
      </c>
      <c r="S31" s="34" t="s">
        <v>119</v>
      </c>
      <c r="T31" s="34">
        <v>6</v>
      </c>
      <c r="U31" s="35" t="s">
        <v>131</v>
      </c>
    </row>
    <row r="32" spans="5:21" x14ac:dyDescent="0.25">
      <c r="N32"/>
      <c r="O32"/>
      <c r="R32" s="34" t="s">
        <v>124</v>
      </c>
      <c r="S32" s="34" t="s">
        <v>120</v>
      </c>
      <c r="T32" s="34">
        <v>6</v>
      </c>
      <c r="U32" s="35" t="s">
        <v>131</v>
      </c>
    </row>
    <row r="33" spans="14:21" x14ac:dyDescent="0.25">
      <c r="N33"/>
      <c r="O33"/>
      <c r="R33" s="34" t="s">
        <v>124</v>
      </c>
      <c r="S33" s="34" t="s">
        <v>121</v>
      </c>
      <c r="T33" s="34">
        <v>6</v>
      </c>
      <c r="U33" s="35" t="s">
        <v>131</v>
      </c>
    </row>
    <row r="34" spans="14:21" x14ac:dyDescent="0.25">
      <c r="N34"/>
      <c r="O34"/>
      <c r="R34" s="34" t="s">
        <v>125</v>
      </c>
      <c r="S34" s="34" t="s">
        <v>114</v>
      </c>
      <c r="T34" s="34">
        <v>6</v>
      </c>
      <c r="U34" s="35" t="s">
        <v>131</v>
      </c>
    </row>
    <row r="35" spans="14:21" x14ac:dyDescent="0.25">
      <c r="N35"/>
      <c r="O35"/>
      <c r="R35" s="34" t="s">
        <v>125</v>
      </c>
      <c r="S35" s="34" t="s">
        <v>115</v>
      </c>
      <c r="T35" s="34">
        <v>6</v>
      </c>
      <c r="U35" s="35" t="s">
        <v>131</v>
      </c>
    </row>
    <row r="36" spans="14:21" x14ac:dyDescent="0.25">
      <c r="N36"/>
      <c r="O36"/>
      <c r="R36" s="34" t="s">
        <v>125</v>
      </c>
      <c r="S36" s="34" t="s">
        <v>116</v>
      </c>
      <c r="T36" s="34">
        <v>6</v>
      </c>
      <c r="U36" s="35" t="s">
        <v>131</v>
      </c>
    </row>
    <row r="37" spans="14:21" x14ac:dyDescent="0.25">
      <c r="N37"/>
      <c r="O37"/>
      <c r="R37" s="34" t="s">
        <v>125</v>
      </c>
      <c r="S37" s="34" t="s">
        <v>117</v>
      </c>
      <c r="T37" s="34">
        <v>6</v>
      </c>
      <c r="U37" s="35" t="s">
        <v>131</v>
      </c>
    </row>
    <row r="38" spans="14:21" x14ac:dyDescent="0.25">
      <c r="N38"/>
      <c r="O38"/>
      <c r="R38" s="34" t="s">
        <v>125</v>
      </c>
      <c r="S38" s="34" t="s">
        <v>118</v>
      </c>
      <c r="T38" s="34">
        <v>6</v>
      </c>
      <c r="U38" s="35" t="s">
        <v>131</v>
      </c>
    </row>
    <row r="39" spans="14:21" x14ac:dyDescent="0.25">
      <c r="N39"/>
      <c r="O39"/>
      <c r="R39" s="34" t="s">
        <v>125</v>
      </c>
      <c r="S39" s="34" t="s">
        <v>119</v>
      </c>
      <c r="T39" s="34">
        <v>6</v>
      </c>
      <c r="U39" s="35" t="s">
        <v>131</v>
      </c>
    </row>
    <row r="40" spans="14:21" x14ac:dyDescent="0.25">
      <c r="N40"/>
      <c r="O40"/>
      <c r="R40" s="34" t="s">
        <v>125</v>
      </c>
      <c r="S40" s="34" t="s">
        <v>120</v>
      </c>
      <c r="T40" s="34">
        <v>6</v>
      </c>
      <c r="U40" s="35" t="s">
        <v>131</v>
      </c>
    </row>
    <row r="41" spans="14:21" x14ac:dyDescent="0.25">
      <c r="N41"/>
      <c r="O41"/>
      <c r="R41" s="34" t="s">
        <v>125</v>
      </c>
      <c r="S41" s="34" t="s">
        <v>121</v>
      </c>
      <c r="T41" s="34">
        <v>6</v>
      </c>
      <c r="U41" s="35" t="s">
        <v>131</v>
      </c>
    </row>
    <row r="42" spans="14:21" x14ac:dyDescent="0.25">
      <c r="N42"/>
      <c r="O42"/>
      <c r="R42" s="34">
        <v>72</v>
      </c>
      <c r="S42" s="34">
        <v>30</v>
      </c>
      <c r="T42" s="34">
        <v>6</v>
      </c>
      <c r="U42" s="35" t="s">
        <v>131</v>
      </c>
    </row>
    <row r="43" spans="14:21" x14ac:dyDescent="0.25">
      <c r="N43"/>
      <c r="O43"/>
      <c r="R43" s="34">
        <v>72</v>
      </c>
      <c r="S43" s="34">
        <v>36</v>
      </c>
      <c r="T43" s="34">
        <v>6</v>
      </c>
      <c r="U43" s="35" t="s">
        <v>131</v>
      </c>
    </row>
    <row r="44" spans="14:21" x14ac:dyDescent="0.25">
      <c r="N44"/>
      <c r="O44"/>
      <c r="R44" s="34">
        <v>72</v>
      </c>
      <c r="S44" s="34">
        <v>42</v>
      </c>
      <c r="T44" s="34">
        <v>6</v>
      </c>
      <c r="U44" s="35" t="s">
        <v>131</v>
      </c>
    </row>
    <row r="45" spans="14:21" x14ac:dyDescent="0.25">
      <c r="N45"/>
      <c r="O45"/>
      <c r="R45" s="34">
        <v>72</v>
      </c>
      <c r="S45" s="34">
        <v>48</v>
      </c>
      <c r="T45" s="34">
        <v>6</v>
      </c>
      <c r="U45" s="35" t="s">
        <v>131</v>
      </c>
    </row>
    <row r="46" spans="14:21" x14ac:dyDescent="0.25">
      <c r="N46"/>
      <c r="O46"/>
      <c r="R46" s="34">
        <v>72</v>
      </c>
      <c r="S46" s="34">
        <v>60</v>
      </c>
      <c r="T46" s="34">
        <v>6</v>
      </c>
      <c r="U46" s="35" t="s">
        <v>131</v>
      </c>
    </row>
    <row r="47" spans="14:21" x14ac:dyDescent="0.25">
      <c r="N47"/>
      <c r="O47"/>
      <c r="R47" s="34">
        <v>72</v>
      </c>
      <c r="S47" s="34">
        <v>66</v>
      </c>
      <c r="T47" s="34">
        <v>6</v>
      </c>
      <c r="U47" s="35" t="s">
        <v>131</v>
      </c>
    </row>
    <row r="48" spans="14:21" x14ac:dyDescent="0.25">
      <c r="N48"/>
      <c r="O48"/>
      <c r="R48" s="34">
        <v>72</v>
      </c>
      <c r="S48" s="34">
        <v>72</v>
      </c>
      <c r="T48" s="34">
        <v>6</v>
      </c>
      <c r="U48" s="35" t="s">
        <v>131</v>
      </c>
    </row>
    <row r="49" spans="14:21" x14ac:dyDescent="0.25">
      <c r="N49"/>
      <c r="O49"/>
      <c r="R49" s="34">
        <v>75</v>
      </c>
      <c r="S49" s="34">
        <v>30</v>
      </c>
      <c r="T49" s="34">
        <v>6</v>
      </c>
      <c r="U49" s="35" t="s">
        <v>131</v>
      </c>
    </row>
    <row r="50" spans="14:21" x14ac:dyDescent="0.25">
      <c r="R50" s="34">
        <v>75</v>
      </c>
      <c r="S50" s="34">
        <v>36</v>
      </c>
      <c r="T50" s="34">
        <v>6</v>
      </c>
      <c r="U50" s="35" t="s">
        <v>131</v>
      </c>
    </row>
    <row r="51" spans="14:21" x14ac:dyDescent="0.25">
      <c r="R51" s="34">
        <v>75</v>
      </c>
      <c r="S51" s="34">
        <v>42</v>
      </c>
      <c r="T51" s="34">
        <v>6</v>
      </c>
      <c r="U51" s="35" t="s">
        <v>131</v>
      </c>
    </row>
    <row r="52" spans="14:21" x14ac:dyDescent="0.25">
      <c r="R52" s="34">
        <v>75</v>
      </c>
      <c r="S52" s="34">
        <v>48</v>
      </c>
      <c r="T52" s="34">
        <v>6</v>
      </c>
      <c r="U52" s="35" t="s">
        <v>131</v>
      </c>
    </row>
    <row r="53" spans="14:21" x14ac:dyDescent="0.25">
      <c r="R53" s="34">
        <v>75</v>
      </c>
      <c r="S53" s="34">
        <v>60</v>
      </c>
      <c r="T53" s="34">
        <v>6</v>
      </c>
      <c r="U53" s="35" t="s">
        <v>131</v>
      </c>
    </row>
    <row r="54" spans="14:21" x14ac:dyDescent="0.25">
      <c r="R54" s="34">
        <v>75</v>
      </c>
      <c r="S54" s="34">
        <v>66</v>
      </c>
      <c r="T54" s="34">
        <v>6</v>
      </c>
      <c r="U54" s="35" t="s">
        <v>131</v>
      </c>
    </row>
    <row r="55" spans="14:21" x14ac:dyDescent="0.25">
      <c r="R55" s="34">
        <v>75</v>
      </c>
      <c r="S55" s="34">
        <v>72</v>
      </c>
      <c r="T55" s="34">
        <v>6</v>
      </c>
      <c r="U55" s="35" t="s">
        <v>131</v>
      </c>
    </row>
    <row r="56" spans="14:21" x14ac:dyDescent="0.25">
      <c r="R56" s="34">
        <v>78</v>
      </c>
      <c r="S56" s="34">
        <v>30</v>
      </c>
      <c r="T56" s="34">
        <v>6</v>
      </c>
      <c r="U56" s="35" t="s">
        <v>131</v>
      </c>
    </row>
    <row r="57" spans="14:21" x14ac:dyDescent="0.25">
      <c r="R57" s="34">
        <v>78</v>
      </c>
      <c r="S57" s="34">
        <v>36</v>
      </c>
      <c r="T57" s="34">
        <v>6</v>
      </c>
      <c r="U57" s="35" t="s">
        <v>131</v>
      </c>
    </row>
    <row r="58" spans="14:21" x14ac:dyDescent="0.25">
      <c r="R58" s="34">
        <v>78</v>
      </c>
      <c r="S58" s="34">
        <v>42</v>
      </c>
      <c r="T58" s="34">
        <v>6</v>
      </c>
      <c r="U58" s="35" t="s">
        <v>131</v>
      </c>
    </row>
    <row r="59" spans="14:21" x14ac:dyDescent="0.25">
      <c r="R59" s="34">
        <v>78</v>
      </c>
      <c r="S59" s="34">
        <v>48</v>
      </c>
      <c r="T59" s="34">
        <v>6</v>
      </c>
      <c r="U59" s="35" t="s">
        <v>131</v>
      </c>
    </row>
    <row r="60" spans="14:21" x14ac:dyDescent="0.25">
      <c r="R60" s="34">
        <v>78</v>
      </c>
      <c r="S60" s="34">
        <v>60</v>
      </c>
      <c r="T60" s="34">
        <v>6</v>
      </c>
      <c r="U60" s="35" t="s">
        <v>131</v>
      </c>
    </row>
    <row r="61" spans="14:21" x14ac:dyDescent="0.25">
      <c r="R61" s="34">
        <v>78</v>
      </c>
      <c r="S61" s="34">
        <v>66</v>
      </c>
      <c r="T61" s="34">
        <v>6</v>
      </c>
      <c r="U61" s="35" t="s">
        <v>131</v>
      </c>
    </row>
    <row r="62" spans="14:21" x14ac:dyDescent="0.25">
      <c r="R62" s="34">
        <v>78</v>
      </c>
      <c r="S62" s="34">
        <v>72</v>
      </c>
      <c r="T62" s="34">
        <v>6</v>
      </c>
      <c r="U62" s="35" t="s">
        <v>131</v>
      </c>
    </row>
    <row r="63" spans="14:21" x14ac:dyDescent="0.25">
      <c r="R63" s="34">
        <v>80</v>
      </c>
      <c r="S63" s="34">
        <v>30</v>
      </c>
      <c r="T63" s="34">
        <v>6</v>
      </c>
      <c r="U63" s="35" t="s">
        <v>131</v>
      </c>
    </row>
    <row r="64" spans="14:21" x14ac:dyDescent="0.25">
      <c r="R64" s="34">
        <v>80</v>
      </c>
      <c r="S64" s="34">
        <v>36</v>
      </c>
      <c r="T64" s="34">
        <v>6</v>
      </c>
      <c r="U64" s="35" t="s">
        <v>131</v>
      </c>
    </row>
    <row r="65" spans="18:21" x14ac:dyDescent="0.25">
      <c r="R65" s="34">
        <v>80</v>
      </c>
      <c r="S65" s="34">
        <v>42</v>
      </c>
      <c r="T65" s="34">
        <v>6</v>
      </c>
      <c r="U65" s="35" t="s">
        <v>131</v>
      </c>
    </row>
    <row r="66" spans="18:21" x14ac:dyDescent="0.25">
      <c r="R66" s="34">
        <v>80</v>
      </c>
      <c r="S66" s="34">
        <v>48</v>
      </c>
      <c r="T66" s="34">
        <v>6</v>
      </c>
      <c r="U66" s="35" t="s">
        <v>131</v>
      </c>
    </row>
    <row r="67" spans="18:21" x14ac:dyDescent="0.25">
      <c r="R67" s="34">
        <v>80</v>
      </c>
      <c r="S67" s="34">
        <v>60</v>
      </c>
      <c r="T67" s="34">
        <v>6</v>
      </c>
      <c r="U67" s="35" t="s">
        <v>131</v>
      </c>
    </row>
    <row r="68" spans="18:21" x14ac:dyDescent="0.25">
      <c r="R68" s="34">
        <v>80</v>
      </c>
      <c r="S68" s="34">
        <v>66</v>
      </c>
      <c r="T68" s="34">
        <v>6</v>
      </c>
      <c r="U68" s="35" t="s">
        <v>131</v>
      </c>
    </row>
    <row r="69" spans="18:21" x14ac:dyDescent="0.25">
      <c r="R69" s="34">
        <v>80</v>
      </c>
      <c r="S69" s="34">
        <v>72</v>
      </c>
      <c r="T69" s="34">
        <v>6</v>
      </c>
      <c r="U69" s="35" t="s">
        <v>131</v>
      </c>
    </row>
    <row r="70" spans="18:21" x14ac:dyDescent="0.25">
      <c r="R70" s="34">
        <v>84</v>
      </c>
      <c r="S70" s="34">
        <v>30</v>
      </c>
      <c r="T70" s="34">
        <v>6</v>
      </c>
      <c r="U70" s="35" t="s">
        <v>131</v>
      </c>
    </row>
    <row r="71" spans="18:21" x14ac:dyDescent="0.25">
      <c r="R71" s="34">
        <v>84</v>
      </c>
      <c r="S71" s="34">
        <v>36</v>
      </c>
      <c r="T71" s="34">
        <v>6</v>
      </c>
      <c r="U71" s="35" t="s">
        <v>131</v>
      </c>
    </row>
    <row r="72" spans="18:21" x14ac:dyDescent="0.25">
      <c r="R72" s="34">
        <v>84</v>
      </c>
      <c r="S72" s="34">
        <v>42</v>
      </c>
      <c r="T72" s="34">
        <v>6</v>
      </c>
      <c r="U72" s="35" t="s">
        <v>131</v>
      </c>
    </row>
    <row r="73" spans="18:21" x14ac:dyDescent="0.25">
      <c r="R73" s="34">
        <v>84</v>
      </c>
      <c r="S73" s="34">
        <v>48</v>
      </c>
      <c r="T73" s="34">
        <v>6</v>
      </c>
      <c r="U73" s="35" t="s">
        <v>131</v>
      </c>
    </row>
    <row r="74" spans="18:21" x14ac:dyDescent="0.25">
      <c r="R74" s="34">
        <v>84</v>
      </c>
      <c r="S74" s="34">
        <v>60</v>
      </c>
      <c r="T74" s="34">
        <v>6</v>
      </c>
      <c r="U74" s="35" t="s">
        <v>131</v>
      </c>
    </row>
    <row r="75" spans="18:21" x14ac:dyDescent="0.25">
      <c r="R75" s="34">
        <v>84</v>
      </c>
      <c r="S75" s="34">
        <v>66</v>
      </c>
      <c r="T75" s="34">
        <v>6</v>
      </c>
      <c r="U75" s="35" t="s">
        <v>131</v>
      </c>
    </row>
    <row r="76" spans="18:21" x14ac:dyDescent="0.25">
      <c r="R76" s="34">
        <v>84</v>
      </c>
      <c r="S76" s="34">
        <v>72</v>
      </c>
      <c r="T76" s="34">
        <v>6</v>
      </c>
      <c r="U76" s="35" t="s">
        <v>131</v>
      </c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90</v>
      </c>
      <c r="B1" s="31" t="s">
        <v>91</v>
      </c>
      <c r="C1" s="32" t="s">
        <v>92</v>
      </c>
      <c r="D1" s="31" t="s">
        <v>93</v>
      </c>
      <c r="E1" s="31" t="s">
        <v>4</v>
      </c>
      <c r="F1" s="31" t="s">
        <v>94</v>
      </c>
      <c r="G1" s="32" t="s">
        <v>95</v>
      </c>
    </row>
    <row r="2" spans="1:7" x14ac:dyDescent="0.25">
      <c r="A2">
        <v>1</v>
      </c>
      <c r="B2" t="s">
        <v>136</v>
      </c>
      <c r="C2">
        <v>10</v>
      </c>
      <c r="D2" t="s">
        <v>137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136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136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136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136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136</v>
      </c>
      <c r="C7">
        <v>60</v>
      </c>
      <c r="D7" t="s">
        <v>132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136</v>
      </c>
      <c r="C8">
        <v>70</v>
      </c>
      <c r="D8" t="s">
        <v>138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136</v>
      </c>
      <c r="C9">
        <v>80</v>
      </c>
      <c r="D9" t="s">
        <v>133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136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136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136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136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136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136</v>
      </c>
      <c r="C15">
        <v>140</v>
      </c>
      <c r="D15" t="s">
        <v>139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136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136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136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136</v>
      </c>
      <c r="C19">
        <v>180</v>
      </c>
      <c r="D19" t="s">
        <v>135</v>
      </c>
      <c r="E19" t="s">
        <v>14</v>
      </c>
      <c r="F19">
        <v>0.55400000000000005</v>
      </c>
      <c r="G19" t="s">
        <v>15</v>
      </c>
    </row>
    <row r="20" spans="1:7" x14ac:dyDescent="0.25">
      <c r="A20">
        <v>1</v>
      </c>
      <c r="B20" t="s">
        <v>136</v>
      </c>
      <c r="C20">
        <v>190</v>
      </c>
      <c r="D20" t="s">
        <v>140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141</v>
      </c>
      <c r="C21">
        <v>10</v>
      </c>
      <c r="D21" t="s">
        <v>142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141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141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141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141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141</v>
      </c>
      <c r="C26">
        <v>60</v>
      </c>
      <c r="D26" t="s">
        <v>132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141</v>
      </c>
      <c r="C27">
        <v>70</v>
      </c>
      <c r="D27" t="s">
        <v>143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141</v>
      </c>
      <c r="C28">
        <v>80</v>
      </c>
      <c r="D28" t="s">
        <v>133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141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141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141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141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141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141</v>
      </c>
      <c r="C34">
        <v>140</v>
      </c>
      <c r="D34" t="s">
        <v>139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141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141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141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141</v>
      </c>
      <c r="C38">
        <v>180</v>
      </c>
      <c r="D38" t="s">
        <v>135</v>
      </c>
      <c r="E38" t="s">
        <v>14</v>
      </c>
      <c r="F38">
        <v>0.63500000000000001</v>
      </c>
      <c r="G38" t="s">
        <v>15</v>
      </c>
    </row>
    <row r="39" spans="1:7" x14ac:dyDescent="0.25">
      <c r="A39">
        <v>2</v>
      </c>
      <c r="B39" t="s">
        <v>141</v>
      </c>
      <c r="C39">
        <v>190</v>
      </c>
      <c r="D39" t="s">
        <v>144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145</v>
      </c>
      <c r="C40">
        <v>10</v>
      </c>
      <c r="D40" t="s">
        <v>146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145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145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145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145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145</v>
      </c>
      <c r="C45">
        <v>60</v>
      </c>
      <c r="D45" t="s">
        <v>132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145</v>
      </c>
      <c r="C46">
        <v>70</v>
      </c>
      <c r="D46" t="s">
        <v>147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145</v>
      </c>
      <c r="C47">
        <v>80</v>
      </c>
      <c r="D47" t="s">
        <v>133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145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145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145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145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145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145</v>
      </c>
      <c r="C53">
        <v>140</v>
      </c>
      <c r="D53" t="s">
        <v>139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145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145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145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145</v>
      </c>
      <c r="C57">
        <v>180</v>
      </c>
      <c r="D57" t="s">
        <v>135</v>
      </c>
      <c r="E57" t="s">
        <v>14</v>
      </c>
      <c r="F57">
        <v>0.71599999999999997</v>
      </c>
      <c r="G57" t="s">
        <v>15</v>
      </c>
    </row>
    <row r="58" spans="1:7" x14ac:dyDescent="0.25">
      <c r="A58">
        <v>3</v>
      </c>
      <c r="B58" t="s">
        <v>145</v>
      </c>
      <c r="C58">
        <v>190</v>
      </c>
      <c r="D58" t="s">
        <v>148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149</v>
      </c>
      <c r="C59">
        <v>10</v>
      </c>
      <c r="D59" t="s">
        <v>150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149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149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149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149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149</v>
      </c>
      <c r="C64">
        <v>60</v>
      </c>
      <c r="D64" t="s">
        <v>132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149</v>
      </c>
      <c r="C65">
        <v>70</v>
      </c>
      <c r="D65" t="s">
        <v>151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149</v>
      </c>
      <c r="C66">
        <v>80</v>
      </c>
      <c r="D66" t="s">
        <v>133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149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149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149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149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149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149</v>
      </c>
      <c r="C72">
        <v>140</v>
      </c>
      <c r="D72" t="s">
        <v>139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149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149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149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149</v>
      </c>
      <c r="C76">
        <v>180</v>
      </c>
      <c r="D76" t="s">
        <v>135</v>
      </c>
      <c r="E76" t="s">
        <v>14</v>
      </c>
      <c r="F76">
        <v>0.79700000000000004</v>
      </c>
      <c r="G76" t="s">
        <v>15</v>
      </c>
    </row>
    <row r="77" spans="1:7" x14ac:dyDescent="0.25">
      <c r="A77">
        <v>4</v>
      </c>
      <c r="B77" t="s">
        <v>149</v>
      </c>
      <c r="C77">
        <v>190</v>
      </c>
      <c r="D77" t="s">
        <v>152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153</v>
      </c>
      <c r="C78">
        <v>10</v>
      </c>
      <c r="D78" t="s">
        <v>154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153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153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153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153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153</v>
      </c>
      <c r="C83">
        <v>60</v>
      </c>
      <c r="D83" t="s">
        <v>132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153</v>
      </c>
      <c r="C84">
        <v>70</v>
      </c>
      <c r="D84" t="s">
        <v>155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153</v>
      </c>
      <c r="C85">
        <v>80</v>
      </c>
      <c r="D85" t="s">
        <v>133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153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153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153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153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153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153</v>
      </c>
      <c r="C91">
        <v>140</v>
      </c>
      <c r="D91" t="s">
        <v>139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153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153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153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153</v>
      </c>
      <c r="C95">
        <v>180</v>
      </c>
      <c r="D95" t="s">
        <v>135</v>
      </c>
      <c r="E95" t="s">
        <v>14</v>
      </c>
      <c r="F95">
        <v>0.83799999999999997</v>
      </c>
      <c r="G95" t="s">
        <v>15</v>
      </c>
    </row>
    <row r="96" spans="1:7" x14ac:dyDescent="0.25">
      <c r="A96">
        <v>5</v>
      </c>
      <c r="B96" t="s">
        <v>153</v>
      </c>
      <c r="C96">
        <v>190</v>
      </c>
      <c r="D96" t="s">
        <v>156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157</v>
      </c>
      <c r="C97">
        <v>10</v>
      </c>
      <c r="D97" t="s">
        <v>158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157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157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157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157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157</v>
      </c>
      <c r="C102">
        <v>60</v>
      </c>
      <c r="D102" t="s">
        <v>132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157</v>
      </c>
      <c r="C103">
        <v>70</v>
      </c>
      <c r="D103" t="s">
        <v>159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157</v>
      </c>
      <c r="C104">
        <v>80</v>
      </c>
      <c r="D104" t="s">
        <v>133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157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157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157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157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157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157</v>
      </c>
      <c r="C110">
        <v>140</v>
      </c>
      <c r="D110" t="s">
        <v>139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157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157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157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157</v>
      </c>
      <c r="C114">
        <v>180</v>
      </c>
      <c r="D114" t="s">
        <v>135</v>
      </c>
      <c r="E114" t="s">
        <v>14</v>
      </c>
      <c r="F114">
        <v>0.878</v>
      </c>
      <c r="G114" t="s">
        <v>15</v>
      </c>
    </row>
    <row r="115" spans="1:7" x14ac:dyDescent="0.25">
      <c r="A115">
        <v>6</v>
      </c>
      <c r="B115" t="s">
        <v>157</v>
      </c>
      <c r="C115">
        <v>190</v>
      </c>
      <c r="D115" t="s">
        <v>160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161</v>
      </c>
      <c r="C116">
        <v>10</v>
      </c>
      <c r="D116" t="s">
        <v>162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161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161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161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161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161</v>
      </c>
      <c r="C121">
        <v>60</v>
      </c>
      <c r="D121" t="s">
        <v>132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161</v>
      </c>
      <c r="C122">
        <v>70</v>
      </c>
      <c r="D122" t="s">
        <v>163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161</v>
      </c>
      <c r="C123">
        <v>80</v>
      </c>
      <c r="D123" t="s">
        <v>133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161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161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161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161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161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161</v>
      </c>
      <c r="C129">
        <v>140</v>
      </c>
      <c r="D129" t="s">
        <v>139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161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161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161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161</v>
      </c>
      <c r="C133">
        <v>180</v>
      </c>
      <c r="D133" t="s">
        <v>135</v>
      </c>
      <c r="E133" t="s">
        <v>14</v>
      </c>
      <c r="F133">
        <v>0.95899999999999996</v>
      </c>
      <c r="G133" t="s">
        <v>15</v>
      </c>
    </row>
    <row r="134" spans="1:7" x14ac:dyDescent="0.25">
      <c r="A134">
        <v>7</v>
      </c>
      <c r="B134" t="s">
        <v>161</v>
      </c>
      <c r="C134">
        <v>190</v>
      </c>
      <c r="D134" t="s">
        <v>164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165</v>
      </c>
      <c r="C135">
        <v>10</v>
      </c>
      <c r="D135" t="s">
        <v>166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165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165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165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165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165</v>
      </c>
      <c r="C140">
        <v>60</v>
      </c>
      <c r="D140" t="s">
        <v>132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165</v>
      </c>
      <c r="C141">
        <v>70</v>
      </c>
      <c r="D141" t="s">
        <v>167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165</v>
      </c>
      <c r="C142">
        <v>80</v>
      </c>
      <c r="D142" t="s">
        <v>133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165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165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165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165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165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165</v>
      </c>
      <c r="C148">
        <v>140</v>
      </c>
      <c r="D148" t="s">
        <v>139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165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165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165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165</v>
      </c>
      <c r="C152">
        <v>180</v>
      </c>
      <c r="D152" t="s">
        <v>135</v>
      </c>
      <c r="E152" t="s">
        <v>14</v>
      </c>
      <c r="F152">
        <v>1.04</v>
      </c>
      <c r="G152" t="s">
        <v>15</v>
      </c>
    </row>
    <row r="153" spans="1:7" x14ac:dyDescent="0.25">
      <c r="A153">
        <v>8</v>
      </c>
      <c r="B153" t="s">
        <v>165</v>
      </c>
      <c r="C153">
        <v>190</v>
      </c>
      <c r="D153" t="s">
        <v>168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169</v>
      </c>
      <c r="C154">
        <v>10</v>
      </c>
      <c r="D154" t="s">
        <v>170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169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169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169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169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169</v>
      </c>
      <c r="C159">
        <v>60</v>
      </c>
      <c r="D159" t="s">
        <v>132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169</v>
      </c>
      <c r="C160">
        <v>70</v>
      </c>
      <c r="D160" t="s">
        <v>171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169</v>
      </c>
      <c r="C161">
        <v>80</v>
      </c>
      <c r="D161" t="s">
        <v>133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169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169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169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169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169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169</v>
      </c>
      <c r="C167">
        <v>140</v>
      </c>
      <c r="D167" t="s">
        <v>139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169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169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169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169</v>
      </c>
      <c r="C171">
        <v>180</v>
      </c>
      <c r="D171" t="s">
        <v>135</v>
      </c>
      <c r="E171" t="s">
        <v>14</v>
      </c>
      <c r="F171">
        <v>0.55400000000000005</v>
      </c>
      <c r="G171" t="s">
        <v>15</v>
      </c>
    </row>
    <row r="172" spans="1:7" x14ac:dyDescent="0.25">
      <c r="A172">
        <v>9</v>
      </c>
      <c r="B172" t="s">
        <v>169</v>
      </c>
      <c r="C172">
        <v>190</v>
      </c>
      <c r="D172" t="s">
        <v>172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173</v>
      </c>
      <c r="C173">
        <v>10</v>
      </c>
      <c r="D173" t="s">
        <v>174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173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173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173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173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173</v>
      </c>
      <c r="C178">
        <v>60</v>
      </c>
      <c r="D178" t="s">
        <v>132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173</v>
      </c>
      <c r="C179">
        <v>70</v>
      </c>
      <c r="D179" t="s">
        <v>175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173</v>
      </c>
      <c r="C180">
        <v>80</v>
      </c>
      <c r="D180" t="s">
        <v>133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173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173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173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173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173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173</v>
      </c>
      <c r="C186">
        <v>140</v>
      </c>
      <c r="D186" t="s">
        <v>139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173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173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173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173</v>
      </c>
      <c r="C190">
        <v>180</v>
      </c>
      <c r="D190" t="s">
        <v>135</v>
      </c>
      <c r="E190" t="s">
        <v>14</v>
      </c>
      <c r="F190">
        <v>0.63500000000000001</v>
      </c>
      <c r="G190" t="s">
        <v>15</v>
      </c>
    </row>
    <row r="191" spans="1:7" x14ac:dyDescent="0.25">
      <c r="A191">
        <v>10</v>
      </c>
      <c r="B191" t="s">
        <v>173</v>
      </c>
      <c r="C191">
        <v>190</v>
      </c>
      <c r="D191" t="s">
        <v>176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177</v>
      </c>
      <c r="C192">
        <v>10</v>
      </c>
      <c r="D192" t="s">
        <v>178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177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177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177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177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177</v>
      </c>
      <c r="C197">
        <v>60</v>
      </c>
      <c r="D197" t="s">
        <v>132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177</v>
      </c>
      <c r="C198">
        <v>70</v>
      </c>
      <c r="D198" t="s">
        <v>179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177</v>
      </c>
      <c r="C199">
        <v>80</v>
      </c>
      <c r="D199" t="s">
        <v>133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177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177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177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177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177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177</v>
      </c>
      <c r="C205">
        <v>140</v>
      </c>
      <c r="D205" t="s">
        <v>139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177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177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177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177</v>
      </c>
      <c r="C209">
        <v>180</v>
      </c>
      <c r="D209" t="s">
        <v>135</v>
      </c>
      <c r="E209" t="s">
        <v>14</v>
      </c>
      <c r="F209">
        <v>0.71599999999999997</v>
      </c>
      <c r="G209" t="s">
        <v>15</v>
      </c>
    </row>
    <row r="210" spans="1:7" x14ac:dyDescent="0.25">
      <c r="A210">
        <v>11</v>
      </c>
      <c r="B210" t="s">
        <v>177</v>
      </c>
      <c r="C210">
        <v>190</v>
      </c>
      <c r="D210" t="s">
        <v>180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181</v>
      </c>
      <c r="C211">
        <v>10</v>
      </c>
      <c r="D211" t="s">
        <v>182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181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181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181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181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181</v>
      </c>
      <c r="C216">
        <v>60</v>
      </c>
      <c r="D216" t="s">
        <v>132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181</v>
      </c>
      <c r="C217">
        <v>70</v>
      </c>
      <c r="D217" t="s">
        <v>183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181</v>
      </c>
      <c r="C218">
        <v>80</v>
      </c>
      <c r="D218" t="s">
        <v>133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181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181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181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181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181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181</v>
      </c>
      <c r="C224">
        <v>140</v>
      </c>
      <c r="D224" t="s">
        <v>139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181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181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181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181</v>
      </c>
      <c r="C228">
        <v>180</v>
      </c>
      <c r="D228" t="s">
        <v>135</v>
      </c>
      <c r="E228" t="s">
        <v>14</v>
      </c>
      <c r="F228">
        <v>0.79700000000000004</v>
      </c>
      <c r="G228" t="s">
        <v>15</v>
      </c>
    </row>
    <row r="229" spans="1:7" x14ac:dyDescent="0.25">
      <c r="A229">
        <v>12</v>
      </c>
      <c r="B229" t="s">
        <v>181</v>
      </c>
      <c r="C229">
        <v>190</v>
      </c>
      <c r="D229" t="s">
        <v>184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185</v>
      </c>
      <c r="C230">
        <v>10</v>
      </c>
      <c r="D230" t="s">
        <v>186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185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185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185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185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185</v>
      </c>
      <c r="C235">
        <v>60</v>
      </c>
      <c r="D235" t="s">
        <v>132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185</v>
      </c>
      <c r="C236">
        <v>70</v>
      </c>
      <c r="D236" t="s">
        <v>187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185</v>
      </c>
      <c r="C237">
        <v>80</v>
      </c>
      <c r="D237" t="s">
        <v>133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185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185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185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185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185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185</v>
      </c>
      <c r="C243">
        <v>140</v>
      </c>
      <c r="D243" t="s">
        <v>139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185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185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185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185</v>
      </c>
      <c r="C247">
        <v>180</v>
      </c>
      <c r="D247" t="s">
        <v>135</v>
      </c>
      <c r="E247" t="s">
        <v>14</v>
      </c>
      <c r="F247">
        <v>0.83799999999999997</v>
      </c>
      <c r="G247" t="s">
        <v>15</v>
      </c>
    </row>
    <row r="248" spans="1:7" x14ac:dyDescent="0.25">
      <c r="A248">
        <v>13</v>
      </c>
      <c r="B248" t="s">
        <v>185</v>
      </c>
      <c r="C248">
        <v>190</v>
      </c>
      <c r="D248" t="s">
        <v>188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189</v>
      </c>
      <c r="C249">
        <v>10</v>
      </c>
      <c r="D249" t="s">
        <v>190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189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189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189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189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189</v>
      </c>
      <c r="C254">
        <v>60</v>
      </c>
      <c r="D254" t="s">
        <v>132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189</v>
      </c>
      <c r="C255">
        <v>70</v>
      </c>
      <c r="D255" t="s">
        <v>191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189</v>
      </c>
      <c r="C256">
        <v>80</v>
      </c>
      <c r="D256" t="s">
        <v>133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189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189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189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189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189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189</v>
      </c>
      <c r="C262">
        <v>140</v>
      </c>
      <c r="D262" t="s">
        <v>139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189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189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189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189</v>
      </c>
      <c r="C266">
        <v>180</v>
      </c>
      <c r="D266" t="s">
        <v>135</v>
      </c>
      <c r="E266" t="s">
        <v>14</v>
      </c>
      <c r="F266">
        <v>0.878</v>
      </c>
      <c r="G266" t="s">
        <v>15</v>
      </c>
    </row>
    <row r="267" spans="1:7" x14ac:dyDescent="0.25">
      <c r="A267">
        <v>14</v>
      </c>
      <c r="B267" t="s">
        <v>189</v>
      </c>
      <c r="C267">
        <v>190</v>
      </c>
      <c r="D267" t="s">
        <v>192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193</v>
      </c>
      <c r="C268">
        <v>10</v>
      </c>
      <c r="D268" t="s">
        <v>194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193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193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193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193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193</v>
      </c>
      <c r="C273">
        <v>60</v>
      </c>
      <c r="D273" t="s">
        <v>132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193</v>
      </c>
      <c r="C274">
        <v>70</v>
      </c>
      <c r="D274" t="s">
        <v>195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193</v>
      </c>
      <c r="C275">
        <v>80</v>
      </c>
      <c r="D275" t="s">
        <v>133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193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193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193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193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193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193</v>
      </c>
      <c r="C281">
        <v>140</v>
      </c>
      <c r="D281" t="s">
        <v>139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193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193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193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193</v>
      </c>
      <c r="C285">
        <v>180</v>
      </c>
      <c r="D285" t="s">
        <v>135</v>
      </c>
      <c r="E285" t="s">
        <v>14</v>
      </c>
      <c r="F285">
        <v>0.95899999999999996</v>
      </c>
      <c r="G285" t="s">
        <v>15</v>
      </c>
    </row>
    <row r="286" spans="1:7" x14ac:dyDescent="0.25">
      <c r="A286">
        <v>15</v>
      </c>
      <c r="B286" t="s">
        <v>193</v>
      </c>
      <c r="C286">
        <v>190</v>
      </c>
      <c r="D286" t="s">
        <v>196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197</v>
      </c>
      <c r="C287">
        <v>10</v>
      </c>
      <c r="D287" t="s">
        <v>198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197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197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197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197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197</v>
      </c>
      <c r="C292">
        <v>60</v>
      </c>
      <c r="D292" t="s">
        <v>132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197</v>
      </c>
      <c r="C293">
        <v>70</v>
      </c>
      <c r="D293" t="s">
        <v>199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197</v>
      </c>
      <c r="C294">
        <v>80</v>
      </c>
      <c r="D294" t="s">
        <v>133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197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197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197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197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197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197</v>
      </c>
      <c r="C300">
        <v>140</v>
      </c>
      <c r="D300" t="s">
        <v>139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197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197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197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197</v>
      </c>
      <c r="C304">
        <v>180</v>
      </c>
      <c r="D304" t="s">
        <v>135</v>
      </c>
      <c r="E304" t="s">
        <v>14</v>
      </c>
      <c r="F304">
        <v>1.04</v>
      </c>
      <c r="G304" t="s">
        <v>15</v>
      </c>
    </row>
    <row r="305" spans="1:7" x14ac:dyDescent="0.25">
      <c r="A305">
        <v>16</v>
      </c>
      <c r="B305" t="s">
        <v>197</v>
      </c>
      <c r="C305">
        <v>190</v>
      </c>
      <c r="D305" t="s">
        <v>200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201</v>
      </c>
      <c r="C306">
        <v>10</v>
      </c>
      <c r="D306" t="s">
        <v>202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201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201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201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201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201</v>
      </c>
      <c r="C311">
        <v>60</v>
      </c>
      <c r="D311" t="s">
        <v>132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201</v>
      </c>
      <c r="C312">
        <v>70</v>
      </c>
      <c r="D312" t="s">
        <v>203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201</v>
      </c>
      <c r="C313">
        <v>80</v>
      </c>
      <c r="D313" t="s">
        <v>133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201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201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201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201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201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201</v>
      </c>
      <c r="C319">
        <v>140</v>
      </c>
      <c r="D319" t="s">
        <v>139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201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201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201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201</v>
      </c>
      <c r="C323">
        <v>180</v>
      </c>
      <c r="D323" t="s">
        <v>135</v>
      </c>
      <c r="E323" t="s">
        <v>14</v>
      </c>
      <c r="F323">
        <v>0.55400000000000005</v>
      </c>
      <c r="G323" t="s">
        <v>15</v>
      </c>
    </row>
    <row r="324" spans="1:7" x14ac:dyDescent="0.25">
      <c r="A324">
        <v>17</v>
      </c>
      <c r="B324" t="s">
        <v>201</v>
      </c>
      <c r="C324">
        <v>190</v>
      </c>
      <c r="D324" t="s">
        <v>204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205</v>
      </c>
      <c r="C325">
        <v>10</v>
      </c>
      <c r="D325" t="s">
        <v>206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205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205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205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205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205</v>
      </c>
      <c r="C330">
        <v>60</v>
      </c>
      <c r="D330" t="s">
        <v>132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205</v>
      </c>
      <c r="C331">
        <v>70</v>
      </c>
      <c r="D331" t="s">
        <v>207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205</v>
      </c>
      <c r="C332">
        <v>80</v>
      </c>
      <c r="D332" t="s">
        <v>133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205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205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205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205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205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205</v>
      </c>
      <c r="C338">
        <v>140</v>
      </c>
      <c r="D338" t="s">
        <v>139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205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205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205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205</v>
      </c>
      <c r="C342">
        <v>180</v>
      </c>
      <c r="D342" t="s">
        <v>135</v>
      </c>
      <c r="E342" t="s">
        <v>14</v>
      </c>
      <c r="F342">
        <v>0.63500000000000001</v>
      </c>
      <c r="G342" t="s">
        <v>15</v>
      </c>
    </row>
    <row r="343" spans="1:7" x14ac:dyDescent="0.25">
      <c r="A343">
        <v>18</v>
      </c>
      <c r="B343" t="s">
        <v>205</v>
      </c>
      <c r="C343">
        <v>190</v>
      </c>
      <c r="D343" t="s">
        <v>208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209</v>
      </c>
      <c r="C344">
        <v>10</v>
      </c>
      <c r="D344" t="s">
        <v>210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209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209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209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209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209</v>
      </c>
      <c r="C349">
        <v>60</v>
      </c>
      <c r="D349" t="s">
        <v>132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209</v>
      </c>
      <c r="C350">
        <v>70</v>
      </c>
      <c r="D350" t="s">
        <v>211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209</v>
      </c>
      <c r="C351">
        <v>80</v>
      </c>
      <c r="D351" t="s">
        <v>133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209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209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209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209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209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209</v>
      </c>
      <c r="C357">
        <v>140</v>
      </c>
      <c r="D357" t="s">
        <v>139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209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209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209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209</v>
      </c>
      <c r="C361">
        <v>180</v>
      </c>
      <c r="D361" t="s">
        <v>135</v>
      </c>
      <c r="E361" t="s">
        <v>14</v>
      </c>
      <c r="F361">
        <v>0.71599999999999997</v>
      </c>
      <c r="G361" t="s">
        <v>15</v>
      </c>
    </row>
    <row r="362" spans="1:7" x14ac:dyDescent="0.25">
      <c r="A362">
        <v>19</v>
      </c>
      <c r="B362" t="s">
        <v>209</v>
      </c>
      <c r="C362">
        <v>190</v>
      </c>
      <c r="D362" t="s">
        <v>212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213</v>
      </c>
      <c r="C363">
        <v>10</v>
      </c>
      <c r="D363" t="s">
        <v>214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213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213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213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213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213</v>
      </c>
      <c r="C368">
        <v>60</v>
      </c>
      <c r="D368" t="s">
        <v>132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213</v>
      </c>
      <c r="C369">
        <v>70</v>
      </c>
      <c r="D369" t="s">
        <v>215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213</v>
      </c>
      <c r="C370">
        <v>80</v>
      </c>
      <c r="D370" t="s">
        <v>133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213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213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213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213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213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213</v>
      </c>
      <c r="C376">
        <v>140</v>
      </c>
      <c r="D376" t="s">
        <v>139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213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213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213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213</v>
      </c>
      <c r="C380">
        <v>180</v>
      </c>
      <c r="D380" t="s">
        <v>135</v>
      </c>
      <c r="E380" t="s">
        <v>14</v>
      </c>
      <c r="F380">
        <v>0.79700000000000004</v>
      </c>
      <c r="G380" t="s">
        <v>15</v>
      </c>
    </row>
    <row r="381" spans="1:7" x14ac:dyDescent="0.25">
      <c r="A381">
        <v>20</v>
      </c>
      <c r="B381" t="s">
        <v>213</v>
      </c>
      <c r="C381">
        <v>190</v>
      </c>
      <c r="D381" t="s">
        <v>216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217</v>
      </c>
      <c r="C382">
        <v>10</v>
      </c>
      <c r="D382" t="s">
        <v>218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217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217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217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217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217</v>
      </c>
      <c r="C387">
        <v>60</v>
      </c>
      <c r="D387" t="s">
        <v>132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217</v>
      </c>
      <c r="C388">
        <v>70</v>
      </c>
      <c r="D388" t="s">
        <v>219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217</v>
      </c>
      <c r="C389">
        <v>80</v>
      </c>
      <c r="D389" t="s">
        <v>133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217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217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217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217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217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217</v>
      </c>
      <c r="C395">
        <v>140</v>
      </c>
      <c r="D395" t="s">
        <v>139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217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217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217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217</v>
      </c>
      <c r="C399">
        <v>180</v>
      </c>
      <c r="D399" t="s">
        <v>135</v>
      </c>
      <c r="E399" t="s">
        <v>14</v>
      </c>
      <c r="F399">
        <v>0.83799999999999997</v>
      </c>
      <c r="G399" t="s">
        <v>15</v>
      </c>
    </row>
    <row r="400" spans="1:7" x14ac:dyDescent="0.25">
      <c r="A400">
        <v>21</v>
      </c>
      <c r="B400" t="s">
        <v>217</v>
      </c>
      <c r="C400">
        <v>190</v>
      </c>
      <c r="D400" t="s">
        <v>220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221</v>
      </c>
      <c r="C401">
        <v>10</v>
      </c>
      <c r="D401" t="s">
        <v>222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221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221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221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221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221</v>
      </c>
      <c r="C406">
        <v>60</v>
      </c>
      <c r="D406" t="s">
        <v>132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221</v>
      </c>
      <c r="C407">
        <v>70</v>
      </c>
      <c r="D407" t="s">
        <v>223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221</v>
      </c>
      <c r="C408">
        <v>80</v>
      </c>
      <c r="D408" t="s">
        <v>133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221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221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221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221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221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221</v>
      </c>
      <c r="C414">
        <v>140</v>
      </c>
      <c r="D414" t="s">
        <v>139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221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221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221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221</v>
      </c>
      <c r="C418">
        <v>180</v>
      </c>
      <c r="D418" t="s">
        <v>135</v>
      </c>
      <c r="E418" t="s">
        <v>14</v>
      </c>
      <c r="F418">
        <v>0.878</v>
      </c>
      <c r="G418" t="s">
        <v>15</v>
      </c>
    </row>
    <row r="419" spans="1:7" x14ac:dyDescent="0.25">
      <c r="A419">
        <v>22</v>
      </c>
      <c r="B419" t="s">
        <v>221</v>
      </c>
      <c r="C419">
        <v>190</v>
      </c>
      <c r="D419" t="s">
        <v>224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225</v>
      </c>
      <c r="C420">
        <v>10</v>
      </c>
      <c r="D420" t="s">
        <v>226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225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225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225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225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225</v>
      </c>
      <c r="C425">
        <v>60</v>
      </c>
      <c r="D425" t="s">
        <v>132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225</v>
      </c>
      <c r="C426">
        <v>70</v>
      </c>
      <c r="D426" t="s">
        <v>227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225</v>
      </c>
      <c r="C427">
        <v>80</v>
      </c>
      <c r="D427" t="s">
        <v>133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225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225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225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225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225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225</v>
      </c>
      <c r="C433">
        <v>140</v>
      </c>
      <c r="D433" t="s">
        <v>139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225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225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225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225</v>
      </c>
      <c r="C437">
        <v>180</v>
      </c>
      <c r="D437" t="s">
        <v>135</v>
      </c>
      <c r="E437" t="s">
        <v>14</v>
      </c>
      <c r="F437">
        <v>0.95899999999999996</v>
      </c>
      <c r="G437" t="s">
        <v>15</v>
      </c>
    </row>
    <row r="438" spans="1:7" x14ac:dyDescent="0.25">
      <c r="A438">
        <v>23</v>
      </c>
      <c r="B438" t="s">
        <v>225</v>
      </c>
      <c r="C438">
        <v>190</v>
      </c>
      <c r="D438" t="s">
        <v>228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229</v>
      </c>
      <c r="C439">
        <v>10</v>
      </c>
      <c r="D439" t="s">
        <v>230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229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229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229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229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229</v>
      </c>
      <c r="C444">
        <v>60</v>
      </c>
      <c r="D444" t="s">
        <v>132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229</v>
      </c>
      <c r="C445">
        <v>70</v>
      </c>
      <c r="D445" t="s">
        <v>231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229</v>
      </c>
      <c r="C446">
        <v>80</v>
      </c>
      <c r="D446" t="s">
        <v>133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229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229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229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229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229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229</v>
      </c>
      <c r="C452">
        <v>140</v>
      </c>
      <c r="D452" t="s">
        <v>139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229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229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229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229</v>
      </c>
      <c r="C456">
        <v>180</v>
      </c>
      <c r="D456" t="s">
        <v>135</v>
      </c>
      <c r="E456" t="s">
        <v>14</v>
      </c>
      <c r="F456">
        <v>1.04</v>
      </c>
      <c r="G456" t="s">
        <v>15</v>
      </c>
    </row>
    <row r="457" spans="1:7" x14ac:dyDescent="0.25">
      <c r="A457">
        <v>24</v>
      </c>
      <c r="B457" t="s">
        <v>229</v>
      </c>
      <c r="C457">
        <v>190</v>
      </c>
      <c r="D457" t="s">
        <v>232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233</v>
      </c>
      <c r="C458">
        <v>10</v>
      </c>
      <c r="D458" t="s">
        <v>234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233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233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233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233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233</v>
      </c>
      <c r="C463">
        <v>60</v>
      </c>
      <c r="D463" t="s">
        <v>132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233</v>
      </c>
      <c r="C464">
        <v>70</v>
      </c>
      <c r="D464" t="s">
        <v>235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233</v>
      </c>
      <c r="C465">
        <v>80</v>
      </c>
      <c r="D465" t="s">
        <v>133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233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233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233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233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233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233</v>
      </c>
      <c r="C471">
        <v>140</v>
      </c>
      <c r="D471" t="s">
        <v>139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233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233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233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233</v>
      </c>
      <c r="C475">
        <v>180</v>
      </c>
      <c r="D475" t="s">
        <v>135</v>
      </c>
      <c r="E475" t="s">
        <v>14</v>
      </c>
      <c r="F475">
        <v>1.1890000000000001</v>
      </c>
      <c r="G475" t="s">
        <v>15</v>
      </c>
    </row>
    <row r="476" spans="1:7" x14ac:dyDescent="0.25">
      <c r="A476">
        <v>25</v>
      </c>
      <c r="B476" t="s">
        <v>233</v>
      </c>
      <c r="C476">
        <v>190</v>
      </c>
      <c r="D476" t="s">
        <v>236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237</v>
      </c>
      <c r="C477">
        <v>10</v>
      </c>
      <c r="D477" t="s">
        <v>238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237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237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237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237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237</v>
      </c>
      <c r="C482">
        <v>60</v>
      </c>
      <c r="D482" t="s">
        <v>132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237</v>
      </c>
      <c r="C483">
        <v>70</v>
      </c>
      <c r="D483" t="s">
        <v>239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237</v>
      </c>
      <c r="C484">
        <v>80</v>
      </c>
      <c r="D484" t="s">
        <v>133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237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237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237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237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237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237</v>
      </c>
      <c r="C490">
        <v>140</v>
      </c>
      <c r="D490" t="s">
        <v>139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237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237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237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237</v>
      </c>
      <c r="C494">
        <v>180</v>
      </c>
      <c r="D494" t="s">
        <v>135</v>
      </c>
      <c r="E494" t="s">
        <v>14</v>
      </c>
      <c r="F494">
        <v>1.1890000000000001</v>
      </c>
      <c r="G494" t="s">
        <v>15</v>
      </c>
    </row>
    <row r="495" spans="1:7" x14ac:dyDescent="0.25">
      <c r="A495">
        <v>26</v>
      </c>
      <c r="B495" t="s">
        <v>237</v>
      </c>
      <c r="C495">
        <v>190</v>
      </c>
      <c r="D495" t="s">
        <v>240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241</v>
      </c>
      <c r="C496">
        <v>10</v>
      </c>
      <c r="D496" t="s">
        <v>242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241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241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241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241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241</v>
      </c>
      <c r="C501">
        <v>60</v>
      </c>
      <c r="D501" t="s">
        <v>132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241</v>
      </c>
      <c r="C502">
        <v>70</v>
      </c>
      <c r="D502" t="s">
        <v>243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241</v>
      </c>
      <c r="C503">
        <v>80</v>
      </c>
      <c r="D503" t="s">
        <v>133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241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241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241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241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241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241</v>
      </c>
      <c r="C509">
        <v>140</v>
      </c>
      <c r="D509" t="s">
        <v>139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241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241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241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241</v>
      </c>
      <c r="C513">
        <v>180</v>
      </c>
      <c r="D513" t="s">
        <v>135</v>
      </c>
      <c r="E513" t="s">
        <v>14</v>
      </c>
      <c r="F513">
        <v>1.1890000000000001</v>
      </c>
      <c r="G513" t="s">
        <v>15</v>
      </c>
    </row>
    <row r="514" spans="1:7" x14ac:dyDescent="0.25">
      <c r="A514">
        <v>27</v>
      </c>
      <c r="B514" t="s">
        <v>241</v>
      </c>
      <c r="C514">
        <v>190</v>
      </c>
      <c r="D514" t="s">
        <v>244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245</v>
      </c>
      <c r="C515">
        <v>10</v>
      </c>
      <c r="D515" t="s">
        <v>246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245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245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245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245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245</v>
      </c>
      <c r="C520">
        <v>60</v>
      </c>
      <c r="D520" t="s">
        <v>132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245</v>
      </c>
      <c r="C521">
        <v>70</v>
      </c>
      <c r="D521" t="s">
        <v>247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245</v>
      </c>
      <c r="C522">
        <v>80</v>
      </c>
      <c r="D522" t="s">
        <v>133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245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245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245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245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245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245</v>
      </c>
      <c r="C528">
        <v>140</v>
      </c>
      <c r="D528" t="s">
        <v>139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245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245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245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245</v>
      </c>
      <c r="C532">
        <v>180</v>
      </c>
      <c r="D532" t="s">
        <v>135</v>
      </c>
      <c r="E532" t="s">
        <v>14</v>
      </c>
      <c r="F532">
        <v>1.1890000000000001</v>
      </c>
      <c r="G532" t="s">
        <v>15</v>
      </c>
    </row>
    <row r="533" spans="1:7" x14ac:dyDescent="0.25">
      <c r="A533">
        <v>28</v>
      </c>
      <c r="B533" t="s">
        <v>245</v>
      </c>
      <c r="C533">
        <v>190</v>
      </c>
      <c r="D533" t="s">
        <v>248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249</v>
      </c>
      <c r="C534">
        <v>10</v>
      </c>
      <c r="D534" t="s">
        <v>250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249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249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249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249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249</v>
      </c>
      <c r="C539">
        <v>60</v>
      </c>
      <c r="D539" t="s">
        <v>132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249</v>
      </c>
      <c r="C540">
        <v>70</v>
      </c>
      <c r="D540" t="s">
        <v>251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249</v>
      </c>
      <c r="C541">
        <v>80</v>
      </c>
      <c r="D541" t="s">
        <v>133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249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249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249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249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249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249</v>
      </c>
      <c r="C547">
        <v>140</v>
      </c>
      <c r="D547" t="s">
        <v>139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249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249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249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249</v>
      </c>
      <c r="C551">
        <v>180</v>
      </c>
      <c r="D551" t="s">
        <v>135</v>
      </c>
      <c r="E551" t="s">
        <v>14</v>
      </c>
      <c r="F551">
        <v>1.1890000000000001</v>
      </c>
      <c r="G551" t="s">
        <v>15</v>
      </c>
    </row>
    <row r="552" spans="1:7" x14ac:dyDescent="0.25">
      <c r="A552">
        <v>29</v>
      </c>
      <c r="B552" t="s">
        <v>249</v>
      </c>
      <c r="C552">
        <v>190</v>
      </c>
      <c r="D552" t="s">
        <v>252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253</v>
      </c>
      <c r="C553">
        <v>10</v>
      </c>
      <c r="D553" t="s">
        <v>254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253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253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253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253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253</v>
      </c>
      <c r="C558">
        <v>60</v>
      </c>
      <c r="D558" t="s">
        <v>132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253</v>
      </c>
      <c r="C559">
        <v>70</v>
      </c>
      <c r="D559" t="s">
        <v>255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253</v>
      </c>
      <c r="C560">
        <v>80</v>
      </c>
      <c r="D560" t="s">
        <v>133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253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253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253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253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253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253</v>
      </c>
      <c r="C566">
        <v>140</v>
      </c>
      <c r="D566" t="s">
        <v>139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253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253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253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253</v>
      </c>
      <c r="C570">
        <v>180</v>
      </c>
      <c r="D570" t="s">
        <v>135</v>
      </c>
      <c r="E570" t="s">
        <v>14</v>
      </c>
      <c r="F570">
        <v>1.1890000000000001</v>
      </c>
      <c r="G570" t="s">
        <v>15</v>
      </c>
    </row>
    <row r="571" spans="1:7" x14ac:dyDescent="0.25">
      <c r="A571">
        <v>30</v>
      </c>
      <c r="B571" t="s">
        <v>253</v>
      </c>
      <c r="C571">
        <v>190</v>
      </c>
      <c r="D571" t="s">
        <v>256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257</v>
      </c>
      <c r="C572">
        <v>10</v>
      </c>
      <c r="D572" t="s">
        <v>258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257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257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257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257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257</v>
      </c>
      <c r="C577">
        <v>60</v>
      </c>
      <c r="D577" t="s">
        <v>132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257</v>
      </c>
      <c r="C578">
        <v>70</v>
      </c>
      <c r="D578" t="s">
        <v>259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257</v>
      </c>
      <c r="C579">
        <v>80</v>
      </c>
      <c r="D579" t="s">
        <v>133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257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257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257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257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257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257</v>
      </c>
      <c r="C585">
        <v>140</v>
      </c>
      <c r="D585" t="s">
        <v>139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257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257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257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257</v>
      </c>
      <c r="C589">
        <v>180</v>
      </c>
      <c r="D589" t="s">
        <v>135</v>
      </c>
      <c r="E589" t="s">
        <v>14</v>
      </c>
      <c r="F589">
        <v>1.1890000000000001</v>
      </c>
      <c r="G589" t="s">
        <v>15</v>
      </c>
    </row>
    <row r="590" spans="1:7" x14ac:dyDescent="0.25">
      <c r="A590">
        <v>31</v>
      </c>
      <c r="B590" t="s">
        <v>257</v>
      </c>
      <c r="C590">
        <v>190</v>
      </c>
      <c r="D590" t="s">
        <v>260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261</v>
      </c>
      <c r="C591">
        <v>10</v>
      </c>
      <c r="D591" t="s">
        <v>262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261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261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261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261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261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261</v>
      </c>
      <c r="C597">
        <v>70</v>
      </c>
      <c r="D597" t="s">
        <v>132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261</v>
      </c>
      <c r="C598">
        <v>80</v>
      </c>
      <c r="D598" t="s">
        <v>263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261</v>
      </c>
      <c r="C599">
        <v>90</v>
      </c>
      <c r="D599" t="s">
        <v>133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261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261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261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261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261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261</v>
      </c>
      <c r="C605">
        <v>150</v>
      </c>
      <c r="D605" t="s">
        <v>139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261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261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261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261</v>
      </c>
      <c r="C609">
        <v>190</v>
      </c>
      <c r="D609" t="s">
        <v>135</v>
      </c>
      <c r="E609" t="s">
        <v>14</v>
      </c>
      <c r="F609">
        <v>1.1890000000000001</v>
      </c>
      <c r="G609" t="s">
        <v>15</v>
      </c>
    </row>
    <row r="610" spans="1:7" x14ac:dyDescent="0.25">
      <c r="A610">
        <v>32</v>
      </c>
      <c r="B610" t="s">
        <v>261</v>
      </c>
      <c r="C610">
        <v>200</v>
      </c>
      <c r="D610" t="s">
        <v>264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265</v>
      </c>
      <c r="C611">
        <v>10</v>
      </c>
      <c r="D611" t="s">
        <v>266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265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265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265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265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265</v>
      </c>
      <c r="C616">
        <v>60</v>
      </c>
      <c r="D616" t="s">
        <v>132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265</v>
      </c>
      <c r="C617">
        <v>70</v>
      </c>
      <c r="D617" t="s">
        <v>267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265</v>
      </c>
      <c r="C618">
        <v>80</v>
      </c>
      <c r="D618" t="s">
        <v>133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265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265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265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265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265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265</v>
      </c>
      <c r="C624">
        <v>140</v>
      </c>
      <c r="D624" t="s">
        <v>139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265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265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265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265</v>
      </c>
      <c r="C628">
        <v>180</v>
      </c>
      <c r="D628" t="s">
        <v>135</v>
      </c>
      <c r="E628" t="s">
        <v>14</v>
      </c>
      <c r="F628">
        <v>1.2430000000000001</v>
      </c>
      <c r="G628" t="s">
        <v>15</v>
      </c>
    </row>
    <row r="629" spans="1:7" x14ac:dyDescent="0.25">
      <c r="A629">
        <v>33</v>
      </c>
      <c r="B629" t="s">
        <v>265</v>
      </c>
      <c r="C629">
        <v>190</v>
      </c>
      <c r="D629" t="s">
        <v>268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269</v>
      </c>
      <c r="C630">
        <v>10</v>
      </c>
      <c r="D630" t="s">
        <v>270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269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269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269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269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269</v>
      </c>
      <c r="C635">
        <v>60</v>
      </c>
      <c r="D635" t="s">
        <v>132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269</v>
      </c>
      <c r="C636">
        <v>70</v>
      </c>
      <c r="D636" t="s">
        <v>271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269</v>
      </c>
      <c r="C637">
        <v>80</v>
      </c>
      <c r="D637" t="s">
        <v>133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269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269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269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269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269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269</v>
      </c>
      <c r="C643">
        <v>140</v>
      </c>
      <c r="D643" t="s">
        <v>139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269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269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269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269</v>
      </c>
      <c r="C647">
        <v>180</v>
      </c>
      <c r="D647" t="s">
        <v>135</v>
      </c>
      <c r="E647" t="s">
        <v>14</v>
      </c>
      <c r="F647">
        <v>1.2430000000000001</v>
      </c>
      <c r="G647" t="s">
        <v>15</v>
      </c>
    </row>
    <row r="648" spans="1:7" x14ac:dyDescent="0.25">
      <c r="A648">
        <v>34</v>
      </c>
      <c r="B648" t="s">
        <v>269</v>
      </c>
      <c r="C648">
        <v>190</v>
      </c>
      <c r="D648" t="s">
        <v>272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273</v>
      </c>
      <c r="C649">
        <v>10</v>
      </c>
      <c r="D649" t="s">
        <v>274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273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273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273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273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273</v>
      </c>
      <c r="C654">
        <v>60</v>
      </c>
      <c r="D654" t="s">
        <v>132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273</v>
      </c>
      <c r="C655">
        <v>70</v>
      </c>
      <c r="D655" t="s">
        <v>275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273</v>
      </c>
      <c r="C656">
        <v>80</v>
      </c>
      <c r="D656" t="s">
        <v>133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273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273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273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273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273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273</v>
      </c>
      <c r="C662">
        <v>140</v>
      </c>
      <c r="D662" t="s">
        <v>139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273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273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273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273</v>
      </c>
      <c r="C666">
        <v>180</v>
      </c>
      <c r="D666" t="s">
        <v>135</v>
      </c>
      <c r="E666" t="s">
        <v>14</v>
      </c>
      <c r="F666">
        <v>1.2430000000000001</v>
      </c>
      <c r="G666" t="s">
        <v>15</v>
      </c>
    </row>
    <row r="667" spans="1:7" x14ac:dyDescent="0.25">
      <c r="A667">
        <v>35</v>
      </c>
      <c r="B667" t="s">
        <v>273</v>
      </c>
      <c r="C667">
        <v>190</v>
      </c>
      <c r="D667" t="s">
        <v>276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277</v>
      </c>
      <c r="C668">
        <v>10</v>
      </c>
      <c r="D668" t="s">
        <v>278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277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277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277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277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277</v>
      </c>
      <c r="C673">
        <v>60</v>
      </c>
      <c r="D673" t="s">
        <v>132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277</v>
      </c>
      <c r="C674">
        <v>70</v>
      </c>
      <c r="D674" t="s">
        <v>279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277</v>
      </c>
      <c r="C675">
        <v>80</v>
      </c>
      <c r="D675" t="s">
        <v>133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277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277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277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277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277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277</v>
      </c>
      <c r="C681">
        <v>140</v>
      </c>
      <c r="D681" t="s">
        <v>139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277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277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277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277</v>
      </c>
      <c r="C685">
        <v>180</v>
      </c>
      <c r="D685" t="s">
        <v>135</v>
      </c>
      <c r="E685" t="s">
        <v>14</v>
      </c>
      <c r="F685">
        <v>1.2430000000000001</v>
      </c>
      <c r="G685" t="s">
        <v>15</v>
      </c>
    </row>
    <row r="686" spans="1:7" x14ac:dyDescent="0.25">
      <c r="A686">
        <v>36</v>
      </c>
      <c r="B686" t="s">
        <v>277</v>
      </c>
      <c r="C686">
        <v>190</v>
      </c>
      <c r="D686" t="s">
        <v>280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281</v>
      </c>
      <c r="C687">
        <v>10</v>
      </c>
      <c r="D687" t="s">
        <v>282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281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281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281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281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281</v>
      </c>
      <c r="C692">
        <v>60</v>
      </c>
      <c r="D692" t="s">
        <v>132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281</v>
      </c>
      <c r="C693">
        <v>70</v>
      </c>
      <c r="D693" t="s">
        <v>283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281</v>
      </c>
      <c r="C694">
        <v>80</v>
      </c>
      <c r="D694" t="s">
        <v>133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281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281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281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281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281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281</v>
      </c>
      <c r="C700">
        <v>140</v>
      </c>
      <c r="D700" t="s">
        <v>139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281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281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281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281</v>
      </c>
      <c r="C704">
        <v>180</v>
      </c>
      <c r="D704" t="s">
        <v>135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37</v>
      </c>
      <c r="B705" t="s">
        <v>281</v>
      </c>
      <c r="C705">
        <v>190</v>
      </c>
      <c r="D705" t="s">
        <v>284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285</v>
      </c>
      <c r="C706">
        <v>10</v>
      </c>
      <c r="D706" t="s">
        <v>286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285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285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285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285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285</v>
      </c>
      <c r="C711">
        <v>60</v>
      </c>
      <c r="D711" t="s">
        <v>132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285</v>
      </c>
      <c r="C712">
        <v>70</v>
      </c>
      <c r="D712" t="s">
        <v>287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285</v>
      </c>
      <c r="C713">
        <v>80</v>
      </c>
      <c r="D713" t="s">
        <v>133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285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285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285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285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285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285</v>
      </c>
      <c r="C719">
        <v>140</v>
      </c>
      <c r="D719" t="s">
        <v>139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285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285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285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285</v>
      </c>
      <c r="C723">
        <v>180</v>
      </c>
      <c r="D723" t="s">
        <v>135</v>
      </c>
      <c r="E723" t="s">
        <v>14</v>
      </c>
      <c r="F723">
        <v>1.2430000000000001</v>
      </c>
      <c r="G723" t="s">
        <v>15</v>
      </c>
    </row>
    <row r="724" spans="1:7" x14ac:dyDescent="0.25">
      <c r="A724">
        <v>38</v>
      </c>
      <c r="B724" t="s">
        <v>285</v>
      </c>
      <c r="C724">
        <v>190</v>
      </c>
      <c r="D724" t="s">
        <v>288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289</v>
      </c>
      <c r="C725">
        <v>10</v>
      </c>
      <c r="D725" t="s">
        <v>290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289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289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289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289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289</v>
      </c>
      <c r="C730">
        <v>60</v>
      </c>
      <c r="D730" t="s">
        <v>132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289</v>
      </c>
      <c r="C731">
        <v>70</v>
      </c>
      <c r="D731" t="s">
        <v>291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289</v>
      </c>
      <c r="C732">
        <v>80</v>
      </c>
      <c r="D732" t="s">
        <v>133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289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289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289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289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289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289</v>
      </c>
      <c r="C738">
        <v>140</v>
      </c>
      <c r="D738" t="s">
        <v>139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289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289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289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289</v>
      </c>
      <c r="C742">
        <v>180</v>
      </c>
      <c r="D742" t="s">
        <v>135</v>
      </c>
      <c r="E742" t="s">
        <v>14</v>
      </c>
      <c r="F742">
        <v>1.2430000000000001</v>
      </c>
      <c r="G742" t="s">
        <v>15</v>
      </c>
    </row>
    <row r="743" spans="1:7" x14ac:dyDescent="0.25">
      <c r="A743">
        <v>39</v>
      </c>
      <c r="B743" t="s">
        <v>289</v>
      </c>
      <c r="C743">
        <v>190</v>
      </c>
      <c r="D743" t="s">
        <v>292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293</v>
      </c>
      <c r="C744">
        <v>10</v>
      </c>
      <c r="D744" t="s">
        <v>294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293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293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293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293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293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293</v>
      </c>
      <c r="C750">
        <v>70</v>
      </c>
      <c r="D750" t="s">
        <v>132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293</v>
      </c>
      <c r="C751">
        <v>80</v>
      </c>
      <c r="D751" t="s">
        <v>295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293</v>
      </c>
      <c r="C752">
        <v>90</v>
      </c>
      <c r="D752" t="s">
        <v>133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293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293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293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293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293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293</v>
      </c>
      <c r="C758">
        <v>150</v>
      </c>
      <c r="D758" t="s">
        <v>139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293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293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293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293</v>
      </c>
      <c r="C762">
        <v>190</v>
      </c>
      <c r="D762" t="s">
        <v>135</v>
      </c>
      <c r="E762" t="s">
        <v>14</v>
      </c>
      <c r="F762">
        <v>1.2430000000000001</v>
      </c>
      <c r="G762" t="s">
        <v>15</v>
      </c>
    </row>
    <row r="763" spans="1:7" x14ac:dyDescent="0.25">
      <c r="A763">
        <v>40</v>
      </c>
      <c r="B763" t="s">
        <v>293</v>
      </c>
      <c r="C763">
        <v>200</v>
      </c>
      <c r="D763" t="s">
        <v>296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M5" sqref="M5:V7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36</v>
      </c>
      <c r="B1" s="45" t="s">
        <v>37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0" t="s">
        <v>39</v>
      </c>
      <c r="C2" s="40" t="s">
        <v>40</v>
      </c>
      <c r="D2" s="40" t="s">
        <v>41</v>
      </c>
      <c r="E2" s="40" t="s">
        <v>40</v>
      </c>
      <c r="F2" s="40" t="s">
        <v>41</v>
      </c>
      <c r="G2" s="40" t="s">
        <v>39</v>
      </c>
      <c r="H2" s="40" t="s">
        <v>41</v>
      </c>
      <c r="I2" s="40" t="s">
        <v>41</v>
      </c>
      <c r="J2" s="40" t="s">
        <v>41</v>
      </c>
      <c r="K2" s="40" t="s">
        <v>41</v>
      </c>
      <c r="L2" s="40" t="s">
        <v>39</v>
      </c>
      <c r="M2" s="41" t="s">
        <v>42</v>
      </c>
      <c r="N2" s="27" t="s">
        <v>42</v>
      </c>
      <c r="O2" s="41" t="s">
        <v>42</v>
      </c>
      <c r="P2" s="41" t="s">
        <v>43</v>
      </c>
      <c r="Q2" s="41" t="s">
        <v>42</v>
      </c>
      <c r="R2" s="41" t="s">
        <v>43</v>
      </c>
      <c r="S2" s="41" t="s">
        <v>42</v>
      </c>
      <c r="T2" s="41" t="s">
        <v>42</v>
      </c>
      <c r="U2" s="41" t="s">
        <v>43</v>
      </c>
      <c r="V2" s="41" t="s">
        <v>42</v>
      </c>
      <c r="W2" s="41" t="s">
        <v>42</v>
      </c>
      <c r="X2" s="41" t="s">
        <v>42</v>
      </c>
      <c r="Y2" s="41" t="s">
        <v>43</v>
      </c>
      <c r="Z2" s="41" t="s">
        <v>44</v>
      </c>
      <c r="AA2" s="41" t="s">
        <v>42</v>
      </c>
      <c r="AB2" s="41" t="s">
        <v>42</v>
      </c>
      <c r="AC2" s="41" t="s">
        <v>42</v>
      </c>
      <c r="AD2" s="41" t="s">
        <v>42</v>
      </c>
      <c r="AE2" s="41" t="s">
        <v>42</v>
      </c>
      <c r="AF2" s="41" t="s">
        <v>42</v>
      </c>
      <c r="AG2" s="41" t="s">
        <v>44</v>
      </c>
      <c r="AH2" s="41" t="s">
        <v>44</v>
      </c>
      <c r="AI2" s="41" t="s">
        <v>44</v>
      </c>
      <c r="AJ2" s="41" t="s">
        <v>42</v>
      </c>
      <c r="AK2" s="41" t="s">
        <v>42</v>
      </c>
      <c r="AL2" s="41" t="s">
        <v>42</v>
      </c>
    </row>
    <row r="3" spans="1:38" x14ac:dyDescent="0.25">
      <c r="A3" s="44"/>
      <c r="B3" s="40" t="s">
        <v>45</v>
      </c>
      <c r="C3" s="40" t="s">
        <v>46</v>
      </c>
      <c r="D3" s="40" t="s">
        <v>47</v>
      </c>
      <c r="E3" s="40" t="s">
        <v>46</v>
      </c>
      <c r="F3" s="40" t="s">
        <v>48</v>
      </c>
      <c r="G3" s="40" t="s">
        <v>49</v>
      </c>
      <c r="H3" s="40" t="s">
        <v>50</v>
      </c>
      <c r="I3" s="40" t="s">
        <v>51</v>
      </c>
      <c r="J3" s="40" t="s">
        <v>46</v>
      </c>
      <c r="K3" s="40" t="s">
        <v>46</v>
      </c>
      <c r="L3" s="40" t="s">
        <v>52</v>
      </c>
      <c r="M3" s="41" t="s">
        <v>53</v>
      </c>
      <c r="N3" s="27" t="s">
        <v>46</v>
      </c>
      <c r="O3" s="41" t="s">
        <v>48</v>
      </c>
      <c r="P3" s="41" t="s">
        <v>54</v>
      </c>
      <c r="Q3" s="41" t="s">
        <v>51</v>
      </c>
      <c r="R3" s="41" t="s">
        <v>50</v>
      </c>
      <c r="S3" s="41" t="s">
        <v>55</v>
      </c>
      <c r="T3" s="41" t="s">
        <v>53</v>
      </c>
      <c r="U3" s="41" t="s">
        <v>56</v>
      </c>
      <c r="V3" s="41" t="s">
        <v>50</v>
      </c>
      <c r="W3" s="41" t="s">
        <v>51</v>
      </c>
      <c r="X3" s="41" t="s">
        <v>51</v>
      </c>
      <c r="Y3" s="41" t="s">
        <v>45</v>
      </c>
      <c r="Z3" s="41" t="s">
        <v>52</v>
      </c>
      <c r="AA3" s="41" t="s">
        <v>57</v>
      </c>
      <c r="AB3" s="41" t="s">
        <v>57</v>
      </c>
      <c r="AC3" s="41" t="s">
        <v>51</v>
      </c>
      <c r="AD3" s="41" t="s">
        <v>51</v>
      </c>
      <c r="AE3" s="41" t="s">
        <v>56</v>
      </c>
      <c r="AF3" s="41" t="s">
        <v>55</v>
      </c>
      <c r="AG3" s="41" t="s">
        <v>45</v>
      </c>
      <c r="AH3" s="41" t="s">
        <v>52</v>
      </c>
      <c r="AI3" s="41" t="s">
        <v>52</v>
      </c>
      <c r="AJ3" s="41" t="s">
        <v>46</v>
      </c>
      <c r="AK3" s="41" t="s">
        <v>48</v>
      </c>
      <c r="AL3" s="41" t="s">
        <v>58</v>
      </c>
    </row>
    <row r="4" spans="1:38" x14ac:dyDescent="0.25">
      <c r="A4" s="44"/>
      <c r="B4" s="28" t="s">
        <v>59</v>
      </c>
      <c r="C4" s="28" t="s">
        <v>60</v>
      </c>
      <c r="D4" s="40" t="s">
        <v>61</v>
      </c>
      <c r="E4" s="28" t="s">
        <v>3</v>
      </c>
      <c r="F4" s="40" t="s">
        <v>62</v>
      </c>
      <c r="G4" s="28" t="s">
        <v>63</v>
      </c>
      <c r="H4" s="28" t="s">
        <v>6</v>
      </c>
      <c r="I4" s="28" t="s">
        <v>64</v>
      </c>
      <c r="J4" s="40" t="s">
        <v>65</v>
      </c>
      <c r="K4" s="40" t="s">
        <v>66</v>
      </c>
      <c r="L4" s="40" t="s">
        <v>67</v>
      </c>
      <c r="M4" s="29" t="s">
        <v>68</v>
      </c>
      <c r="N4" s="30" t="s">
        <v>3</v>
      </c>
      <c r="O4" s="41" t="s">
        <v>62</v>
      </c>
      <c r="P4" s="41" t="s">
        <v>69</v>
      </c>
      <c r="Q4" s="41" t="s">
        <v>70</v>
      </c>
      <c r="R4" s="41" t="s">
        <v>4</v>
      </c>
      <c r="S4" s="41" t="s">
        <v>71</v>
      </c>
      <c r="T4" s="41" t="s">
        <v>72</v>
      </c>
      <c r="U4" s="41" t="s">
        <v>73</v>
      </c>
      <c r="V4" s="41" t="s">
        <v>6</v>
      </c>
      <c r="W4" s="41" t="s">
        <v>74</v>
      </c>
      <c r="X4" s="41" t="s">
        <v>75</v>
      </c>
      <c r="Y4" s="41" t="s">
        <v>76</v>
      </c>
      <c r="Z4" s="41" t="s">
        <v>77</v>
      </c>
      <c r="AA4" s="41" t="s">
        <v>78</v>
      </c>
      <c r="AB4" s="41" t="s">
        <v>79</v>
      </c>
      <c r="AC4" s="41" t="s">
        <v>80</v>
      </c>
      <c r="AD4" s="41" t="s">
        <v>81</v>
      </c>
      <c r="AE4" s="41" t="s">
        <v>82</v>
      </c>
      <c r="AF4" s="41" t="s">
        <v>83</v>
      </c>
      <c r="AG4" s="41" t="s">
        <v>84</v>
      </c>
      <c r="AH4" s="41" t="s">
        <v>85</v>
      </c>
      <c r="AI4" s="41" t="s">
        <v>86</v>
      </c>
      <c r="AJ4" s="41" t="s">
        <v>87</v>
      </c>
      <c r="AK4" s="41" t="s">
        <v>88</v>
      </c>
      <c r="AL4" s="41" t="s">
        <v>89</v>
      </c>
    </row>
    <row r="5" spans="1:38" x14ac:dyDescent="0.25">
      <c r="A5" s="3">
        <v>1</v>
      </c>
      <c r="B5" s="3" t="s">
        <v>110</v>
      </c>
      <c r="C5" s="3" t="s">
        <v>136</v>
      </c>
      <c r="D5" s="3"/>
      <c r="E5" s="3" t="s">
        <v>136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136</v>
      </c>
      <c r="D6" s="3"/>
      <c r="E6" s="3" t="s">
        <v>136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136</v>
      </c>
      <c r="D7" s="3"/>
      <c r="E7" s="3" t="s">
        <v>136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136</v>
      </c>
      <c r="D8" s="3"/>
      <c r="E8" s="3" t="s">
        <v>136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136</v>
      </c>
      <c r="D9" s="3"/>
      <c r="E9" s="3" t="s">
        <v>136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136</v>
      </c>
      <c r="D10" s="3"/>
      <c r="E10" s="3" t="s">
        <v>136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132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136</v>
      </c>
      <c r="D11" s="3"/>
      <c r="E11" s="3" t="s">
        <v>136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138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136</v>
      </c>
      <c r="D12" s="3"/>
      <c r="E12" s="3" t="s">
        <v>136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133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136</v>
      </c>
      <c r="D13" s="3"/>
      <c r="E13" s="3" t="s">
        <v>136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136</v>
      </c>
      <c r="D14" s="3"/>
      <c r="E14" s="3" t="s">
        <v>136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136</v>
      </c>
      <c r="D15" s="3"/>
      <c r="E15" s="3" t="s">
        <v>136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136</v>
      </c>
      <c r="D16" s="3"/>
      <c r="E16" s="3" t="s">
        <v>136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136</v>
      </c>
      <c r="D17" s="3"/>
      <c r="E17" s="3" t="s">
        <v>136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136</v>
      </c>
      <c r="D18" s="3"/>
      <c r="E18" s="3" t="s">
        <v>136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139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136</v>
      </c>
      <c r="D19" s="3"/>
      <c r="E19" s="3" t="s">
        <v>136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136</v>
      </c>
      <c r="D20" s="3"/>
      <c r="E20" s="3" t="s">
        <v>136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136</v>
      </c>
      <c r="D21" s="3"/>
      <c r="E21" s="3" t="s">
        <v>136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136</v>
      </c>
      <c r="D22" s="3"/>
      <c r="E22" s="3" t="s">
        <v>136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135</v>
      </c>
      <c r="O22" s="3"/>
      <c r="P22" s="3"/>
      <c r="Q22" s="3">
        <v>0.55400000000000005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136</v>
      </c>
      <c r="D23" s="3"/>
      <c r="E23" s="3" t="s">
        <v>136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141</v>
      </c>
      <c r="D24" s="3"/>
      <c r="E24" s="3" t="s">
        <v>141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141</v>
      </c>
      <c r="D25" s="3"/>
      <c r="E25" s="3" t="s">
        <v>141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141</v>
      </c>
      <c r="D26" s="3"/>
      <c r="E26" s="3" t="s">
        <v>141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141</v>
      </c>
      <c r="D27" s="3"/>
      <c r="E27" s="3" t="s">
        <v>141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141</v>
      </c>
      <c r="D28" s="3"/>
      <c r="E28" s="3" t="s">
        <v>141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141</v>
      </c>
      <c r="D29" s="3"/>
      <c r="E29" s="3" t="s">
        <v>141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132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141</v>
      </c>
      <c r="D30" s="3"/>
      <c r="E30" s="3" t="s">
        <v>141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143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141</v>
      </c>
      <c r="D31" s="3"/>
      <c r="E31" s="3" t="s">
        <v>141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133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141</v>
      </c>
      <c r="D32" s="3"/>
      <c r="E32" s="3" t="s">
        <v>141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141</v>
      </c>
      <c r="D33" s="3"/>
      <c r="E33" s="3" t="s">
        <v>141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141</v>
      </c>
      <c r="D34" s="3"/>
      <c r="E34" s="3" t="s">
        <v>141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141</v>
      </c>
      <c r="D35" s="3"/>
      <c r="E35" s="3" t="s">
        <v>141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141</v>
      </c>
      <c r="D36" s="3"/>
      <c r="E36" s="3" t="s">
        <v>141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141</v>
      </c>
      <c r="D37" s="3"/>
      <c r="E37" s="3" t="s">
        <v>141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139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141</v>
      </c>
      <c r="D38" s="3"/>
      <c r="E38" s="3" t="s">
        <v>141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141</v>
      </c>
      <c r="D39" s="3"/>
      <c r="E39" s="3" t="s">
        <v>141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141</v>
      </c>
      <c r="D40" s="3"/>
      <c r="E40" s="3" t="s">
        <v>141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141</v>
      </c>
      <c r="D41" s="3"/>
      <c r="E41" s="3" t="s">
        <v>141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135</v>
      </c>
      <c r="O41" s="3"/>
      <c r="P41" s="3"/>
      <c r="Q41" s="3">
        <v>0.63500000000000001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141</v>
      </c>
      <c r="D42" s="3"/>
      <c r="E42" s="3" t="s">
        <v>141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145</v>
      </c>
      <c r="D43" s="3"/>
      <c r="E43" s="3" t="s">
        <v>145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146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145</v>
      </c>
      <c r="D44" s="3"/>
      <c r="E44" s="3" t="s">
        <v>145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145</v>
      </c>
      <c r="D45" s="3"/>
      <c r="E45" s="3" t="s">
        <v>145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145</v>
      </c>
      <c r="D46" s="3"/>
      <c r="E46" s="3" t="s">
        <v>145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145</v>
      </c>
      <c r="D47" s="3"/>
      <c r="E47" s="3" t="s">
        <v>145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145</v>
      </c>
      <c r="D48" s="3"/>
      <c r="E48" s="3" t="s">
        <v>145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132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145</v>
      </c>
      <c r="D49" s="3"/>
      <c r="E49" s="3" t="s">
        <v>145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147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145</v>
      </c>
      <c r="D50" s="3"/>
      <c r="E50" s="3" t="s">
        <v>145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133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145</v>
      </c>
      <c r="D51" s="3"/>
      <c r="E51" s="3" t="s">
        <v>145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145</v>
      </c>
      <c r="D52" s="3"/>
      <c r="E52" s="3" t="s">
        <v>145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145</v>
      </c>
      <c r="D53" s="3"/>
      <c r="E53" s="3" t="s">
        <v>145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145</v>
      </c>
      <c r="D54" s="3"/>
      <c r="E54" s="3" t="s">
        <v>145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145</v>
      </c>
      <c r="D55" s="3"/>
      <c r="E55" s="3" t="s">
        <v>145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145</v>
      </c>
      <c r="D56" s="3"/>
      <c r="E56" s="3" t="s">
        <v>145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139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145</v>
      </c>
      <c r="D57" s="3"/>
      <c r="E57" s="3" t="s">
        <v>145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145</v>
      </c>
      <c r="D58" s="3"/>
      <c r="E58" s="3" t="s">
        <v>145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145</v>
      </c>
      <c r="D59" s="3"/>
      <c r="E59" s="3" t="s">
        <v>145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145</v>
      </c>
      <c r="D60" s="3"/>
      <c r="E60" s="3" t="s">
        <v>145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135</v>
      </c>
      <c r="O60" s="3"/>
      <c r="P60" s="3"/>
      <c r="Q60" s="3">
        <v>0.71599999999999997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145</v>
      </c>
      <c r="D61" s="3"/>
      <c r="E61" s="3" t="s">
        <v>145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148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149</v>
      </c>
      <c r="D62" s="3"/>
      <c r="E62" s="3" t="s">
        <v>149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150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149</v>
      </c>
      <c r="D63" s="3"/>
      <c r="E63" s="3" t="s">
        <v>149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149</v>
      </c>
      <c r="D64" s="3"/>
      <c r="E64" s="3" t="s">
        <v>149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149</v>
      </c>
      <c r="D65" s="3"/>
      <c r="E65" s="3" t="s">
        <v>149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149</v>
      </c>
      <c r="D66" s="3"/>
      <c r="E66" s="3" t="s">
        <v>149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149</v>
      </c>
      <c r="D67" s="3"/>
      <c r="E67" s="3" t="s">
        <v>149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132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149</v>
      </c>
      <c r="D68" s="3"/>
      <c r="E68" s="3" t="s">
        <v>149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149</v>
      </c>
      <c r="D69" s="3"/>
      <c r="E69" s="3" t="s">
        <v>149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133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149</v>
      </c>
      <c r="D70" s="3"/>
      <c r="E70" s="3" t="s">
        <v>149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149</v>
      </c>
      <c r="D71" s="3"/>
      <c r="E71" s="3" t="s">
        <v>149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149</v>
      </c>
      <c r="D72" s="3"/>
      <c r="E72" s="3" t="s">
        <v>149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149</v>
      </c>
      <c r="D73" s="3"/>
      <c r="E73" s="3" t="s">
        <v>149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149</v>
      </c>
      <c r="D74" s="3"/>
      <c r="E74" s="3" t="s">
        <v>149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149</v>
      </c>
      <c r="D75" s="3"/>
      <c r="E75" s="3" t="s">
        <v>149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139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149</v>
      </c>
      <c r="D76" s="3"/>
      <c r="E76" s="3" t="s">
        <v>149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149</v>
      </c>
      <c r="D77" s="3"/>
      <c r="E77" s="3" t="s">
        <v>149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149</v>
      </c>
      <c r="D78" s="3"/>
      <c r="E78" s="3" t="s">
        <v>149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149</v>
      </c>
      <c r="D79" s="3"/>
      <c r="E79" s="3" t="s">
        <v>149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135</v>
      </c>
      <c r="O79" s="3"/>
      <c r="P79" s="3"/>
      <c r="Q79" s="3">
        <v>0.79700000000000004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149</v>
      </c>
      <c r="D80" s="3"/>
      <c r="E80" s="3" t="s">
        <v>149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153</v>
      </c>
      <c r="D81" s="3"/>
      <c r="E81" s="3" t="s">
        <v>153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153</v>
      </c>
      <c r="D82" s="3"/>
      <c r="E82" s="3" t="s">
        <v>153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153</v>
      </c>
      <c r="D83" s="3"/>
      <c r="E83" s="3" t="s">
        <v>153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153</v>
      </c>
      <c r="D84" s="3"/>
      <c r="E84" s="3" t="s">
        <v>153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153</v>
      </c>
      <c r="D85" s="3"/>
      <c r="E85" s="3" t="s">
        <v>153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153</v>
      </c>
      <c r="D86" s="3"/>
      <c r="E86" s="3" t="s">
        <v>153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132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153</v>
      </c>
      <c r="D87" s="3"/>
      <c r="E87" s="3" t="s">
        <v>153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155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153</v>
      </c>
      <c r="D88" s="3"/>
      <c r="E88" s="3" t="s">
        <v>153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133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153</v>
      </c>
      <c r="D89" s="3"/>
      <c r="E89" s="3" t="s">
        <v>153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153</v>
      </c>
      <c r="D90" s="3"/>
      <c r="E90" s="3" t="s">
        <v>153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153</v>
      </c>
      <c r="D91" s="3"/>
      <c r="E91" s="3" t="s">
        <v>153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153</v>
      </c>
      <c r="D92" s="3"/>
      <c r="E92" s="3" t="s">
        <v>153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153</v>
      </c>
      <c r="D93" s="3"/>
      <c r="E93" s="3" t="s">
        <v>153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153</v>
      </c>
      <c r="D94" s="3"/>
      <c r="E94" s="3" t="s">
        <v>153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139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153</v>
      </c>
      <c r="D95" s="3"/>
      <c r="E95" s="3" t="s">
        <v>153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153</v>
      </c>
      <c r="D96" s="3"/>
      <c r="E96" s="3" t="s">
        <v>153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153</v>
      </c>
      <c r="D97" s="3"/>
      <c r="E97" s="3" t="s">
        <v>153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153</v>
      </c>
      <c r="D98" s="3"/>
      <c r="E98" s="3" t="s">
        <v>153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135</v>
      </c>
      <c r="O98" s="3"/>
      <c r="P98" s="3"/>
      <c r="Q98" s="3">
        <v>0.83799999999999997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153</v>
      </c>
      <c r="D99" s="3"/>
      <c r="E99" s="3" t="s">
        <v>153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157</v>
      </c>
      <c r="D100" s="3"/>
      <c r="E100" s="3" t="s">
        <v>157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157</v>
      </c>
      <c r="D101" s="3"/>
      <c r="E101" s="3" t="s">
        <v>157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157</v>
      </c>
      <c r="D102" s="3"/>
      <c r="E102" s="3" t="s">
        <v>157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157</v>
      </c>
      <c r="D103" s="3"/>
      <c r="E103" s="3" t="s">
        <v>157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157</v>
      </c>
      <c r="D104" s="3"/>
      <c r="E104" s="3" t="s">
        <v>157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157</v>
      </c>
      <c r="D105" s="3"/>
      <c r="E105" s="3" t="s">
        <v>157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132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157</v>
      </c>
      <c r="D106" s="3"/>
      <c r="E106" s="3" t="s">
        <v>157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159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157</v>
      </c>
      <c r="D107" s="3"/>
      <c r="E107" s="3" t="s">
        <v>157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133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157</v>
      </c>
      <c r="D108" s="3"/>
      <c r="E108" s="3" t="s">
        <v>157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157</v>
      </c>
      <c r="D109" s="3"/>
      <c r="E109" s="3" t="s">
        <v>157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157</v>
      </c>
      <c r="D110" s="3"/>
      <c r="E110" s="3" t="s">
        <v>157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157</v>
      </c>
      <c r="D111" s="3"/>
      <c r="E111" s="3" t="s">
        <v>157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157</v>
      </c>
      <c r="D112" s="3"/>
      <c r="E112" s="3" t="s">
        <v>157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157</v>
      </c>
      <c r="D113" s="3"/>
      <c r="E113" s="3" t="s">
        <v>157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139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157</v>
      </c>
      <c r="D114" s="3"/>
      <c r="E114" s="3" t="s">
        <v>157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157</v>
      </c>
      <c r="D115" s="3"/>
      <c r="E115" s="3" t="s">
        <v>157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157</v>
      </c>
      <c r="D116" s="3"/>
      <c r="E116" s="3" t="s">
        <v>157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157</v>
      </c>
      <c r="D117" s="3"/>
      <c r="E117" s="3" t="s">
        <v>157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135</v>
      </c>
      <c r="O117" s="3"/>
      <c r="P117" s="3"/>
      <c r="Q117" s="3">
        <v>0.878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157</v>
      </c>
      <c r="D118" s="3"/>
      <c r="E118" s="3" t="s">
        <v>157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160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161</v>
      </c>
      <c r="D119" s="3"/>
      <c r="E119" s="3" t="s">
        <v>161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162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161</v>
      </c>
      <c r="D120" s="3"/>
      <c r="E120" s="3" t="s">
        <v>161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161</v>
      </c>
      <c r="D121" s="3"/>
      <c r="E121" s="3" t="s">
        <v>161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161</v>
      </c>
      <c r="D122" s="3"/>
      <c r="E122" s="3" t="s">
        <v>161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161</v>
      </c>
      <c r="D123" s="3"/>
      <c r="E123" s="3" t="s">
        <v>161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161</v>
      </c>
      <c r="D124" s="3"/>
      <c r="E124" s="3" t="s">
        <v>161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132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161</v>
      </c>
      <c r="D125" s="3"/>
      <c r="E125" s="3" t="s">
        <v>161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161</v>
      </c>
      <c r="D126" s="3"/>
      <c r="E126" s="3" t="s">
        <v>161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133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161</v>
      </c>
      <c r="D127" s="3"/>
      <c r="E127" s="3" t="s">
        <v>161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161</v>
      </c>
      <c r="D128" s="3"/>
      <c r="E128" s="3" t="s">
        <v>161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161</v>
      </c>
      <c r="D129" s="3"/>
      <c r="E129" s="3" t="s">
        <v>161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161</v>
      </c>
      <c r="D130" s="3"/>
      <c r="E130" s="3" t="s">
        <v>161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161</v>
      </c>
      <c r="D131" s="3"/>
      <c r="E131" s="3" t="s">
        <v>161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161</v>
      </c>
      <c r="D132" s="3"/>
      <c r="E132" s="3" t="s">
        <v>161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139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161</v>
      </c>
      <c r="D133" s="3"/>
      <c r="E133" s="3" t="s">
        <v>161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161</v>
      </c>
      <c r="D134" s="3"/>
      <c r="E134" s="3" t="s">
        <v>161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161</v>
      </c>
      <c r="D135" s="3"/>
      <c r="E135" s="3" t="s">
        <v>161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161</v>
      </c>
      <c r="D136" s="3"/>
      <c r="E136" s="3" t="s">
        <v>161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135</v>
      </c>
      <c r="O136" s="3"/>
      <c r="P136" s="3"/>
      <c r="Q136" s="3">
        <v>0.95899999999999996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161</v>
      </c>
      <c r="D137" s="3"/>
      <c r="E137" s="3" t="s">
        <v>161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165</v>
      </c>
      <c r="D138" s="3"/>
      <c r="E138" s="3" t="s">
        <v>165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165</v>
      </c>
      <c r="D139" s="3"/>
      <c r="E139" s="3" t="s">
        <v>165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165</v>
      </c>
      <c r="D140" s="3"/>
      <c r="E140" s="3" t="s">
        <v>165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165</v>
      </c>
      <c r="D141" s="3"/>
      <c r="E141" s="3" t="s">
        <v>165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165</v>
      </c>
      <c r="D142" s="3"/>
      <c r="E142" s="3" t="s">
        <v>165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165</v>
      </c>
      <c r="D143" s="3"/>
      <c r="E143" s="3" t="s">
        <v>165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132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165</v>
      </c>
      <c r="D144" s="3"/>
      <c r="E144" s="3" t="s">
        <v>165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167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165</v>
      </c>
      <c r="D145" s="3"/>
      <c r="E145" s="3" t="s">
        <v>165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133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165</v>
      </c>
      <c r="D146" s="3"/>
      <c r="E146" s="3" t="s">
        <v>165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165</v>
      </c>
      <c r="D147" s="3"/>
      <c r="E147" s="3" t="s">
        <v>165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165</v>
      </c>
      <c r="D148" s="3"/>
      <c r="E148" s="3" t="s">
        <v>165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165</v>
      </c>
      <c r="D149" s="3"/>
      <c r="E149" s="3" t="s">
        <v>165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165</v>
      </c>
      <c r="D150" s="3"/>
      <c r="E150" s="3" t="s">
        <v>165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165</v>
      </c>
      <c r="D151" s="3"/>
      <c r="E151" s="3" t="s">
        <v>165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139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165</v>
      </c>
      <c r="D152" s="3"/>
      <c r="E152" s="3" t="s">
        <v>165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165</v>
      </c>
      <c r="D153" s="3"/>
      <c r="E153" s="3" t="s">
        <v>165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165</v>
      </c>
      <c r="D154" s="3"/>
      <c r="E154" s="3" t="s">
        <v>165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165</v>
      </c>
      <c r="D155" s="3"/>
      <c r="E155" s="3" t="s">
        <v>165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135</v>
      </c>
      <c r="O155" s="3"/>
      <c r="P155" s="3"/>
      <c r="Q155" s="3">
        <v>1.04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165</v>
      </c>
      <c r="D156" s="3"/>
      <c r="E156" s="3" t="s">
        <v>165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168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169</v>
      </c>
      <c r="D157" s="3"/>
      <c r="E157" s="3" t="s">
        <v>169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170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169</v>
      </c>
      <c r="D158" s="3"/>
      <c r="E158" s="3" t="s">
        <v>169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169</v>
      </c>
      <c r="D159" s="3"/>
      <c r="E159" s="3" t="s">
        <v>169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169</v>
      </c>
      <c r="D160" s="3"/>
      <c r="E160" s="3" t="s">
        <v>169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169</v>
      </c>
      <c r="D161" s="3"/>
      <c r="E161" s="3" t="s">
        <v>169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169</v>
      </c>
      <c r="D162" s="3"/>
      <c r="E162" s="3" t="s">
        <v>169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132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169</v>
      </c>
      <c r="D163" s="3"/>
      <c r="E163" s="3" t="s">
        <v>169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171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169</v>
      </c>
      <c r="D164" s="3"/>
      <c r="E164" s="3" t="s">
        <v>169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133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169</v>
      </c>
      <c r="D165" s="3"/>
      <c r="E165" s="3" t="s">
        <v>169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169</v>
      </c>
      <c r="D166" s="3"/>
      <c r="E166" s="3" t="s">
        <v>169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169</v>
      </c>
      <c r="D167" s="3"/>
      <c r="E167" s="3" t="s">
        <v>169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169</v>
      </c>
      <c r="D168" s="3"/>
      <c r="E168" s="3" t="s">
        <v>169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169</v>
      </c>
      <c r="D169" s="3"/>
      <c r="E169" s="3" t="s">
        <v>169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169</v>
      </c>
      <c r="D170" s="3"/>
      <c r="E170" s="3" t="s">
        <v>169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139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169</v>
      </c>
      <c r="D171" s="3"/>
      <c r="E171" s="3" t="s">
        <v>169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169</v>
      </c>
      <c r="D172" s="3"/>
      <c r="E172" s="3" t="s">
        <v>169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169</v>
      </c>
      <c r="D173" s="3"/>
      <c r="E173" s="3" t="s">
        <v>169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169</v>
      </c>
      <c r="D174" s="3"/>
      <c r="E174" s="3" t="s">
        <v>169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135</v>
      </c>
      <c r="O174" s="3"/>
      <c r="P174" s="3"/>
      <c r="Q174" s="3">
        <v>0.55400000000000005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169</v>
      </c>
      <c r="D175" s="3"/>
      <c r="E175" s="3" t="s">
        <v>169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173</v>
      </c>
      <c r="D176" s="3"/>
      <c r="E176" s="3" t="s">
        <v>173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173</v>
      </c>
      <c r="D177" s="3"/>
      <c r="E177" s="3" t="s">
        <v>173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173</v>
      </c>
      <c r="D178" s="3"/>
      <c r="E178" s="3" t="s">
        <v>173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173</v>
      </c>
      <c r="D179" s="3"/>
      <c r="E179" s="3" t="s">
        <v>173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173</v>
      </c>
      <c r="D180" s="3"/>
      <c r="E180" s="3" t="s">
        <v>173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173</v>
      </c>
      <c r="D181" s="3"/>
      <c r="E181" s="3" t="s">
        <v>173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132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173</v>
      </c>
      <c r="D182" s="3"/>
      <c r="E182" s="3" t="s">
        <v>173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173</v>
      </c>
      <c r="D183" s="3"/>
      <c r="E183" s="3" t="s">
        <v>173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133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173</v>
      </c>
      <c r="D184" s="3"/>
      <c r="E184" s="3" t="s">
        <v>173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173</v>
      </c>
      <c r="D185" s="3"/>
      <c r="E185" s="3" t="s">
        <v>173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173</v>
      </c>
      <c r="D186" s="3"/>
      <c r="E186" s="3" t="s">
        <v>173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173</v>
      </c>
      <c r="D187" s="3"/>
      <c r="E187" s="3" t="s">
        <v>173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173</v>
      </c>
      <c r="D188" s="3"/>
      <c r="E188" s="3" t="s">
        <v>173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173</v>
      </c>
      <c r="D189" s="3"/>
      <c r="E189" s="3" t="s">
        <v>173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139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173</v>
      </c>
      <c r="D190" s="3"/>
      <c r="E190" s="3" t="s">
        <v>173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173</v>
      </c>
      <c r="D191" s="3"/>
      <c r="E191" s="3" t="s">
        <v>173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173</v>
      </c>
      <c r="D192" s="3"/>
      <c r="E192" s="3" t="s">
        <v>173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173</v>
      </c>
      <c r="D193" s="3"/>
      <c r="E193" s="3" t="s">
        <v>173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135</v>
      </c>
      <c r="O193" s="3"/>
      <c r="P193" s="3"/>
      <c r="Q193" s="3">
        <v>0.63500000000000001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173</v>
      </c>
      <c r="D194" s="3"/>
      <c r="E194" s="3" t="s">
        <v>173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176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177</v>
      </c>
      <c r="D195" s="3"/>
      <c r="E195" s="3" t="s">
        <v>177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178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177</v>
      </c>
      <c r="D196" s="3"/>
      <c r="E196" s="3" t="s">
        <v>177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177</v>
      </c>
      <c r="D197" s="3"/>
      <c r="E197" s="3" t="s">
        <v>177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177</v>
      </c>
      <c r="D198" s="3"/>
      <c r="E198" s="3" t="s">
        <v>177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177</v>
      </c>
      <c r="D199" s="3"/>
      <c r="E199" s="3" t="s">
        <v>177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177</v>
      </c>
      <c r="D200" s="3"/>
      <c r="E200" s="3" t="s">
        <v>177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132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177</v>
      </c>
      <c r="D201" s="3"/>
      <c r="E201" s="3" t="s">
        <v>177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179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177</v>
      </c>
      <c r="D202" s="3"/>
      <c r="E202" s="3" t="s">
        <v>177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133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177</v>
      </c>
      <c r="D203" s="3"/>
      <c r="E203" s="3" t="s">
        <v>177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177</v>
      </c>
      <c r="D204" s="3"/>
      <c r="E204" s="3" t="s">
        <v>177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177</v>
      </c>
      <c r="D205" s="3"/>
      <c r="E205" s="3" t="s">
        <v>177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177</v>
      </c>
      <c r="D206" s="3"/>
      <c r="E206" s="3" t="s">
        <v>177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177</v>
      </c>
      <c r="D207" s="3"/>
      <c r="E207" s="3" t="s">
        <v>177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177</v>
      </c>
      <c r="D208" s="3"/>
      <c r="E208" s="3" t="s">
        <v>177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139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177</v>
      </c>
      <c r="D209" s="3"/>
      <c r="E209" s="3" t="s">
        <v>177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177</v>
      </c>
      <c r="D210" s="3"/>
      <c r="E210" s="3" t="s">
        <v>177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177</v>
      </c>
      <c r="D211" s="3"/>
      <c r="E211" s="3" t="s">
        <v>177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177</v>
      </c>
      <c r="D212" s="3"/>
      <c r="E212" s="3" t="s">
        <v>177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135</v>
      </c>
      <c r="O212" s="3"/>
      <c r="P212" s="3"/>
      <c r="Q212" s="3">
        <v>0.71599999999999997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177</v>
      </c>
      <c r="D213" s="3"/>
      <c r="E213" s="3" t="s">
        <v>177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180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181</v>
      </c>
      <c r="D214" s="3"/>
      <c r="E214" s="3" t="s">
        <v>181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182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181</v>
      </c>
      <c r="D215" s="3"/>
      <c r="E215" s="3" t="s">
        <v>181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181</v>
      </c>
      <c r="D216" s="3"/>
      <c r="E216" s="3" t="s">
        <v>181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181</v>
      </c>
      <c r="D217" s="3"/>
      <c r="E217" s="3" t="s">
        <v>181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181</v>
      </c>
      <c r="D218" s="3"/>
      <c r="E218" s="3" t="s">
        <v>181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181</v>
      </c>
      <c r="D219" s="3"/>
      <c r="E219" s="3" t="s">
        <v>181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132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181</v>
      </c>
      <c r="D220" s="3"/>
      <c r="E220" s="3" t="s">
        <v>181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181</v>
      </c>
      <c r="D221" s="3"/>
      <c r="E221" s="3" t="s">
        <v>181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133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181</v>
      </c>
      <c r="D222" s="3"/>
      <c r="E222" s="3" t="s">
        <v>181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181</v>
      </c>
      <c r="D223" s="3"/>
      <c r="E223" s="3" t="s">
        <v>181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181</v>
      </c>
      <c r="D224" s="3"/>
      <c r="E224" s="3" t="s">
        <v>181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181</v>
      </c>
      <c r="D225" s="3"/>
      <c r="E225" s="3" t="s">
        <v>181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181</v>
      </c>
      <c r="D226" s="3"/>
      <c r="E226" s="3" t="s">
        <v>181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181</v>
      </c>
      <c r="D227" s="3"/>
      <c r="E227" s="3" t="s">
        <v>181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139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181</v>
      </c>
      <c r="D228" s="3"/>
      <c r="E228" s="3" t="s">
        <v>181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181</v>
      </c>
      <c r="D229" s="3"/>
      <c r="E229" s="3" t="s">
        <v>181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181</v>
      </c>
      <c r="D230" s="3"/>
      <c r="E230" s="3" t="s">
        <v>181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181</v>
      </c>
      <c r="D231" s="3"/>
      <c r="E231" s="3" t="s">
        <v>181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135</v>
      </c>
      <c r="O231" s="3"/>
      <c r="P231" s="3"/>
      <c r="Q231" s="3">
        <v>0.79700000000000004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181</v>
      </c>
      <c r="D232" s="3"/>
      <c r="E232" s="3" t="s">
        <v>181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185</v>
      </c>
      <c r="D233" s="3"/>
      <c r="E233" s="3" t="s">
        <v>185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186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185</v>
      </c>
      <c r="D234" s="3"/>
      <c r="E234" s="3" t="s">
        <v>185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185</v>
      </c>
      <c r="D235" s="3"/>
      <c r="E235" s="3" t="s">
        <v>185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185</v>
      </c>
      <c r="D236" s="3"/>
      <c r="E236" s="3" t="s">
        <v>185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185</v>
      </c>
      <c r="D237" s="3"/>
      <c r="E237" s="3" t="s">
        <v>185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185</v>
      </c>
      <c r="D238" s="3"/>
      <c r="E238" s="3" t="s">
        <v>185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132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185</v>
      </c>
      <c r="D239" s="3"/>
      <c r="E239" s="3" t="s">
        <v>185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187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185</v>
      </c>
      <c r="D240" s="3"/>
      <c r="E240" s="3" t="s">
        <v>185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133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185</v>
      </c>
      <c r="D241" s="3"/>
      <c r="E241" s="3" t="s">
        <v>185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185</v>
      </c>
      <c r="D242" s="3"/>
      <c r="E242" s="3" t="s">
        <v>185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185</v>
      </c>
      <c r="D243" s="3"/>
      <c r="E243" s="3" t="s">
        <v>185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185</v>
      </c>
      <c r="D244" s="3"/>
      <c r="E244" s="3" t="s">
        <v>185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185</v>
      </c>
      <c r="D245" s="3"/>
      <c r="E245" s="3" t="s">
        <v>185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185</v>
      </c>
      <c r="D246" s="3"/>
      <c r="E246" s="3" t="s">
        <v>185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139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185</v>
      </c>
      <c r="D247" s="3"/>
      <c r="E247" s="3" t="s">
        <v>185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185</v>
      </c>
      <c r="D248" s="3"/>
      <c r="E248" s="3" t="s">
        <v>185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185</v>
      </c>
      <c r="D249" s="3"/>
      <c r="E249" s="3" t="s">
        <v>185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185</v>
      </c>
      <c r="D250" s="3"/>
      <c r="E250" s="3" t="s">
        <v>185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135</v>
      </c>
      <c r="O250" s="3"/>
      <c r="P250" s="3"/>
      <c r="Q250" s="3">
        <v>0.83799999999999997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185</v>
      </c>
      <c r="D251" s="3"/>
      <c r="E251" s="3" t="s">
        <v>185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188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189</v>
      </c>
      <c r="D252" s="3"/>
      <c r="E252" s="3" t="s">
        <v>189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190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189</v>
      </c>
      <c r="D253" s="3"/>
      <c r="E253" s="3" t="s">
        <v>189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189</v>
      </c>
      <c r="D254" s="3"/>
      <c r="E254" s="3" t="s">
        <v>189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189</v>
      </c>
      <c r="D255" s="3"/>
      <c r="E255" s="3" t="s">
        <v>189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189</v>
      </c>
      <c r="D256" s="3"/>
      <c r="E256" s="3" t="s">
        <v>189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189</v>
      </c>
      <c r="D257" s="3"/>
      <c r="E257" s="3" t="s">
        <v>189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132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189</v>
      </c>
      <c r="D258" s="3"/>
      <c r="E258" s="3" t="s">
        <v>189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191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189</v>
      </c>
      <c r="D259" s="3"/>
      <c r="E259" s="3" t="s">
        <v>189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133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189</v>
      </c>
      <c r="D260" s="3"/>
      <c r="E260" s="3" t="s">
        <v>189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189</v>
      </c>
      <c r="D261" s="3"/>
      <c r="E261" s="3" t="s">
        <v>189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189</v>
      </c>
      <c r="D262" s="3"/>
      <c r="E262" s="3" t="s">
        <v>189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189</v>
      </c>
      <c r="D263" s="3"/>
      <c r="E263" s="3" t="s">
        <v>189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189</v>
      </c>
      <c r="D264" s="3"/>
      <c r="E264" s="3" t="s">
        <v>189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189</v>
      </c>
      <c r="D265" s="3"/>
      <c r="E265" s="3" t="s">
        <v>189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139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189</v>
      </c>
      <c r="D266" s="3"/>
      <c r="E266" s="3" t="s">
        <v>189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189</v>
      </c>
      <c r="D267" s="3"/>
      <c r="E267" s="3" t="s">
        <v>189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189</v>
      </c>
      <c r="D268" s="3"/>
      <c r="E268" s="3" t="s">
        <v>189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189</v>
      </c>
      <c r="D269" s="3"/>
      <c r="E269" s="3" t="s">
        <v>189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135</v>
      </c>
      <c r="O269" s="3"/>
      <c r="P269" s="3"/>
      <c r="Q269" s="3">
        <v>0.878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189</v>
      </c>
      <c r="D270" s="3"/>
      <c r="E270" s="3" t="s">
        <v>189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192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193</v>
      </c>
      <c r="D271" s="3"/>
      <c r="E271" s="3" t="s">
        <v>193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193</v>
      </c>
      <c r="D272" s="3"/>
      <c r="E272" s="3" t="s">
        <v>193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193</v>
      </c>
      <c r="D273" s="3"/>
      <c r="E273" s="3" t="s">
        <v>193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193</v>
      </c>
      <c r="D274" s="3"/>
      <c r="E274" s="3" t="s">
        <v>193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193</v>
      </c>
      <c r="D275" s="3"/>
      <c r="E275" s="3" t="s">
        <v>193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193</v>
      </c>
      <c r="D276" s="3"/>
      <c r="E276" s="3" t="s">
        <v>193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132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193</v>
      </c>
      <c r="D277" s="3"/>
      <c r="E277" s="3" t="s">
        <v>193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193</v>
      </c>
      <c r="D278" s="3"/>
      <c r="E278" s="3" t="s">
        <v>193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133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193</v>
      </c>
      <c r="D279" s="3"/>
      <c r="E279" s="3" t="s">
        <v>193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193</v>
      </c>
      <c r="D280" s="3"/>
      <c r="E280" s="3" t="s">
        <v>193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193</v>
      </c>
      <c r="D281" s="3"/>
      <c r="E281" s="3" t="s">
        <v>193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193</v>
      </c>
      <c r="D282" s="3"/>
      <c r="E282" s="3" t="s">
        <v>193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193</v>
      </c>
      <c r="D283" s="3"/>
      <c r="E283" s="3" t="s">
        <v>193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193</v>
      </c>
      <c r="D284" s="3"/>
      <c r="E284" s="3" t="s">
        <v>193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139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193</v>
      </c>
      <c r="D285" s="3"/>
      <c r="E285" s="3" t="s">
        <v>193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193</v>
      </c>
      <c r="D286" s="3"/>
      <c r="E286" s="3" t="s">
        <v>193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193</v>
      </c>
      <c r="D287" s="3"/>
      <c r="E287" s="3" t="s">
        <v>193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193</v>
      </c>
      <c r="D288" s="3"/>
      <c r="E288" s="3" t="s">
        <v>193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135</v>
      </c>
      <c r="O288" s="3"/>
      <c r="P288" s="3"/>
      <c r="Q288" s="3">
        <v>0.95899999999999996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193</v>
      </c>
      <c r="D289" s="3"/>
      <c r="E289" s="3" t="s">
        <v>193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197</v>
      </c>
      <c r="D290" s="3"/>
      <c r="E290" s="3" t="s">
        <v>197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197</v>
      </c>
      <c r="D291" s="3"/>
      <c r="E291" s="3" t="s">
        <v>197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197</v>
      </c>
      <c r="D292" s="3"/>
      <c r="E292" s="3" t="s">
        <v>197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197</v>
      </c>
      <c r="D293" s="3"/>
      <c r="E293" s="3" t="s">
        <v>197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197</v>
      </c>
      <c r="D294" s="3"/>
      <c r="E294" s="3" t="s">
        <v>197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197</v>
      </c>
      <c r="D295" s="3"/>
      <c r="E295" s="3" t="s">
        <v>197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132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197</v>
      </c>
      <c r="D296" s="3"/>
      <c r="E296" s="3" t="s">
        <v>197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199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197</v>
      </c>
      <c r="D297" s="3"/>
      <c r="E297" s="3" t="s">
        <v>197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133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197</v>
      </c>
      <c r="D298" s="3"/>
      <c r="E298" s="3" t="s">
        <v>197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197</v>
      </c>
      <c r="D299" s="3"/>
      <c r="E299" s="3" t="s">
        <v>197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197</v>
      </c>
      <c r="D300" s="3"/>
      <c r="E300" s="3" t="s">
        <v>197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197</v>
      </c>
      <c r="D301" s="3"/>
      <c r="E301" s="3" t="s">
        <v>197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197</v>
      </c>
      <c r="D302" s="3"/>
      <c r="E302" s="3" t="s">
        <v>197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197</v>
      </c>
      <c r="D303" s="3"/>
      <c r="E303" s="3" t="s">
        <v>197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139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197</v>
      </c>
      <c r="D304" s="3"/>
      <c r="E304" s="3" t="s">
        <v>197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197</v>
      </c>
      <c r="D305" s="3"/>
      <c r="E305" s="3" t="s">
        <v>197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197</v>
      </c>
      <c r="D306" s="3"/>
      <c r="E306" s="3" t="s">
        <v>197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197</v>
      </c>
      <c r="D307" s="3"/>
      <c r="E307" s="3" t="s">
        <v>197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135</v>
      </c>
      <c r="O307" s="3"/>
      <c r="P307" s="3"/>
      <c r="Q307" s="3">
        <v>1.04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197</v>
      </c>
      <c r="D308" s="3"/>
      <c r="E308" s="3" t="s">
        <v>197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200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201</v>
      </c>
      <c r="D309" s="3"/>
      <c r="E309" s="3" t="s">
        <v>201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201</v>
      </c>
      <c r="D310" s="3"/>
      <c r="E310" s="3" t="s">
        <v>201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201</v>
      </c>
      <c r="D311" s="3"/>
      <c r="E311" s="3" t="s">
        <v>201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201</v>
      </c>
      <c r="D312" s="3"/>
      <c r="E312" s="3" t="s">
        <v>201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201</v>
      </c>
      <c r="D313" s="3"/>
      <c r="E313" s="3" t="s">
        <v>201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201</v>
      </c>
      <c r="D314" s="3"/>
      <c r="E314" s="3" t="s">
        <v>201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132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201</v>
      </c>
      <c r="D315" s="3"/>
      <c r="E315" s="3" t="s">
        <v>201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203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201</v>
      </c>
      <c r="D316" s="3"/>
      <c r="E316" s="3" t="s">
        <v>201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133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201</v>
      </c>
      <c r="D317" s="3"/>
      <c r="E317" s="3" t="s">
        <v>201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201</v>
      </c>
      <c r="D318" s="3"/>
      <c r="E318" s="3" t="s">
        <v>201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201</v>
      </c>
      <c r="D319" s="3"/>
      <c r="E319" s="3" t="s">
        <v>201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201</v>
      </c>
      <c r="D320" s="3"/>
      <c r="E320" s="3" t="s">
        <v>201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201</v>
      </c>
      <c r="D321" s="3"/>
      <c r="E321" s="3" t="s">
        <v>201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201</v>
      </c>
      <c r="D322" s="3"/>
      <c r="E322" s="3" t="s">
        <v>201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139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201</v>
      </c>
      <c r="D323" s="3"/>
      <c r="E323" s="3" t="s">
        <v>201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201</v>
      </c>
      <c r="D324" s="3"/>
      <c r="E324" s="3" t="s">
        <v>201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201</v>
      </c>
      <c r="D325" s="3"/>
      <c r="E325" s="3" t="s">
        <v>201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201</v>
      </c>
      <c r="D326" s="3"/>
      <c r="E326" s="3" t="s">
        <v>201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135</v>
      </c>
      <c r="O326" s="3"/>
      <c r="P326" s="3"/>
      <c r="Q326" s="3">
        <v>0.55400000000000005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201</v>
      </c>
      <c r="D327" s="3"/>
      <c r="E327" s="3" t="s">
        <v>201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204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205</v>
      </c>
      <c r="D328" s="3"/>
      <c r="E328" s="3" t="s">
        <v>205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205</v>
      </c>
      <c r="D329" s="3"/>
      <c r="E329" s="3" t="s">
        <v>205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205</v>
      </c>
      <c r="D330" s="3"/>
      <c r="E330" s="3" t="s">
        <v>205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205</v>
      </c>
      <c r="D331" s="3"/>
      <c r="E331" s="3" t="s">
        <v>205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205</v>
      </c>
      <c r="D332" s="3"/>
      <c r="E332" s="3" t="s">
        <v>205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205</v>
      </c>
      <c r="D333" s="3"/>
      <c r="E333" s="3" t="s">
        <v>205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132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205</v>
      </c>
      <c r="D334" s="3"/>
      <c r="E334" s="3" t="s">
        <v>205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207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205</v>
      </c>
      <c r="D335" s="3"/>
      <c r="E335" s="3" t="s">
        <v>205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133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205</v>
      </c>
      <c r="D336" s="3"/>
      <c r="E336" s="3" t="s">
        <v>205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205</v>
      </c>
      <c r="D337" s="3"/>
      <c r="E337" s="3" t="s">
        <v>205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205</v>
      </c>
      <c r="D338" s="3"/>
      <c r="E338" s="3" t="s">
        <v>205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205</v>
      </c>
      <c r="D339" s="3"/>
      <c r="E339" s="3" t="s">
        <v>205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205</v>
      </c>
      <c r="D340" s="3"/>
      <c r="E340" s="3" t="s">
        <v>205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205</v>
      </c>
      <c r="D341" s="3"/>
      <c r="E341" s="3" t="s">
        <v>205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139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205</v>
      </c>
      <c r="D342" s="3"/>
      <c r="E342" s="3" t="s">
        <v>205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205</v>
      </c>
      <c r="D343" s="3"/>
      <c r="E343" s="3" t="s">
        <v>205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205</v>
      </c>
      <c r="D344" s="3"/>
      <c r="E344" s="3" t="s">
        <v>205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205</v>
      </c>
      <c r="D345" s="3"/>
      <c r="E345" s="3" t="s">
        <v>205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135</v>
      </c>
      <c r="O345" s="3"/>
      <c r="P345" s="3"/>
      <c r="Q345" s="3">
        <v>0.63500000000000001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205</v>
      </c>
      <c r="D346" s="3"/>
      <c r="E346" s="3" t="s">
        <v>205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209</v>
      </c>
      <c r="D347" s="3"/>
      <c r="E347" s="3" t="s">
        <v>209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210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209</v>
      </c>
      <c r="D348" s="3"/>
      <c r="E348" s="3" t="s">
        <v>209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209</v>
      </c>
      <c r="D349" s="3"/>
      <c r="E349" s="3" t="s">
        <v>209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209</v>
      </c>
      <c r="D350" s="3"/>
      <c r="E350" s="3" t="s">
        <v>209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209</v>
      </c>
      <c r="D351" s="3"/>
      <c r="E351" s="3" t="s">
        <v>209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209</v>
      </c>
      <c r="D352" s="3"/>
      <c r="E352" s="3" t="s">
        <v>209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132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209</v>
      </c>
      <c r="D353" s="3"/>
      <c r="E353" s="3" t="s">
        <v>209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209</v>
      </c>
      <c r="D354" s="3"/>
      <c r="E354" s="3" t="s">
        <v>209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133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209</v>
      </c>
      <c r="D355" s="3"/>
      <c r="E355" s="3" t="s">
        <v>209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209</v>
      </c>
      <c r="D356" s="3"/>
      <c r="E356" s="3" t="s">
        <v>209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209</v>
      </c>
      <c r="D357" s="3"/>
      <c r="E357" s="3" t="s">
        <v>209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209</v>
      </c>
      <c r="D358" s="3"/>
      <c r="E358" s="3" t="s">
        <v>209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209</v>
      </c>
      <c r="D359" s="3"/>
      <c r="E359" s="3" t="s">
        <v>209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209</v>
      </c>
      <c r="D360" s="3"/>
      <c r="E360" s="3" t="s">
        <v>209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139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209</v>
      </c>
      <c r="D361" s="3"/>
      <c r="E361" s="3" t="s">
        <v>209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209</v>
      </c>
      <c r="D362" s="3"/>
      <c r="E362" s="3" t="s">
        <v>209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209</v>
      </c>
      <c r="D363" s="3"/>
      <c r="E363" s="3" t="s">
        <v>209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209</v>
      </c>
      <c r="D364" s="3"/>
      <c r="E364" s="3" t="s">
        <v>209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135</v>
      </c>
      <c r="O364" s="3"/>
      <c r="P364" s="3"/>
      <c r="Q364" s="3">
        <v>0.71599999999999997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209</v>
      </c>
      <c r="D365" s="3"/>
      <c r="E365" s="3" t="s">
        <v>209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213</v>
      </c>
      <c r="D366" s="3"/>
      <c r="E366" s="3" t="s">
        <v>213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214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213</v>
      </c>
      <c r="D367" s="3"/>
      <c r="E367" s="3" t="s">
        <v>213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213</v>
      </c>
      <c r="D368" s="3"/>
      <c r="E368" s="3" t="s">
        <v>213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213</v>
      </c>
      <c r="D369" s="3"/>
      <c r="E369" s="3" t="s">
        <v>213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213</v>
      </c>
      <c r="D370" s="3"/>
      <c r="E370" s="3" t="s">
        <v>213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213</v>
      </c>
      <c r="D371" s="3"/>
      <c r="E371" s="3" t="s">
        <v>213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132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213</v>
      </c>
      <c r="D372" s="3"/>
      <c r="E372" s="3" t="s">
        <v>213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215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213</v>
      </c>
      <c r="D373" s="3"/>
      <c r="E373" s="3" t="s">
        <v>213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133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213</v>
      </c>
      <c r="D374" s="3"/>
      <c r="E374" s="3" t="s">
        <v>213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213</v>
      </c>
      <c r="D375" s="3"/>
      <c r="E375" s="3" t="s">
        <v>213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213</v>
      </c>
      <c r="D376" s="3"/>
      <c r="E376" s="3" t="s">
        <v>213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213</v>
      </c>
      <c r="D377" s="3"/>
      <c r="E377" s="3" t="s">
        <v>213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213</v>
      </c>
      <c r="D378" s="3"/>
      <c r="E378" s="3" t="s">
        <v>213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213</v>
      </c>
      <c r="D379" s="3"/>
      <c r="E379" s="3" t="s">
        <v>213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139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213</v>
      </c>
      <c r="D380" s="3"/>
      <c r="E380" s="3" t="s">
        <v>213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213</v>
      </c>
      <c r="D381" s="3"/>
      <c r="E381" s="3" t="s">
        <v>213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213</v>
      </c>
      <c r="D382" s="3"/>
      <c r="E382" s="3" t="s">
        <v>213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213</v>
      </c>
      <c r="D383" s="3"/>
      <c r="E383" s="3" t="s">
        <v>213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135</v>
      </c>
      <c r="O383" s="3"/>
      <c r="P383" s="3"/>
      <c r="Q383" s="3">
        <v>0.79700000000000004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213</v>
      </c>
      <c r="D384" s="3"/>
      <c r="E384" s="3" t="s">
        <v>213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216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217</v>
      </c>
      <c r="D385" s="3"/>
      <c r="E385" s="3" t="s">
        <v>217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217</v>
      </c>
      <c r="D386" s="3"/>
      <c r="E386" s="3" t="s">
        <v>217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217</v>
      </c>
      <c r="D387" s="3"/>
      <c r="E387" s="3" t="s">
        <v>217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217</v>
      </c>
      <c r="D388" s="3"/>
      <c r="E388" s="3" t="s">
        <v>217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217</v>
      </c>
      <c r="D389" s="3"/>
      <c r="E389" s="3" t="s">
        <v>217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217</v>
      </c>
      <c r="D390" s="3"/>
      <c r="E390" s="3" t="s">
        <v>217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132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217</v>
      </c>
      <c r="D391" s="3"/>
      <c r="E391" s="3" t="s">
        <v>217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217</v>
      </c>
      <c r="D392" s="3"/>
      <c r="E392" s="3" t="s">
        <v>217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133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217</v>
      </c>
      <c r="D393" s="3"/>
      <c r="E393" s="3" t="s">
        <v>217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217</v>
      </c>
      <c r="D394" s="3"/>
      <c r="E394" s="3" t="s">
        <v>217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217</v>
      </c>
      <c r="D395" s="3"/>
      <c r="E395" s="3" t="s">
        <v>217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217</v>
      </c>
      <c r="D396" s="3"/>
      <c r="E396" s="3" t="s">
        <v>217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217</v>
      </c>
      <c r="D397" s="3"/>
      <c r="E397" s="3" t="s">
        <v>217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217</v>
      </c>
      <c r="D398" s="3"/>
      <c r="E398" s="3" t="s">
        <v>217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139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217</v>
      </c>
      <c r="D399" s="3"/>
      <c r="E399" s="3" t="s">
        <v>217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217</v>
      </c>
      <c r="D400" s="3"/>
      <c r="E400" s="3" t="s">
        <v>217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217</v>
      </c>
      <c r="D401" s="3"/>
      <c r="E401" s="3" t="s">
        <v>217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217</v>
      </c>
      <c r="D402" s="3"/>
      <c r="E402" s="3" t="s">
        <v>217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135</v>
      </c>
      <c r="O402" s="3"/>
      <c r="P402" s="3"/>
      <c r="Q402" s="3">
        <v>0.83799999999999997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217</v>
      </c>
      <c r="D403" s="3"/>
      <c r="E403" s="3" t="s">
        <v>217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220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221</v>
      </c>
      <c r="D404" s="3"/>
      <c r="E404" s="3" t="s">
        <v>221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221</v>
      </c>
      <c r="D405" s="3"/>
      <c r="E405" s="3" t="s">
        <v>221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221</v>
      </c>
      <c r="D406" s="3"/>
      <c r="E406" s="3" t="s">
        <v>221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221</v>
      </c>
      <c r="D407" s="3"/>
      <c r="E407" s="3" t="s">
        <v>221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221</v>
      </c>
      <c r="D408" s="3"/>
      <c r="E408" s="3" t="s">
        <v>221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221</v>
      </c>
      <c r="D409" s="3"/>
      <c r="E409" s="3" t="s">
        <v>221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132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221</v>
      </c>
      <c r="D410" s="3"/>
      <c r="E410" s="3" t="s">
        <v>221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221</v>
      </c>
      <c r="D411" s="3"/>
      <c r="E411" s="3" t="s">
        <v>221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133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221</v>
      </c>
      <c r="D412" s="3"/>
      <c r="E412" s="3" t="s">
        <v>221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221</v>
      </c>
      <c r="D413" s="3"/>
      <c r="E413" s="3" t="s">
        <v>221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221</v>
      </c>
      <c r="D414" s="3"/>
      <c r="E414" s="3" t="s">
        <v>221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221</v>
      </c>
      <c r="D415" s="3"/>
      <c r="E415" s="3" t="s">
        <v>221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221</v>
      </c>
      <c r="D416" s="3"/>
      <c r="E416" s="3" t="s">
        <v>221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221</v>
      </c>
      <c r="D417" s="3"/>
      <c r="E417" s="3" t="s">
        <v>221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139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221</v>
      </c>
      <c r="D418" s="3"/>
      <c r="E418" s="3" t="s">
        <v>221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221</v>
      </c>
      <c r="D419" s="3"/>
      <c r="E419" s="3" t="s">
        <v>221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221</v>
      </c>
      <c r="D420" s="3"/>
      <c r="E420" s="3" t="s">
        <v>221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221</v>
      </c>
      <c r="D421" s="3"/>
      <c r="E421" s="3" t="s">
        <v>221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135</v>
      </c>
      <c r="O421" s="3"/>
      <c r="P421" s="3"/>
      <c r="Q421" s="3">
        <v>0.878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221</v>
      </c>
      <c r="D422" s="3"/>
      <c r="E422" s="3" t="s">
        <v>221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224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225</v>
      </c>
      <c r="D423" s="3"/>
      <c r="E423" s="3" t="s">
        <v>225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225</v>
      </c>
      <c r="D424" s="3"/>
      <c r="E424" s="3" t="s">
        <v>225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225</v>
      </c>
      <c r="D425" s="3"/>
      <c r="E425" s="3" t="s">
        <v>225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225</v>
      </c>
      <c r="D426" s="3"/>
      <c r="E426" s="3" t="s">
        <v>225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225</v>
      </c>
      <c r="D427" s="3"/>
      <c r="E427" s="3" t="s">
        <v>225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225</v>
      </c>
      <c r="D428" s="3"/>
      <c r="E428" s="3" t="s">
        <v>225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132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225</v>
      </c>
      <c r="D429" s="3"/>
      <c r="E429" s="3" t="s">
        <v>225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227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225</v>
      </c>
      <c r="D430" s="3"/>
      <c r="E430" s="3" t="s">
        <v>225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133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225</v>
      </c>
      <c r="D431" s="3"/>
      <c r="E431" s="3" t="s">
        <v>225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225</v>
      </c>
      <c r="D432" s="3"/>
      <c r="E432" s="3" t="s">
        <v>225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225</v>
      </c>
      <c r="D433" s="3"/>
      <c r="E433" s="3" t="s">
        <v>225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225</v>
      </c>
      <c r="D434" s="3"/>
      <c r="E434" s="3" t="s">
        <v>225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225</v>
      </c>
      <c r="D435" s="3"/>
      <c r="E435" s="3" t="s">
        <v>225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225</v>
      </c>
      <c r="D436" s="3"/>
      <c r="E436" s="3" t="s">
        <v>225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139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225</v>
      </c>
      <c r="D437" s="3"/>
      <c r="E437" s="3" t="s">
        <v>225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225</v>
      </c>
      <c r="D438" s="3"/>
      <c r="E438" s="3" t="s">
        <v>225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225</v>
      </c>
      <c r="D439" s="3"/>
      <c r="E439" s="3" t="s">
        <v>225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225</v>
      </c>
      <c r="D440" s="3"/>
      <c r="E440" s="3" t="s">
        <v>225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135</v>
      </c>
      <c r="O440" s="3"/>
      <c r="P440" s="3"/>
      <c r="Q440" s="3">
        <v>0.95899999999999996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225</v>
      </c>
      <c r="D441" s="3"/>
      <c r="E441" s="3" t="s">
        <v>225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228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229</v>
      </c>
      <c r="D442" s="3"/>
      <c r="E442" s="3" t="s">
        <v>229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229</v>
      </c>
      <c r="D443" s="3"/>
      <c r="E443" s="3" t="s">
        <v>229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229</v>
      </c>
      <c r="D444" s="3"/>
      <c r="E444" s="3" t="s">
        <v>229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229</v>
      </c>
      <c r="D445" s="3"/>
      <c r="E445" s="3" t="s">
        <v>229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229</v>
      </c>
      <c r="D446" s="3"/>
      <c r="E446" s="3" t="s">
        <v>229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229</v>
      </c>
      <c r="D447" s="3"/>
      <c r="E447" s="3" t="s">
        <v>229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132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229</v>
      </c>
      <c r="D448" s="3"/>
      <c r="E448" s="3" t="s">
        <v>229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231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229</v>
      </c>
      <c r="D449" s="3"/>
      <c r="E449" s="3" t="s">
        <v>229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133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229</v>
      </c>
      <c r="D450" s="3"/>
      <c r="E450" s="3" t="s">
        <v>229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229</v>
      </c>
      <c r="D451" s="3"/>
      <c r="E451" s="3" t="s">
        <v>229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229</v>
      </c>
      <c r="D452" s="3"/>
      <c r="E452" s="3" t="s">
        <v>229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229</v>
      </c>
      <c r="D453" s="3"/>
      <c r="E453" s="3" t="s">
        <v>229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229</v>
      </c>
      <c r="D454" s="3"/>
      <c r="E454" s="3" t="s">
        <v>229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229</v>
      </c>
      <c r="D455" s="3"/>
      <c r="E455" s="3" t="s">
        <v>229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139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229</v>
      </c>
      <c r="D456" s="3"/>
      <c r="E456" s="3" t="s">
        <v>229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229</v>
      </c>
      <c r="D457" s="3"/>
      <c r="E457" s="3" t="s">
        <v>229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229</v>
      </c>
      <c r="D458" s="3"/>
      <c r="E458" s="3" t="s">
        <v>229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229</v>
      </c>
      <c r="D459" s="3"/>
      <c r="E459" s="3" t="s">
        <v>229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135</v>
      </c>
      <c r="O459" s="3"/>
      <c r="P459" s="3"/>
      <c r="Q459" s="3">
        <v>1.04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229</v>
      </c>
      <c r="D460" s="3"/>
      <c r="E460" s="3" t="s">
        <v>229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233</v>
      </c>
      <c r="D461" s="3"/>
      <c r="E461" s="3" t="s">
        <v>233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233</v>
      </c>
      <c r="D462" s="3"/>
      <c r="E462" s="3" t="s">
        <v>233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233</v>
      </c>
      <c r="D463" s="3"/>
      <c r="E463" s="3" t="s">
        <v>233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233</v>
      </c>
      <c r="D464" s="3"/>
      <c r="E464" s="3" t="s">
        <v>233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233</v>
      </c>
      <c r="D465" s="3"/>
      <c r="E465" s="3" t="s">
        <v>233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233</v>
      </c>
      <c r="D466" s="3"/>
      <c r="E466" s="3" t="s">
        <v>233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132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233</v>
      </c>
      <c r="D467" s="3"/>
      <c r="E467" s="3" t="s">
        <v>233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233</v>
      </c>
      <c r="D468" s="3"/>
      <c r="E468" s="3" t="s">
        <v>233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133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233</v>
      </c>
      <c r="D469" s="3"/>
      <c r="E469" s="3" t="s">
        <v>233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233</v>
      </c>
      <c r="D470" s="3"/>
      <c r="E470" s="3" t="s">
        <v>233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233</v>
      </c>
      <c r="D471" s="3"/>
      <c r="E471" s="3" t="s">
        <v>233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233</v>
      </c>
      <c r="D472" s="3"/>
      <c r="E472" s="3" t="s">
        <v>233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233</v>
      </c>
      <c r="D473" s="3"/>
      <c r="E473" s="3" t="s">
        <v>233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233</v>
      </c>
      <c r="D474" s="3"/>
      <c r="E474" s="3" t="s">
        <v>233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139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233</v>
      </c>
      <c r="D475" s="3"/>
      <c r="E475" s="3" t="s">
        <v>233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233</v>
      </c>
      <c r="D476" s="3"/>
      <c r="E476" s="3" t="s">
        <v>233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233</v>
      </c>
      <c r="D477" s="3"/>
      <c r="E477" s="3" t="s">
        <v>233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233</v>
      </c>
      <c r="D478" s="3"/>
      <c r="E478" s="3" t="s">
        <v>233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135</v>
      </c>
      <c r="O478" s="3"/>
      <c r="P478" s="3"/>
      <c r="Q478" s="3">
        <v>1.1890000000000001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233</v>
      </c>
      <c r="D479" s="3"/>
      <c r="E479" s="3" t="s">
        <v>233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236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237</v>
      </c>
      <c r="D480" s="3"/>
      <c r="E480" s="3" t="s">
        <v>237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238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237</v>
      </c>
      <c r="D481" s="3"/>
      <c r="E481" s="3" t="s">
        <v>237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237</v>
      </c>
      <c r="D482" s="3"/>
      <c r="E482" s="3" t="s">
        <v>237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237</v>
      </c>
      <c r="D483" s="3"/>
      <c r="E483" s="3" t="s">
        <v>237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237</v>
      </c>
      <c r="D484" s="3"/>
      <c r="E484" s="3" t="s">
        <v>237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237</v>
      </c>
      <c r="D485" s="3"/>
      <c r="E485" s="3" t="s">
        <v>237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132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237</v>
      </c>
      <c r="D486" s="3"/>
      <c r="E486" s="3" t="s">
        <v>237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239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237</v>
      </c>
      <c r="D487" s="3"/>
      <c r="E487" s="3" t="s">
        <v>237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133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237</v>
      </c>
      <c r="D488" s="3"/>
      <c r="E488" s="3" t="s">
        <v>237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237</v>
      </c>
      <c r="D489" s="3"/>
      <c r="E489" s="3" t="s">
        <v>237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237</v>
      </c>
      <c r="D490" s="3"/>
      <c r="E490" s="3" t="s">
        <v>237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237</v>
      </c>
      <c r="D491" s="3"/>
      <c r="E491" s="3" t="s">
        <v>237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237</v>
      </c>
      <c r="D492" s="3"/>
      <c r="E492" s="3" t="s">
        <v>237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237</v>
      </c>
      <c r="D493" s="3"/>
      <c r="E493" s="3" t="s">
        <v>237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139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237</v>
      </c>
      <c r="D494" s="3"/>
      <c r="E494" s="3" t="s">
        <v>237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237</v>
      </c>
      <c r="D495" s="3"/>
      <c r="E495" s="3" t="s">
        <v>237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237</v>
      </c>
      <c r="D496" s="3"/>
      <c r="E496" s="3" t="s">
        <v>237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237</v>
      </c>
      <c r="D497" s="3"/>
      <c r="E497" s="3" t="s">
        <v>237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135</v>
      </c>
      <c r="O497" s="3"/>
      <c r="P497" s="3"/>
      <c r="Q497" s="3">
        <v>1.1890000000000001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237</v>
      </c>
      <c r="D498" s="3"/>
      <c r="E498" s="3" t="s">
        <v>237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240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241</v>
      </c>
      <c r="D499" s="3"/>
      <c r="E499" s="3" t="s">
        <v>241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242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241</v>
      </c>
      <c r="D500" s="3"/>
      <c r="E500" s="3" t="s">
        <v>241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241</v>
      </c>
      <c r="D501" s="3"/>
      <c r="E501" s="3" t="s">
        <v>241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241</v>
      </c>
      <c r="D502" s="3"/>
      <c r="E502" s="3" t="s">
        <v>241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241</v>
      </c>
      <c r="D503" s="3"/>
      <c r="E503" s="3" t="s">
        <v>241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241</v>
      </c>
      <c r="D504" s="3"/>
      <c r="E504" s="3" t="s">
        <v>241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132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241</v>
      </c>
      <c r="D505" s="3"/>
      <c r="E505" s="3" t="s">
        <v>241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243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241</v>
      </c>
      <c r="D506" s="3"/>
      <c r="E506" s="3" t="s">
        <v>241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133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241</v>
      </c>
      <c r="D507" s="3"/>
      <c r="E507" s="3" t="s">
        <v>241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241</v>
      </c>
      <c r="D508" s="3"/>
      <c r="E508" s="3" t="s">
        <v>241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241</v>
      </c>
      <c r="D509" s="3"/>
      <c r="E509" s="3" t="s">
        <v>241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241</v>
      </c>
      <c r="D510" s="3"/>
      <c r="E510" s="3" t="s">
        <v>241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241</v>
      </c>
      <c r="D511" s="3"/>
      <c r="E511" s="3" t="s">
        <v>241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241</v>
      </c>
      <c r="D512" s="3"/>
      <c r="E512" s="3" t="s">
        <v>241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139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241</v>
      </c>
      <c r="D513" s="3"/>
      <c r="E513" s="3" t="s">
        <v>241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241</v>
      </c>
      <c r="D514" s="3"/>
      <c r="E514" s="3" t="s">
        <v>241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241</v>
      </c>
      <c r="D515" s="3"/>
      <c r="E515" s="3" t="s">
        <v>241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241</v>
      </c>
      <c r="D516" s="3"/>
      <c r="E516" s="3" t="s">
        <v>241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135</v>
      </c>
      <c r="O516" s="3"/>
      <c r="P516" s="3"/>
      <c r="Q516" s="3">
        <v>1.1890000000000001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241</v>
      </c>
      <c r="D517" s="3"/>
      <c r="E517" s="3" t="s">
        <v>241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244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245</v>
      </c>
      <c r="D518" s="3"/>
      <c r="E518" s="3" t="s">
        <v>245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246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245</v>
      </c>
      <c r="D519" s="3"/>
      <c r="E519" s="3" t="s">
        <v>245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245</v>
      </c>
      <c r="D520" s="3"/>
      <c r="E520" s="3" t="s">
        <v>245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245</v>
      </c>
      <c r="D521" s="3"/>
      <c r="E521" s="3" t="s">
        <v>245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245</v>
      </c>
      <c r="D522" s="3"/>
      <c r="E522" s="3" t="s">
        <v>245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245</v>
      </c>
      <c r="D523" s="3"/>
      <c r="E523" s="3" t="s">
        <v>245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132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245</v>
      </c>
      <c r="D524" s="3"/>
      <c r="E524" s="3" t="s">
        <v>245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245</v>
      </c>
      <c r="D525" s="3"/>
      <c r="E525" s="3" t="s">
        <v>245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133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245</v>
      </c>
      <c r="D526" s="3"/>
      <c r="E526" s="3" t="s">
        <v>245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245</v>
      </c>
      <c r="D527" s="3"/>
      <c r="E527" s="3" t="s">
        <v>245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245</v>
      </c>
      <c r="D528" s="3"/>
      <c r="E528" s="3" t="s">
        <v>245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245</v>
      </c>
      <c r="D529" s="3"/>
      <c r="E529" s="3" t="s">
        <v>245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245</v>
      </c>
      <c r="D530" s="3"/>
      <c r="E530" s="3" t="s">
        <v>245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245</v>
      </c>
      <c r="D531" s="3"/>
      <c r="E531" s="3" t="s">
        <v>245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139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245</v>
      </c>
      <c r="D532" s="3"/>
      <c r="E532" s="3" t="s">
        <v>245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245</v>
      </c>
      <c r="D533" s="3"/>
      <c r="E533" s="3" t="s">
        <v>245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245</v>
      </c>
      <c r="D534" s="3"/>
      <c r="E534" s="3" t="s">
        <v>245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245</v>
      </c>
      <c r="D535" s="3"/>
      <c r="E535" s="3" t="s">
        <v>245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135</v>
      </c>
      <c r="O535" s="3"/>
      <c r="P535" s="3"/>
      <c r="Q535" s="3">
        <v>1.1890000000000001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245</v>
      </c>
      <c r="D536" s="3"/>
      <c r="E536" s="3" t="s">
        <v>245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248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249</v>
      </c>
      <c r="D537" s="3"/>
      <c r="E537" s="3" t="s">
        <v>249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250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249</v>
      </c>
      <c r="D538" s="3"/>
      <c r="E538" s="3" t="s">
        <v>249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249</v>
      </c>
      <c r="D539" s="3"/>
      <c r="E539" s="3" t="s">
        <v>249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249</v>
      </c>
      <c r="D540" s="3"/>
      <c r="E540" s="3" t="s">
        <v>249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249</v>
      </c>
      <c r="D541" s="3"/>
      <c r="E541" s="3" t="s">
        <v>249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249</v>
      </c>
      <c r="D542" s="3"/>
      <c r="E542" s="3" t="s">
        <v>249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132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249</v>
      </c>
      <c r="D543" s="3"/>
      <c r="E543" s="3" t="s">
        <v>249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251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249</v>
      </c>
      <c r="D544" s="3"/>
      <c r="E544" s="3" t="s">
        <v>249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133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249</v>
      </c>
      <c r="D545" s="3"/>
      <c r="E545" s="3" t="s">
        <v>249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249</v>
      </c>
      <c r="D546" s="3"/>
      <c r="E546" s="3" t="s">
        <v>249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249</v>
      </c>
      <c r="D547" s="3"/>
      <c r="E547" s="3" t="s">
        <v>249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249</v>
      </c>
      <c r="D548" s="3"/>
      <c r="E548" s="3" t="s">
        <v>249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249</v>
      </c>
      <c r="D549" s="3"/>
      <c r="E549" s="3" t="s">
        <v>249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249</v>
      </c>
      <c r="D550" s="3"/>
      <c r="E550" s="3" t="s">
        <v>249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139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249</v>
      </c>
      <c r="D551" s="3"/>
      <c r="E551" s="3" t="s">
        <v>249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249</v>
      </c>
      <c r="D552" s="3"/>
      <c r="E552" s="3" t="s">
        <v>249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249</v>
      </c>
      <c r="D553" s="3"/>
      <c r="E553" s="3" t="s">
        <v>249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249</v>
      </c>
      <c r="D554" s="3"/>
      <c r="E554" s="3" t="s">
        <v>249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135</v>
      </c>
      <c r="O554" s="3"/>
      <c r="P554" s="3"/>
      <c r="Q554" s="3">
        <v>1.1890000000000001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249</v>
      </c>
      <c r="D555" s="3"/>
      <c r="E555" s="3" t="s">
        <v>249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253</v>
      </c>
      <c r="D556" s="3"/>
      <c r="E556" s="3" t="s">
        <v>253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253</v>
      </c>
      <c r="D557" s="3"/>
      <c r="E557" s="3" t="s">
        <v>253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253</v>
      </c>
      <c r="D558" s="3"/>
      <c r="E558" s="3" t="s">
        <v>253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253</v>
      </c>
      <c r="D559" s="3"/>
      <c r="E559" s="3" t="s">
        <v>253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253</v>
      </c>
      <c r="D560" s="3"/>
      <c r="E560" s="3" t="s">
        <v>253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253</v>
      </c>
      <c r="D561" s="3"/>
      <c r="E561" s="3" t="s">
        <v>253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132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253</v>
      </c>
      <c r="D562" s="3"/>
      <c r="E562" s="3" t="s">
        <v>253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253</v>
      </c>
      <c r="D563" s="3"/>
      <c r="E563" s="3" t="s">
        <v>253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133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253</v>
      </c>
      <c r="D564" s="3"/>
      <c r="E564" s="3" t="s">
        <v>253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253</v>
      </c>
      <c r="D565" s="3"/>
      <c r="E565" s="3" t="s">
        <v>253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253</v>
      </c>
      <c r="D566" s="3"/>
      <c r="E566" s="3" t="s">
        <v>253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253</v>
      </c>
      <c r="D567" s="3"/>
      <c r="E567" s="3" t="s">
        <v>253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253</v>
      </c>
      <c r="D568" s="3"/>
      <c r="E568" s="3" t="s">
        <v>253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253</v>
      </c>
      <c r="D569" s="3"/>
      <c r="E569" s="3" t="s">
        <v>253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139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253</v>
      </c>
      <c r="D570" s="3"/>
      <c r="E570" s="3" t="s">
        <v>253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253</v>
      </c>
      <c r="D571" s="3"/>
      <c r="E571" s="3" t="s">
        <v>253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253</v>
      </c>
      <c r="D572" s="3"/>
      <c r="E572" s="3" t="s">
        <v>253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253</v>
      </c>
      <c r="D573" s="3"/>
      <c r="E573" s="3" t="s">
        <v>253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135</v>
      </c>
      <c r="O573" s="3"/>
      <c r="P573" s="3"/>
      <c r="Q573" s="3">
        <v>1.1890000000000001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253</v>
      </c>
      <c r="D574" s="3"/>
      <c r="E574" s="3" t="s">
        <v>253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257</v>
      </c>
      <c r="D575" s="3"/>
      <c r="E575" s="3" t="s">
        <v>257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257</v>
      </c>
      <c r="D576" s="3"/>
      <c r="E576" s="3" t="s">
        <v>257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257</v>
      </c>
      <c r="D577" s="3"/>
      <c r="E577" s="3" t="s">
        <v>257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257</v>
      </c>
      <c r="D578" s="3"/>
      <c r="E578" s="3" t="s">
        <v>257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257</v>
      </c>
      <c r="D579" s="3"/>
      <c r="E579" s="3" t="s">
        <v>257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257</v>
      </c>
      <c r="D580" s="3"/>
      <c r="E580" s="3" t="s">
        <v>257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132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257</v>
      </c>
      <c r="D581" s="3"/>
      <c r="E581" s="3" t="s">
        <v>257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259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257</v>
      </c>
      <c r="D582" s="3"/>
      <c r="E582" s="3" t="s">
        <v>257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133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257</v>
      </c>
      <c r="D583" s="3"/>
      <c r="E583" s="3" t="s">
        <v>257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257</v>
      </c>
      <c r="D584" s="3"/>
      <c r="E584" s="3" t="s">
        <v>257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257</v>
      </c>
      <c r="D585" s="3"/>
      <c r="E585" s="3" t="s">
        <v>257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257</v>
      </c>
      <c r="D586" s="3"/>
      <c r="E586" s="3" t="s">
        <v>257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257</v>
      </c>
      <c r="D587" s="3"/>
      <c r="E587" s="3" t="s">
        <v>257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257</v>
      </c>
      <c r="D588" s="3"/>
      <c r="E588" s="3" t="s">
        <v>257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139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257</v>
      </c>
      <c r="D589" s="3"/>
      <c r="E589" s="3" t="s">
        <v>257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257</v>
      </c>
      <c r="D590" s="3"/>
      <c r="E590" s="3" t="s">
        <v>257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257</v>
      </c>
      <c r="D591" s="3"/>
      <c r="E591" s="3" t="s">
        <v>257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257</v>
      </c>
      <c r="D592" s="3"/>
      <c r="E592" s="3" t="s">
        <v>257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135</v>
      </c>
      <c r="O592" s="3"/>
      <c r="P592" s="3"/>
      <c r="Q592" s="3">
        <v>1.1890000000000001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257</v>
      </c>
      <c r="D593" s="3"/>
      <c r="E593" s="3" t="s">
        <v>257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260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261</v>
      </c>
      <c r="D594" s="3"/>
      <c r="E594" s="3" t="s">
        <v>261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261</v>
      </c>
      <c r="D595" s="3"/>
      <c r="E595" s="3" t="s">
        <v>261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261</v>
      </c>
      <c r="D596" s="3"/>
      <c r="E596" s="3" t="s">
        <v>261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261</v>
      </c>
      <c r="D597" s="3"/>
      <c r="E597" s="3" t="s">
        <v>261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261</v>
      </c>
      <c r="D598" s="3"/>
      <c r="E598" s="3" t="s">
        <v>261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261</v>
      </c>
      <c r="D599" s="3"/>
      <c r="E599" s="3" t="s">
        <v>261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261</v>
      </c>
      <c r="D600" s="3"/>
      <c r="E600" s="3" t="s">
        <v>261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132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261</v>
      </c>
      <c r="D601" s="3"/>
      <c r="E601" s="3" t="s">
        <v>261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263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261</v>
      </c>
      <c r="D602" s="3"/>
      <c r="E602" s="3" t="s">
        <v>261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133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261</v>
      </c>
      <c r="D603" s="3"/>
      <c r="E603" s="3" t="s">
        <v>261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261</v>
      </c>
      <c r="D604" s="3"/>
      <c r="E604" s="3" t="s">
        <v>261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261</v>
      </c>
      <c r="D605" s="3"/>
      <c r="E605" s="3" t="s">
        <v>261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261</v>
      </c>
      <c r="D606" s="3"/>
      <c r="E606" s="3" t="s">
        <v>261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261</v>
      </c>
      <c r="D607" s="3"/>
      <c r="E607" s="3" t="s">
        <v>261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261</v>
      </c>
      <c r="D608" s="3"/>
      <c r="E608" s="3" t="s">
        <v>261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139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261</v>
      </c>
      <c r="D609" s="3"/>
      <c r="E609" s="3" t="s">
        <v>261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261</v>
      </c>
      <c r="D610" s="3"/>
      <c r="E610" s="3" t="s">
        <v>261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261</v>
      </c>
      <c r="D611" s="3"/>
      <c r="E611" s="3" t="s">
        <v>261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261</v>
      </c>
      <c r="D612" s="3"/>
      <c r="E612" s="3" t="s">
        <v>261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135</v>
      </c>
      <c r="O612" s="3"/>
      <c r="P612" s="3"/>
      <c r="Q612" s="3">
        <v>1.1890000000000001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261</v>
      </c>
      <c r="D613" s="3"/>
      <c r="E613" s="3" t="s">
        <v>261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265</v>
      </c>
      <c r="D614" s="3"/>
      <c r="E614" s="3" t="s">
        <v>265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266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265</v>
      </c>
      <c r="D615" s="3"/>
      <c r="E615" s="3" t="s">
        <v>265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265</v>
      </c>
      <c r="D616" s="3"/>
      <c r="E616" s="3" t="s">
        <v>265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265</v>
      </c>
      <c r="D617" s="3"/>
      <c r="E617" s="3" t="s">
        <v>265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265</v>
      </c>
      <c r="D618" s="3"/>
      <c r="E618" s="3" t="s">
        <v>265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265</v>
      </c>
      <c r="D619" s="3"/>
      <c r="E619" s="3" t="s">
        <v>265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132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265</v>
      </c>
      <c r="D620" s="3"/>
      <c r="E620" s="3" t="s">
        <v>265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265</v>
      </c>
      <c r="D621" s="3"/>
      <c r="E621" s="3" t="s">
        <v>265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133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265</v>
      </c>
      <c r="D622" s="3"/>
      <c r="E622" s="3" t="s">
        <v>265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265</v>
      </c>
      <c r="D623" s="3"/>
      <c r="E623" s="3" t="s">
        <v>265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265</v>
      </c>
      <c r="D624" s="3"/>
      <c r="E624" s="3" t="s">
        <v>265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265</v>
      </c>
      <c r="D625" s="3"/>
      <c r="E625" s="3" t="s">
        <v>265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265</v>
      </c>
      <c r="D626" s="3"/>
      <c r="E626" s="3" t="s">
        <v>265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265</v>
      </c>
      <c r="D627" s="3"/>
      <c r="E627" s="3" t="s">
        <v>265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139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265</v>
      </c>
      <c r="D628" s="3"/>
      <c r="E628" s="3" t="s">
        <v>265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265</v>
      </c>
      <c r="D629" s="3"/>
      <c r="E629" s="3" t="s">
        <v>265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265</v>
      </c>
      <c r="D630" s="3"/>
      <c r="E630" s="3" t="s">
        <v>265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265</v>
      </c>
      <c r="D631" s="3"/>
      <c r="E631" s="3" t="s">
        <v>265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135</v>
      </c>
      <c r="O631" s="3"/>
      <c r="P631" s="3"/>
      <c r="Q631" s="3">
        <v>1.2430000000000001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265</v>
      </c>
      <c r="D632" s="3"/>
      <c r="E632" s="3" t="s">
        <v>265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268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269</v>
      </c>
      <c r="D633" s="3"/>
      <c r="E633" s="3" t="s">
        <v>269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270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269</v>
      </c>
      <c r="D634" s="3"/>
      <c r="E634" s="3" t="s">
        <v>269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269</v>
      </c>
      <c r="D635" s="3"/>
      <c r="E635" s="3" t="s">
        <v>269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269</v>
      </c>
      <c r="D636" s="3"/>
      <c r="E636" s="3" t="s">
        <v>269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269</v>
      </c>
      <c r="D637" s="3"/>
      <c r="E637" s="3" t="s">
        <v>269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269</v>
      </c>
      <c r="D638" s="3"/>
      <c r="E638" s="3" t="s">
        <v>269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132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269</v>
      </c>
      <c r="D639" s="3"/>
      <c r="E639" s="3" t="s">
        <v>269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269</v>
      </c>
      <c r="D640" s="3"/>
      <c r="E640" s="3" t="s">
        <v>269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133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269</v>
      </c>
      <c r="D641" s="3"/>
      <c r="E641" s="3" t="s">
        <v>269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269</v>
      </c>
      <c r="D642" s="3"/>
      <c r="E642" s="3" t="s">
        <v>269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269</v>
      </c>
      <c r="D643" s="3"/>
      <c r="E643" s="3" t="s">
        <v>269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269</v>
      </c>
      <c r="D644" s="3"/>
      <c r="E644" s="3" t="s">
        <v>269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269</v>
      </c>
      <c r="D645" s="3"/>
      <c r="E645" s="3" t="s">
        <v>269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269</v>
      </c>
      <c r="D646" s="3"/>
      <c r="E646" s="3" t="s">
        <v>269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139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269</v>
      </c>
      <c r="D647" s="3"/>
      <c r="E647" s="3" t="s">
        <v>269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269</v>
      </c>
      <c r="D648" s="3"/>
      <c r="E648" s="3" t="s">
        <v>269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269</v>
      </c>
      <c r="D649" s="3"/>
      <c r="E649" s="3" t="s">
        <v>269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269</v>
      </c>
      <c r="D650" s="3"/>
      <c r="E650" s="3" t="s">
        <v>269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135</v>
      </c>
      <c r="O650" s="3"/>
      <c r="P650" s="3"/>
      <c r="Q650" s="3">
        <v>1.2430000000000001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269</v>
      </c>
      <c r="D651" s="3"/>
      <c r="E651" s="3" t="s">
        <v>269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273</v>
      </c>
      <c r="D652" s="3"/>
      <c r="E652" s="3" t="s">
        <v>273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273</v>
      </c>
      <c r="D653" s="3"/>
      <c r="E653" s="3" t="s">
        <v>273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273</v>
      </c>
      <c r="D654" s="3"/>
      <c r="E654" s="3" t="s">
        <v>273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273</v>
      </c>
      <c r="D655" s="3"/>
      <c r="E655" s="3" t="s">
        <v>273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273</v>
      </c>
      <c r="D656" s="3"/>
      <c r="E656" s="3" t="s">
        <v>273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273</v>
      </c>
      <c r="D657" s="3"/>
      <c r="E657" s="3" t="s">
        <v>273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132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273</v>
      </c>
      <c r="D658" s="3"/>
      <c r="E658" s="3" t="s">
        <v>273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275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273</v>
      </c>
      <c r="D659" s="3"/>
      <c r="E659" s="3" t="s">
        <v>273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133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273</v>
      </c>
      <c r="D660" s="3"/>
      <c r="E660" s="3" t="s">
        <v>273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273</v>
      </c>
      <c r="D661" s="3"/>
      <c r="E661" s="3" t="s">
        <v>273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273</v>
      </c>
      <c r="D662" s="3"/>
      <c r="E662" s="3" t="s">
        <v>273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273</v>
      </c>
      <c r="D663" s="3"/>
      <c r="E663" s="3" t="s">
        <v>273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273</v>
      </c>
      <c r="D664" s="3"/>
      <c r="E664" s="3" t="s">
        <v>273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273</v>
      </c>
      <c r="D665" s="3"/>
      <c r="E665" s="3" t="s">
        <v>273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139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273</v>
      </c>
      <c r="D666" s="3"/>
      <c r="E666" s="3" t="s">
        <v>273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273</v>
      </c>
      <c r="D667" s="3"/>
      <c r="E667" s="3" t="s">
        <v>273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273</v>
      </c>
      <c r="D668" s="3"/>
      <c r="E668" s="3" t="s">
        <v>273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273</v>
      </c>
      <c r="D669" s="3"/>
      <c r="E669" s="3" t="s">
        <v>273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135</v>
      </c>
      <c r="O669" s="3"/>
      <c r="P669" s="3"/>
      <c r="Q669" s="3">
        <v>1.2430000000000001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273</v>
      </c>
      <c r="D670" s="3"/>
      <c r="E670" s="3" t="s">
        <v>273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276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277</v>
      </c>
      <c r="D671" s="3"/>
      <c r="E671" s="3" t="s">
        <v>277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278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277</v>
      </c>
      <c r="D672" s="3"/>
      <c r="E672" s="3" t="s">
        <v>277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277</v>
      </c>
      <c r="D673" s="3"/>
      <c r="E673" s="3" t="s">
        <v>277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277</v>
      </c>
      <c r="D674" s="3"/>
      <c r="E674" s="3" t="s">
        <v>277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277</v>
      </c>
      <c r="D675" s="3"/>
      <c r="E675" s="3" t="s">
        <v>277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277</v>
      </c>
      <c r="D676" s="3"/>
      <c r="E676" s="3" t="s">
        <v>277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132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277</v>
      </c>
      <c r="D677" s="3"/>
      <c r="E677" s="3" t="s">
        <v>277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279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277</v>
      </c>
      <c r="D678" s="3"/>
      <c r="E678" s="3" t="s">
        <v>277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133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277</v>
      </c>
      <c r="D679" s="3"/>
      <c r="E679" s="3" t="s">
        <v>277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277</v>
      </c>
      <c r="D680" s="3"/>
      <c r="E680" s="3" t="s">
        <v>277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277</v>
      </c>
      <c r="D681" s="3"/>
      <c r="E681" s="3" t="s">
        <v>277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277</v>
      </c>
      <c r="D682" s="3"/>
      <c r="E682" s="3" t="s">
        <v>277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277</v>
      </c>
      <c r="D683" s="3"/>
      <c r="E683" s="3" t="s">
        <v>277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277</v>
      </c>
      <c r="D684" s="3"/>
      <c r="E684" s="3" t="s">
        <v>277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139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277</v>
      </c>
      <c r="D685" s="3"/>
      <c r="E685" s="3" t="s">
        <v>277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277</v>
      </c>
      <c r="D686" s="3"/>
      <c r="E686" s="3" t="s">
        <v>277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277</v>
      </c>
      <c r="D687" s="3"/>
      <c r="E687" s="3" t="s">
        <v>277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277</v>
      </c>
      <c r="D688" s="3"/>
      <c r="E688" s="3" t="s">
        <v>277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135</v>
      </c>
      <c r="O688" s="3"/>
      <c r="P688" s="3"/>
      <c r="Q688" s="3">
        <v>1.2430000000000001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277</v>
      </c>
      <c r="D689" s="3"/>
      <c r="E689" s="3" t="s">
        <v>277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280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281</v>
      </c>
      <c r="D690" s="3"/>
      <c r="E690" s="3" t="s">
        <v>281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281</v>
      </c>
      <c r="D691" s="3"/>
      <c r="E691" s="3" t="s">
        <v>281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281</v>
      </c>
      <c r="D692" s="3"/>
      <c r="E692" s="3" t="s">
        <v>281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281</v>
      </c>
      <c r="D693" s="3"/>
      <c r="E693" s="3" t="s">
        <v>281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281</v>
      </c>
      <c r="D694" s="3"/>
      <c r="E694" s="3" t="s">
        <v>281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281</v>
      </c>
      <c r="D695" s="3"/>
      <c r="E695" s="3" t="s">
        <v>281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132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281</v>
      </c>
      <c r="D696" s="3"/>
      <c r="E696" s="3" t="s">
        <v>281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283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281</v>
      </c>
      <c r="D697" s="3"/>
      <c r="E697" s="3" t="s">
        <v>281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133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281</v>
      </c>
      <c r="D698" s="3"/>
      <c r="E698" s="3" t="s">
        <v>281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281</v>
      </c>
      <c r="D699" s="3"/>
      <c r="E699" s="3" t="s">
        <v>281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281</v>
      </c>
      <c r="D700" s="3"/>
      <c r="E700" s="3" t="s">
        <v>281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281</v>
      </c>
      <c r="D701" s="3"/>
      <c r="E701" s="3" t="s">
        <v>281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281</v>
      </c>
      <c r="D702" s="3"/>
      <c r="E702" s="3" t="s">
        <v>281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281</v>
      </c>
      <c r="D703" s="3"/>
      <c r="E703" s="3" t="s">
        <v>281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139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281</v>
      </c>
      <c r="D704" s="3"/>
      <c r="E704" s="3" t="s">
        <v>281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281</v>
      </c>
      <c r="D705" s="3"/>
      <c r="E705" s="3" t="s">
        <v>281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281</v>
      </c>
      <c r="D706" s="3"/>
      <c r="E706" s="3" t="s">
        <v>281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281</v>
      </c>
      <c r="D707" s="3"/>
      <c r="E707" s="3" t="s">
        <v>281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135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281</v>
      </c>
      <c r="D708" s="3"/>
      <c r="E708" s="3" t="s">
        <v>281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284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285</v>
      </c>
      <c r="D709" s="3"/>
      <c r="E709" s="3" t="s">
        <v>285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286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285</v>
      </c>
      <c r="D710" s="3"/>
      <c r="E710" s="3" t="s">
        <v>285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285</v>
      </c>
      <c r="D711" s="3"/>
      <c r="E711" s="3" t="s">
        <v>285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285</v>
      </c>
      <c r="D712" s="3"/>
      <c r="E712" s="3" t="s">
        <v>285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285</v>
      </c>
      <c r="D713" s="3"/>
      <c r="E713" s="3" t="s">
        <v>285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285</v>
      </c>
      <c r="D714" s="3"/>
      <c r="E714" s="3" t="s">
        <v>285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132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285</v>
      </c>
      <c r="D715" s="3"/>
      <c r="E715" s="3" t="s">
        <v>285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287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285</v>
      </c>
      <c r="D716" s="3"/>
      <c r="E716" s="3" t="s">
        <v>285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133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285</v>
      </c>
      <c r="D717" s="3"/>
      <c r="E717" s="3" t="s">
        <v>285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285</v>
      </c>
      <c r="D718" s="3"/>
      <c r="E718" s="3" t="s">
        <v>285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285</v>
      </c>
      <c r="D719" s="3"/>
      <c r="E719" s="3" t="s">
        <v>285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285</v>
      </c>
      <c r="D720" s="3"/>
      <c r="E720" s="3" t="s">
        <v>285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285</v>
      </c>
      <c r="D721" s="3"/>
      <c r="E721" s="3" t="s">
        <v>285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285</v>
      </c>
      <c r="D722" s="3"/>
      <c r="E722" s="3" t="s">
        <v>285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139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285</v>
      </c>
      <c r="D723" s="3"/>
      <c r="E723" s="3" t="s">
        <v>285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285</v>
      </c>
      <c r="D724" s="3"/>
      <c r="E724" s="3" t="s">
        <v>285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285</v>
      </c>
      <c r="D725" s="3"/>
      <c r="E725" s="3" t="s">
        <v>285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285</v>
      </c>
      <c r="D726" s="3"/>
      <c r="E726" s="3" t="s">
        <v>285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135</v>
      </c>
      <c r="O726" s="3"/>
      <c r="P726" s="3"/>
      <c r="Q726" s="3">
        <v>1.2430000000000001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285</v>
      </c>
      <c r="D727" s="3"/>
      <c r="E727" s="3" t="s">
        <v>285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288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289</v>
      </c>
      <c r="D728" s="3"/>
      <c r="E728" s="3" t="s">
        <v>289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290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289</v>
      </c>
      <c r="D729" s="3"/>
      <c r="E729" s="3" t="s">
        <v>289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289</v>
      </c>
      <c r="D730" s="3"/>
      <c r="E730" s="3" t="s">
        <v>289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289</v>
      </c>
      <c r="D731" s="3"/>
      <c r="E731" s="3" t="s">
        <v>289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289</v>
      </c>
      <c r="D732" s="3"/>
      <c r="E732" s="3" t="s">
        <v>289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289</v>
      </c>
      <c r="D733" s="3"/>
      <c r="E733" s="3" t="s">
        <v>289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132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289</v>
      </c>
      <c r="D734" s="3"/>
      <c r="E734" s="3" t="s">
        <v>289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291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289</v>
      </c>
      <c r="D735" s="3"/>
      <c r="E735" s="3" t="s">
        <v>289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133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289</v>
      </c>
      <c r="D736" s="3"/>
      <c r="E736" s="3" t="s">
        <v>289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289</v>
      </c>
      <c r="D737" s="3"/>
      <c r="E737" s="3" t="s">
        <v>289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289</v>
      </c>
      <c r="D738" s="3"/>
      <c r="E738" s="3" t="s">
        <v>289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289</v>
      </c>
      <c r="D739" s="3"/>
      <c r="E739" s="3" t="s">
        <v>289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289</v>
      </c>
      <c r="D740" s="3"/>
      <c r="E740" s="3" t="s">
        <v>289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289</v>
      </c>
      <c r="D741" s="3"/>
      <c r="E741" s="3" t="s">
        <v>289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139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289</v>
      </c>
      <c r="D742" s="3"/>
      <c r="E742" s="3" t="s">
        <v>289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289</v>
      </c>
      <c r="D743" s="3"/>
      <c r="E743" s="3" t="s">
        <v>289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289</v>
      </c>
      <c r="D744" s="3"/>
      <c r="E744" s="3" t="s">
        <v>289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289</v>
      </c>
      <c r="D745" s="3"/>
      <c r="E745" s="3" t="s">
        <v>289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135</v>
      </c>
      <c r="O745" s="3"/>
      <c r="P745" s="3"/>
      <c r="Q745" s="3">
        <v>1.2430000000000001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289</v>
      </c>
      <c r="D746" s="3"/>
      <c r="E746" s="3" t="s">
        <v>289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292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293</v>
      </c>
      <c r="D747" s="3"/>
      <c r="E747" s="3" t="s">
        <v>293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294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293</v>
      </c>
      <c r="D748" s="3"/>
      <c r="E748" s="3" t="s">
        <v>293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293</v>
      </c>
      <c r="D749" s="3"/>
      <c r="E749" s="3" t="s">
        <v>293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293</v>
      </c>
      <c r="D750" s="3"/>
      <c r="E750" s="3" t="s">
        <v>293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293</v>
      </c>
      <c r="D751" s="3"/>
      <c r="E751" s="3" t="s">
        <v>293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293</v>
      </c>
      <c r="D752" s="3"/>
      <c r="E752" s="3" t="s">
        <v>293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293</v>
      </c>
      <c r="D753" s="3"/>
      <c r="E753" s="3" t="s">
        <v>293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132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293</v>
      </c>
      <c r="D754" s="3"/>
      <c r="E754" s="3" t="s">
        <v>293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293</v>
      </c>
      <c r="D755" s="3"/>
      <c r="E755" s="3" t="s">
        <v>293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133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293</v>
      </c>
      <c r="D756" s="3"/>
      <c r="E756" s="3" t="s">
        <v>293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293</v>
      </c>
      <c r="D757" s="3"/>
      <c r="E757" s="3" t="s">
        <v>293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293</v>
      </c>
      <c r="D758" s="3"/>
      <c r="E758" s="3" t="s">
        <v>293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293</v>
      </c>
      <c r="D759" s="3"/>
      <c r="E759" s="3" t="s">
        <v>293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293</v>
      </c>
      <c r="D760" s="3"/>
      <c r="E760" s="3" t="s">
        <v>293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293</v>
      </c>
      <c r="D761" s="3"/>
      <c r="E761" s="3" t="s">
        <v>293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139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293</v>
      </c>
      <c r="D762" s="3"/>
      <c r="E762" s="3" t="s">
        <v>293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293</v>
      </c>
      <c r="D763" s="3"/>
      <c r="E763" s="3" t="s">
        <v>293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293</v>
      </c>
      <c r="D764" s="3"/>
      <c r="E764" s="3" t="s">
        <v>293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293</v>
      </c>
      <c r="D765" s="3"/>
      <c r="E765" s="3" t="s">
        <v>293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135</v>
      </c>
      <c r="O765" s="3"/>
      <c r="P765" s="3"/>
      <c r="Q765" s="3">
        <v>1.2430000000000001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293</v>
      </c>
      <c r="D766" s="3"/>
      <c r="E766" s="3" t="s">
        <v>293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296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2026-03-04T06:11:58Z</dcterms:modified>
</cp:coreProperties>
</file>