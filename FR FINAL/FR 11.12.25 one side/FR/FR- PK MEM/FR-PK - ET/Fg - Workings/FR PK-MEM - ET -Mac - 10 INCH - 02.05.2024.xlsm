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PK MEM\FR-PK - ET\Fg - Workings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3" l="1"/>
  <c r="E2" i="13"/>
  <c r="E5" i="13" l="1"/>
  <c r="E15" i="13" l="1"/>
  <c r="G7" i="13"/>
  <c r="E4" i="13"/>
  <c r="G14" i="13" l="1"/>
  <c r="H15" i="13" l="1"/>
  <c r="D15" i="13"/>
  <c r="H14" i="13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H7" i="13"/>
  <c r="D7" i="13"/>
  <c r="G6" i="13"/>
  <c r="H6" i="13" s="1"/>
  <c r="D6" i="13"/>
  <c r="H5" i="13"/>
  <c r="D5" i="13"/>
  <c r="H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<sst xmlns="http://schemas.openxmlformats.org/spreadsheetml/2006/main" count="11874" uniqueCount="498">
  <si>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</si>
  <si>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</si>
  <si>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</si>
  <si>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</si>
  <si>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</si>
  <si>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</si>
  <si>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</si>
  <si>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</si>
  <si>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</si>
  <si>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</si>
  <si>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</si>
  <si>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</si>
  <si>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</si>
  <si>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</si>
  <si>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</si>
  <si>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</si>
  <si>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</si>
  <si>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</si>
  <si>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</si>
  <si>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</si>
  <si>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</si>
  <si>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</si>
  <si>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</si>
  <si>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</si>
  <si>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</si>
  <si>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</si>
  <si>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</si>
  <si>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</si>
  <si>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</si>
  <si>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</si>
  <si>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</si>
  <si>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</si>
  <si>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</si>
  <si>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</si>
  <si>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</si>
  <si>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</si>
  <si>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</si>
  <si>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</si>
  <si>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</si>
  <si>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</si>
  <si>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</si>
  <si>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</si>
  <si>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</si>
  <si>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</si>
  <si>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</si>
  <si>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</si>
  <si>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</si>
  <si>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</si>
  <si>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</si>
  <si>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</si>
  <si>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</si>
  <si>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</si>
  <si>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</si>
  <si>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</si>
  <si>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</si>
  <si>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</si>
  <si>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</si>
  <si>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</si>
  <si>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</si>
  <si>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</si>
  <si>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</si>
  <si>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</si>
  <si>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</si>
  <si>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</si>
  <si>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</si>
  <si>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</si>
  <si>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</si>
  <si>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</si>
  <si>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</si>
  <si>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</si>
  <si>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</si>
  <si>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</si>
  <si>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</si>
  <si>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</si>
  <si>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</si>
  <si>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</si>
  <si>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</si>
  <si>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</si>
  <si>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</si>
  <si>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</si>
  <si>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</si>
  <si>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</si>
  <si>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</si>
  <si>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</si>
  <si>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</si>
  <si>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</si>
  <si>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</si>
  <si>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</si>
  <si>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</si>
  <si>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</si>
  <si>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</si>
  <si>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</si>
  <si>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</si>
  <si>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</si>
  <si>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</si>
  <si>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</si>
  <si>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</si>
  <si>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</si>
  <si>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</si>
  <si>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</si>
  <si>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</si>
  <si>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</si>
  <si>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</si>
  <si>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</si>
  <si>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</si>
  <si>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</si>
  <si>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</si>
  <si>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</si>
  <si>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</si>
  <si>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</si>
  <si>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</si>
  <si>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</si>
  <si>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</si>
  <si>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</si>
  <si>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</si>
  <si>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</si>
  <si>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</si>
  <si>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</si>
  <si>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</si>
  <si>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</si>
  <si>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</si>
  <si>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</si>
  <si>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RTHTMTPKMFET72X33X10</t>
  </si>
  <si>
    <t>RML-CS-PL-10.5</t>
  </si>
  <si>
    <t>RTHTMTPKMFET72X39X10</t>
  </si>
  <si>
    <t>RTHTMTPKMFET72X45X10</t>
  </si>
  <si>
    <t>RTHTMTPKMFET72X51X10</t>
  </si>
  <si>
    <t>RTHTMTPKMFET72X54X10</t>
  </si>
  <si>
    <t>RTHTMTPKMFET72X57X10</t>
  </si>
  <si>
    <t>RTHTMTPKMFET72X63X10</t>
  </si>
  <si>
    <t>RTHTMTPKMFET72X69X10</t>
  </si>
  <si>
    <t>RTHTMTPKMFET75X33X10</t>
  </si>
  <si>
    <t>RTHTMTPKMFET75X39X10</t>
  </si>
  <si>
    <t>RTHTMTPKMFET75X45X10</t>
  </si>
  <si>
    <t>RTHTMTPKMFET75X51X10</t>
  </si>
  <si>
    <t>RTHTMTPKMFET75X54X10</t>
  </si>
  <si>
    <t>RTHTMTPKMFET75X57X10</t>
  </si>
  <si>
    <t>RTHTMTPKMFET75X63X10</t>
  </si>
  <si>
    <t>RTHTMTPKMFET75X69X10</t>
  </si>
  <si>
    <t>RTHTMTPKMFET78X33X10</t>
  </si>
  <si>
    <t>RTHTMTPKMFET78X39X10</t>
  </si>
  <si>
    <t>RTHTMTPKMFET78X45X10</t>
  </si>
  <si>
    <t>RTHTMTPKMFET78X51X10</t>
  </si>
  <si>
    <t>RTHTMTPKMFET78X54X10</t>
  </si>
  <si>
    <t>RTHTMTPKMFET78X57X10</t>
  </si>
  <si>
    <t>RTHTMTPKMFET78X63X10</t>
  </si>
  <si>
    <t>RTHTMTPKMFET78X69X10</t>
  </si>
  <si>
    <t>RTHTMTPKMFET80X33X10</t>
  </si>
  <si>
    <t>RTHTMTPKMFET80X39X10</t>
  </si>
  <si>
    <t>RTHTMTPKMFET80X45X10</t>
  </si>
  <si>
    <t>RTHTMTPKMFET80X51X10</t>
  </si>
  <si>
    <t>RTHTMTPKMFET80X54X10</t>
  </si>
  <si>
    <t>RTHTMTPKMFET80X57X10</t>
  </si>
  <si>
    <t>RTHTMTPKMFET80X63X10</t>
  </si>
  <si>
    <t>RTHTMTPKMFET80X69X10</t>
  </si>
  <si>
    <t>RTHTMTPKMFET84X33X10</t>
  </si>
  <si>
    <t>RTHTMTPKMFET84X39X10</t>
  </si>
  <si>
    <t>RTHTMTPKMFET84X45X10</t>
  </si>
  <si>
    <t>RTHTMTPKMFET84X51X10</t>
  </si>
  <si>
    <t>RTHTMTPKMFET84X54X10</t>
  </si>
  <si>
    <t>RTHTMTPKMFET84X57X10</t>
  </si>
  <si>
    <t>RTHTMTPKMFET84X63X10</t>
  </si>
  <si>
    <t>RTHTMTPKMFET84X69X10</t>
  </si>
  <si>
    <t>SFG-FRPKETOS-MEM-BOR-72X33X10</t>
  </si>
  <si>
    <t>SFG-FRBNPKMEM-11CM-ET-CVR-72X33</t>
  </si>
  <si>
    <t>60D-MAT-RB-FOAM-71.50X32.50X60MM</t>
  </si>
  <si>
    <t>SFG-FRPKETOS-MEM-BOR-72X39X10</t>
  </si>
  <si>
    <t>SFG-FRBNPKMEM-11CM-ET-CVR-72X39</t>
  </si>
  <si>
    <t>60D-MAT-RB-FOAM-71.50X38.50X60MM</t>
  </si>
  <si>
    <t>SFG-FRPKETOS-MEM-BOR-72X45X10</t>
  </si>
  <si>
    <t>SFG-FRBNPKMEM-11CM-ET-CVR-72X45</t>
  </si>
  <si>
    <t>60D-MAT-RB-FOAM-71.50X44.50X60MM</t>
  </si>
  <si>
    <t>SFG-FRPKETOS-MEM-BOR-72X51X10</t>
  </si>
  <si>
    <t>SFG-FRBNPKMEM-11CM-ET-CVR-72X51</t>
  </si>
  <si>
    <t>60D-MAT-RB-FOAM-71.50X50.50X60MM</t>
  </si>
  <si>
    <t>SFG-FRPKETOS-MEM-BOR-72X54X10</t>
  </si>
  <si>
    <t>SFG-FRBNPKMEM-11CM-ET-CVR-72X54</t>
  </si>
  <si>
    <t>60D-MAT-RB-FOAM-71.50X53.50X60MM</t>
  </si>
  <si>
    <t>SFG-FRPKETOS-MEM-BOR-72X57X10</t>
  </si>
  <si>
    <t>SFG-FRBNPKMEM-11CM-ET-CVR-72X57</t>
  </si>
  <si>
    <t>60D-MAT-RB-FOAM-71.50X56.50X60MM</t>
  </si>
  <si>
    <t>SFG-FRPKETOS-MEM-BOR-72X63X10</t>
  </si>
  <si>
    <t>SFG-FRBNPKMEM-11CM-ET-CVR-72X63</t>
  </si>
  <si>
    <t>60D-MAT-RB-FOAM-71.50X62.50X60MM</t>
  </si>
  <si>
    <t>SFG-FRPKETOS-MEM-BOR-72X69X10</t>
  </si>
  <si>
    <t>SFG-FRBNPKMEM-11CM-ET-CVR-72X69</t>
  </si>
  <si>
    <t>60D-MAT-RB-FOAM-71.50X68.50X60MM</t>
  </si>
  <si>
    <t>SFG-FRPKETOS-MEM-BOR-75X33X10</t>
  </si>
  <si>
    <t>SFG-FRBNPKMEM-11CM-ET-CVR-75X33</t>
  </si>
  <si>
    <t>60D-MAT-RB-FOAM-74.50X32.50X60MM</t>
  </si>
  <si>
    <t>SFG-FRPKETOS-MEM-BOR-75X39X10</t>
  </si>
  <si>
    <t>SFG-FRBNPKMEM-11CM-ET-CVR-75X39</t>
  </si>
  <si>
    <t>60D-MAT-RB-FOAM-74.50X38.50X60MM</t>
  </si>
  <si>
    <t>SFG-FRPKETOS-MEM-BOR-75X45X10</t>
  </si>
  <si>
    <t>SFG-FRBNPKMEM-11CM-ET-CVR-75X45</t>
  </si>
  <si>
    <t>60D-MAT-RB-FOAM-74.50X44.50X60MM</t>
  </si>
  <si>
    <t>SFG-FRPKETOS-MEM-BOR-75X51X10</t>
  </si>
  <si>
    <t>SFG-FRBNPKMEM-11CM-ET-CVR-75X51</t>
  </si>
  <si>
    <t>60D-MAT-RB-FOAM-74.50X50.50X60MM</t>
  </si>
  <si>
    <t>SFG-FRPKETOS-MEM-BOR-75X54X10</t>
  </si>
  <si>
    <t>SFG-FRBNPKMEM-11CM-ET-CVR-75X54</t>
  </si>
  <si>
    <t>60D-MAT-RB-FOAM-74.50X53.50X60MM</t>
  </si>
  <si>
    <t>SFG-FRPKETOS-MEM-BOR-75X57X10</t>
  </si>
  <si>
    <t>SFG-FRBNPKMEM-11CM-ET-CVR-75X57</t>
  </si>
  <si>
    <t>60D-MAT-RB-FOAM-74.50X56.50X60MM</t>
  </si>
  <si>
    <t>SFG-FRPKETOS-MEM-BOR-75X63X10</t>
  </si>
  <si>
    <t>SFG-FRBNPKMEM-11CM-ET-CVR-75X63</t>
  </si>
  <si>
    <t>60D-MAT-RB-FOAM-74.50X62.50X60MM</t>
  </si>
  <si>
    <t>SFG-FRPKETOS-MEM-BOR-75X69X10</t>
  </si>
  <si>
    <t>SFG-FRBNPKMEM-11CM-ET-CVR-75X69</t>
  </si>
  <si>
    <t>60D-MAT-RB-FOAM-74.50X68.50X60MM</t>
  </si>
  <si>
    <t>SFG-FRPKETOS-MEM-BOR-78X33X10</t>
  </si>
  <si>
    <t>SFG-FRBNPKMEM-11CM-ET-CVR-78X33</t>
  </si>
  <si>
    <t>60D-MAT-RB-FOAM-77.50X32.50X60MM</t>
  </si>
  <si>
    <t>SFG-FRPKETOS-MEM-BOR-78X39X10</t>
  </si>
  <si>
    <t>SFG-FRBNPKMEM-11CM-ET-CVR-78X39</t>
  </si>
  <si>
    <t>60D-MAT-RB-FOAM-77.50X38.50X60MM</t>
  </si>
  <si>
    <t>SFG-FRPKETOS-MEM-BOR-78X45X10</t>
  </si>
  <si>
    <t>SFG-FRBNPKMEM-11CM-ET-CVR-78X45</t>
  </si>
  <si>
    <t>60D-MAT-RB-FOAM-77.50X44.50X60MM</t>
  </si>
  <si>
    <t>SFG-FRPKETOS-MEM-BOR-78X51X10</t>
  </si>
  <si>
    <t>SFG-FRBNPKMEM-11CM-ET-CVR-78X51</t>
  </si>
  <si>
    <t>60D-MAT-RB-FOAM-77.50X50.50X60MM</t>
  </si>
  <si>
    <t>SFG-FRPKETOS-MEM-BOR-78X54X10</t>
  </si>
  <si>
    <t>SFG-FRBNPKMEM-11CM-ET-CVR-78X54</t>
  </si>
  <si>
    <t>60D-MAT-RB-FOAM-77.50X53.50X60MM</t>
  </si>
  <si>
    <t>SFG-FRPKETOS-MEM-BOR-78X57X10</t>
  </si>
  <si>
    <t>SFG-FRBNPKMEM-11CM-ET-CVR-78X57</t>
  </si>
  <si>
    <t>60D-MAT-RB-FOAM-77.50X56.50X60MM</t>
  </si>
  <si>
    <t>SFG-FRPKETOS-MEM-BOR-78X63X10</t>
  </si>
  <si>
    <t>SFG-FRBNPKMEM-11CM-ET-CVR-78X63</t>
  </si>
  <si>
    <t>60D-MAT-RB-FOAM-77.50X62.50X60MM</t>
  </si>
  <si>
    <t>SFG-FRPKETOS-MEM-BOR-78X69X10</t>
  </si>
  <si>
    <t>SFG-FRBNPKMEM-11CM-ET-CVR-78X69</t>
  </si>
  <si>
    <t>60D-MAT-RB-FOAM-77.50X68.50X60MM</t>
  </si>
  <si>
    <t>SFG-FRPKETOS-MEM-BOR-80X33X10</t>
  </si>
  <si>
    <t>SFG-FRBNPKMEM-11CM-ET-CVR-80X33</t>
  </si>
  <si>
    <t>60D-MAT-RB-FOAM-79.50X32.50X60MM</t>
  </si>
  <si>
    <t>SFG-FRPKETOS-MEM-BOR-80X39X10</t>
  </si>
  <si>
    <t>SFG-FRBNPKMEM-11CM-ET-CVR-80X39</t>
  </si>
  <si>
    <t>60D-MAT-RB-FOAM-79.50X38.50X60MM</t>
  </si>
  <si>
    <t>SFG-FRPKETOS-MEM-BOR-80X45X10</t>
  </si>
  <si>
    <t>SFG-FRBNPKMEM-11CM-ET-CVR-80X45</t>
  </si>
  <si>
    <t>60D-MAT-RB-FOAM-79.50X44.50X60MM</t>
  </si>
  <si>
    <t>SFG-FRPKETOS-MEM-BOR-80X51X10</t>
  </si>
  <si>
    <t>SFG-FRBNPKMEM-11CM-ET-CVR-80X51</t>
  </si>
  <si>
    <t>60D-MAT-RB-FOAM-79.50X50.50X60MM</t>
  </si>
  <si>
    <t>SFG-FRPKETOS-MEM-BOR-80X54X10</t>
  </si>
  <si>
    <t>SFG-FRBNPKMEM-11CM-ET-CVR-80X54</t>
  </si>
  <si>
    <t>60D-MAT-RB-FOAM-79.50X53.50X60MM</t>
  </si>
  <si>
    <t>SFG-FRPKETOS-MEM-BOR-80X57X10</t>
  </si>
  <si>
    <t>SFG-FRBNPKMEM-11CM-ET-CVR-80X57</t>
  </si>
  <si>
    <t>60D-MAT-RB-FOAM-79.50X56.50X60MM</t>
  </si>
  <si>
    <t>SFG-FRPKETOS-MEM-BOR-80X63X10</t>
  </si>
  <si>
    <t>SFG-FRBNPKMEM-11CM-ET-CVR-80X63</t>
  </si>
  <si>
    <t>60D-MAT-RB-FOAM-79.50X62.50X60MM</t>
  </si>
  <si>
    <t>SFG-FRPKETOS-MEM-BOR-80X69X10</t>
  </si>
  <si>
    <t>SFG-FRBNPKMEM-11CM-ET-CVR-80X69</t>
  </si>
  <si>
    <t>60D-MAT-RB-FOAM-79.50X68.50X60MM</t>
  </si>
  <si>
    <t>SFG-FRPKETOS-MEM-BOR-84X33X10</t>
  </si>
  <si>
    <t>SFG-FRBNPKMEM-11CM-ET-CVR-84X33</t>
  </si>
  <si>
    <t>60D-MAT-RB-FOAM-83.50X32.50X60MM</t>
  </si>
  <si>
    <t>SFG-FRPKETOS-MEM-BOR-84X39X10</t>
  </si>
  <si>
    <t>SFG-FRBNPKMEM-11CM-ET-CVR-84X39</t>
  </si>
  <si>
    <t>60D-MAT-RB-FOAM-83.50X38.50X60MM</t>
  </si>
  <si>
    <t>SFG-FRPKETOS-MEM-BOR-84X45X10</t>
  </si>
  <si>
    <t>SFG-FRBNPKMEM-11CM-ET-CVR-84X45</t>
  </si>
  <si>
    <t>60D-MAT-RB-FOAM-83.50X44.50X60MM</t>
  </si>
  <si>
    <t>SFG-FRPKETOS-MEM-BOR-84X51X10</t>
  </si>
  <si>
    <t>SFG-FRBNPKMEM-11CM-ET-CVR-84X51</t>
  </si>
  <si>
    <t>60D-MAT-RB-FOAM-83.50X50.50X60MM</t>
  </si>
  <si>
    <t>SFG-FRPKETOS-MEM-BOR-84X54X10</t>
  </si>
  <si>
    <t>SFG-FRBNPKMEM-11CM-ET-CVR-84X54</t>
  </si>
  <si>
    <t>60D-MAT-RB-FOAM-83.50X53.50X60MM</t>
  </si>
  <si>
    <t>SFG-FRPKETOS-MEM-BOR-84X57X10</t>
  </si>
  <si>
    <t>SFG-FRBNPKMEM-11CM-ET-CVR-84X57</t>
  </si>
  <si>
    <t>60D-MAT-RB-FOAM-83.50X56.50X60MM</t>
  </si>
  <si>
    <t>SFG-FRPKETOS-MEM-BOR-84X63X10</t>
  </si>
  <si>
    <t>SFG-FRBNPKMEM-11CM-ET-CVR-84X63</t>
  </si>
  <si>
    <t>60D-MAT-RB-FOAM-83.50X62.50X60MM</t>
  </si>
  <si>
    <t>SFG-FRPKETOS-MEM-BOR-84X69X10</t>
  </si>
  <si>
    <t>SFG-FRBNPKMEM-11CM-ET-CVR-84X69</t>
  </si>
  <si>
    <t>60D-MAT-RB-FOAM-83.50X68.50X60MM</t>
  </si>
  <si>
    <t>RTHTMTPKMFET72X30X10</t>
  </si>
  <si>
    <t>SFG-FRPKETOS-MEM-BOR-72X30X10</t>
  </si>
  <si>
    <t>SFG-FRBNPKMEM-11CM-ET-CVR-72X30</t>
  </si>
  <si>
    <t>60D-MAT-RB-FOAM-71.50X29.50X60MM</t>
  </si>
  <si>
    <t>RTHTMTPKMFET72X36X10</t>
  </si>
  <si>
    <t>SFG-FRPKETOS-MEM-BOR-72X36X10</t>
  </si>
  <si>
    <t>SFG-FRBNPKMEM-11CM-ET-CVR-72X36</t>
  </si>
  <si>
    <t>60D-MAT-RB-FOAM-71.50X35.50X60MM</t>
  </si>
  <si>
    <t>RTHTMTPKMFET72X42X10</t>
  </si>
  <si>
    <t>SFG-FRPKETOS-MEM-BOR-72X42X10</t>
  </si>
  <si>
    <t>SFG-FRBNPKMEM-11CM-ET-CVR-72X42</t>
  </si>
  <si>
    <t>60D-MAT-RB-FOAM-71.50X41.50X60MM</t>
  </si>
  <si>
    <t>RTHTMTPKMFET72X48X10</t>
  </si>
  <si>
    <t>SFG-FRPKETOS-MEM-BOR-72X48X10</t>
  </si>
  <si>
    <t>SFG-FRBNPKMEM-11CM-ET-CVR-72X48</t>
  </si>
  <si>
    <t>60D-MAT-RB-FOAM-71.50X47.50X60MM</t>
  </si>
  <si>
    <t>RTHTMTPKMFET72X60X10</t>
  </si>
  <si>
    <t>SFG-FRPKETOS-MEM-BOR-72X60X10</t>
  </si>
  <si>
    <t>SFG-FRBNPKMEM-11CM-ET-CVR-72X60</t>
  </si>
  <si>
    <t>60D-MAT-RB-FOAM-71.50X59.50X60MM</t>
  </si>
  <si>
    <t>RTHTMTPKMFET72X66X10</t>
  </si>
  <si>
    <t>SFG-FRPKETOS-MEM-BOR-72X66X10</t>
  </si>
  <si>
    <t>SFG-FRBNPKMEM-11CM-ET-CVR-72X66</t>
  </si>
  <si>
    <t>60D-MAT-RB-FOAM-71.50X65.50X60MM</t>
  </si>
  <si>
    <t>RTHTMTPKMFET72X72X10</t>
  </si>
  <si>
    <t>SFG-FRPKETOS-MEM-BOR-72X72X10</t>
  </si>
  <si>
    <t>SFG-FRBNPKMEM-11CM-ET-CVR-72X72</t>
  </si>
  <si>
    <t>60D-MAT-RB-FOAM-71.50X71.50X60MM</t>
  </si>
  <si>
    <t>RTHTMTPKMFET75X30X10</t>
  </si>
  <si>
    <t>SFG-FRPKETOS-MEM-BOR-75X30X10</t>
  </si>
  <si>
    <t>SFG-FRBNPKMEM-11CM-ET-CVR-75X30</t>
  </si>
  <si>
    <t>60D-MAT-RB-FOAM-74.50X29.50X60MM</t>
  </si>
  <si>
    <t>RTHTMTPKMFET75X36X10</t>
  </si>
  <si>
    <t>SFG-FRPKETOS-MEM-BOR-75X36X10</t>
  </si>
  <si>
    <t>SFG-FRBNPKMEM-11CM-ET-CVR-75X36</t>
  </si>
  <si>
    <t>60D-MAT-RB-FOAM-74.50X35.50X60MM</t>
  </si>
  <si>
    <t>RTHTMTPKMFET75X42X10</t>
  </si>
  <si>
    <t>SFG-FRPKETOS-MEM-BOR-75X42X10</t>
  </si>
  <si>
    <t>SFG-FRBNPKMEM-11CM-ET-CVR-75X42</t>
  </si>
  <si>
    <t>60D-MAT-RB-FOAM-74.50X41.50X60MM</t>
  </si>
  <si>
    <t>RTHTMTPKMFET75X48X10</t>
  </si>
  <si>
    <t>SFG-FRPKETOS-MEM-BOR-75X48X10</t>
  </si>
  <si>
    <t>SFG-FRBNPKMEM-11CM-ET-CVR-75X48</t>
  </si>
  <si>
    <t>60D-MAT-RB-FOAM-74.50X47.50X60MM</t>
  </si>
  <si>
    <t>RTHTMTPKMFET75X60X10</t>
  </si>
  <si>
    <t>SFG-FRPKETOS-MEM-BOR-75X60X10</t>
  </si>
  <si>
    <t>SFG-FRBNPKMEM-11CM-ET-CVR-75X60</t>
  </si>
  <si>
    <t>60D-MAT-RB-FOAM-74.50X59.50X60MM</t>
  </si>
  <si>
    <t>RTHTMTPKMFET75X66X10</t>
  </si>
  <si>
    <t>SFG-FRPKETOS-MEM-BOR-75X66X10</t>
  </si>
  <si>
    <t>SFG-FRBNPKMEM-11CM-ET-CVR-75X66</t>
  </si>
  <si>
    <t>60D-MAT-RB-FOAM-74.50X65.50X60MM</t>
  </si>
  <si>
    <t>RTHTMTPKMFET75X72X10</t>
  </si>
  <si>
    <t>SFG-FRPKETOS-MEM-BOR-75X72X10</t>
  </si>
  <si>
    <t>SFG-FRBNPKMEM-11CM-ET-CVR-75X72</t>
  </si>
  <si>
    <t>60D-MAT-RB-FOAM-74.50X71.50X60MM</t>
  </si>
  <si>
    <t>RTHTMTPKMFET78X30X10</t>
  </si>
  <si>
    <t>SFG-FRPKETOS-MEM-BOR-78X30X10</t>
  </si>
  <si>
    <t>SFG-FRBNPKMEM-11CM-ET-CVR-78X30</t>
  </si>
  <si>
    <t>60D-MAT-RB-FOAM-77.50X29.50X60MM</t>
  </si>
  <si>
    <t>RTHTMTPKMFET78X36X10</t>
  </si>
  <si>
    <t>SFG-FRPKETOS-MEM-BOR-78X36X10</t>
  </si>
  <si>
    <t>SFG-FRBNPKMEM-11CM-ET-CVR-78X36</t>
  </si>
  <si>
    <t>60D-MAT-RB-FOAM-77.50X35.50X60MM</t>
  </si>
  <si>
    <t>RTHTMTPKMFET78X42X10</t>
  </si>
  <si>
    <t>SFG-FRPKETOS-MEM-BOR-78X42X10</t>
  </si>
  <si>
    <t>SFG-FRBNPKMEM-11CM-ET-CVR-78X42</t>
  </si>
  <si>
    <t>60D-MAT-RB-FOAM-77.50X41.50X60MM</t>
  </si>
  <si>
    <t>RTHTMTPKMFET78X48X10</t>
  </si>
  <si>
    <t>SFG-FRPKETOS-MEM-BOR-78X48X10</t>
  </si>
  <si>
    <t>SFG-FRBNPKMEM-11CM-ET-CVR-78X48</t>
  </si>
  <si>
    <t>60D-MAT-RB-FOAM-77.50X47.50X60MM</t>
  </si>
  <si>
    <t>RTHTMTPKMFET78X60X10</t>
  </si>
  <si>
    <t>SFG-FRPKETOS-MEM-BOR-78X60X10</t>
  </si>
  <si>
    <t>SFG-FRBNPKMEM-11CM-ET-CVR-78X60</t>
  </si>
  <si>
    <t>60D-MAT-RB-FOAM-77.50X59.50X60MM</t>
  </si>
  <si>
    <t>RTHTMTPKMFET78X66X10</t>
  </si>
  <si>
    <t>SFG-FRPKETOS-MEM-BOR-78X66X10</t>
  </si>
  <si>
    <t>SFG-FRBNPKMEM-11CM-ET-CVR-78X66</t>
  </si>
  <si>
    <t>60D-MAT-RB-FOAM-77.50X65.50X60MM</t>
  </si>
  <si>
    <t>RTHTMTPKMFET78X72X10</t>
  </si>
  <si>
    <t>SFG-FRPKETOS-MEM-BOR-78X72X10</t>
  </si>
  <si>
    <t>SFG-FRBNPKMEM-11CM-ET-CVR-78X72</t>
  </si>
  <si>
    <t>60D-MAT-RB-FOAM-77.50X71.50X60MM</t>
  </si>
  <si>
    <t>RTHTMTPKMFET80X30X10</t>
  </si>
  <si>
    <t>SFG-FRPKETOS-MEM-BOR-80X30X10</t>
  </si>
  <si>
    <t>SFG-FRBNPKMEM-11CM-ET-CVR-80X30</t>
  </si>
  <si>
    <t>60D-MAT-RB-FOAM-79.50X29.50X60MM</t>
  </si>
  <si>
    <t>RTHTMTPKMFET80X36X10</t>
  </si>
  <si>
    <t>SFG-FRPKETOS-MEM-BOR-80X36X10</t>
  </si>
  <si>
    <t>SFG-FRBNPKMEM-11CM-ET-CVR-80X36</t>
  </si>
  <si>
    <t>60D-MAT-RB-FOAM-79.50X35.50X60MM</t>
  </si>
  <si>
    <t>RTHTMTPKMFET80X42X10</t>
  </si>
  <si>
    <t>SFG-FRPKETOS-MEM-BOR-80X42X10</t>
  </si>
  <si>
    <t>SFG-FRBNPKMEM-11CM-ET-CVR-80X42</t>
  </si>
  <si>
    <t>60D-MAT-RB-FOAM-79.50X41.50X60MM</t>
  </si>
  <si>
    <t>RTHTMTPKMFET80X48X10</t>
  </si>
  <si>
    <t>SFG-FRPKETOS-MEM-BOR-80X48X10</t>
  </si>
  <si>
    <t>SFG-FRBNPKMEM-11CM-ET-CVR-80X48</t>
  </si>
  <si>
    <t>60D-MAT-RB-FOAM-79.50X47.50X60MM</t>
  </si>
  <si>
    <t>RTHTMTPKMFET80X60X10</t>
  </si>
  <si>
    <t>SFG-FRPKETOS-MEM-BOR-80X60X10</t>
  </si>
  <si>
    <t>SFG-FRBNPKMEM-11CM-ET-CVR-80X60</t>
  </si>
  <si>
    <t>60D-MAT-RB-FOAM-79.50X59.50X60MM</t>
  </si>
  <si>
    <t>RTHTMTPKMFET80X66X10</t>
  </si>
  <si>
    <t>SFG-FRPKETOS-MEM-BOR-80X66X10</t>
  </si>
  <si>
    <t>SFG-FRBNPKMEM-11CM-ET-CVR-80X66</t>
  </si>
  <si>
    <t>60D-MAT-RB-FOAM-79.50X65.50X60MM</t>
  </si>
  <si>
    <t>RTHTMTPKMFET80X72X10</t>
  </si>
  <si>
    <t>SFG-FRPKETOS-MEM-BOR-80X72X10</t>
  </si>
  <si>
    <t>SFG-FRBNPKMEM-11CM-ET-CVR-80X72</t>
  </si>
  <si>
    <t>60D-MAT-RB-FOAM-79.50X71.50X60MM</t>
  </si>
  <si>
    <t>RTHTMTPKMFET84X30X10</t>
  </si>
  <si>
    <t>SFG-FRPKETOS-MEM-BOR-84X30X10</t>
  </si>
  <si>
    <t>SFG-FRBNPKMEM-11CM-ET-CVR-84X30</t>
  </si>
  <si>
    <t>60D-MAT-RB-FOAM-83.50X29.50X60MM</t>
  </si>
  <si>
    <t>RTHTMTPKMFET84X36X10</t>
  </si>
  <si>
    <t>SFG-FRPKETOS-MEM-BOR-84X36X10</t>
  </si>
  <si>
    <t>SFG-FRBNPKMEM-11CM-ET-CVR-84X36</t>
  </si>
  <si>
    <t>60D-MAT-RB-FOAM-83.50X35.50X60MM</t>
  </si>
  <si>
    <t>RTHTMTPKMFET84X42X10</t>
  </si>
  <si>
    <t>SFG-FRPKETOS-MEM-BOR-84X42X10</t>
  </si>
  <si>
    <t>SFG-FRBNPKMEM-11CM-ET-CVR-84X42</t>
  </si>
  <si>
    <t>60D-MAT-RB-FOAM-83.50X41.50X60MM</t>
  </si>
  <si>
    <t>RTHTMTPKMFET84X48X10</t>
  </si>
  <si>
    <t>SFG-FRPKETOS-MEM-BOR-84X48X10</t>
  </si>
  <si>
    <t>SFG-FRBNPKMEM-11CM-ET-CVR-84X48</t>
  </si>
  <si>
    <t>60D-MAT-RB-FOAM-83.50X47.50X60MM</t>
  </si>
  <si>
    <t>RTHTMTPKMFET84X60X10</t>
  </si>
  <si>
    <t>SFG-FRPKETOS-MEM-BOR-84X60X10</t>
  </si>
  <si>
    <t>SFG-FRBNPKMEM-11CM-ET-CVR-84X60</t>
  </si>
  <si>
    <t>60D-MAT-RB-FOAM-83.50X59.50X60MM</t>
  </si>
  <si>
    <t>RTHTMTPKMFET84X66X10</t>
  </si>
  <si>
    <t>SFG-FRPKETOS-MEM-BOR-84X66X10</t>
  </si>
  <si>
    <t>SFG-FRBNPKMEM-11CM-ET-CVR-84X66</t>
  </si>
  <si>
    <t>60D-MAT-RB-FOAM-83.50X65.50X60MM</t>
  </si>
  <si>
    <t>RTHTMTPKMFET84X72X10</t>
  </si>
  <si>
    <t>SFG-FRPKETOS-MEM-BOR-84X72X10</t>
  </si>
  <si>
    <t>SFG-FRBNPKMEM-11CM-ET-CVR-84X72</t>
  </si>
  <si>
    <t>60D-MAT-RB-FOAM-83.50X71.50X60MM</t>
  </si>
  <si>
    <t>OEPKBOXSR71.50X32.50X220</t>
  </si>
  <si>
    <t>OEPKBOXSR71.50X38.50X220</t>
  </si>
  <si>
    <t>OEPKBOXSR71.50X44.50X220</t>
  </si>
  <si>
    <t>OEPKBOXSR71.50X50.50X220</t>
  </si>
  <si>
    <t>OEPKBOXSR71.50X53.50X220</t>
  </si>
  <si>
    <t>OEPKBOXSR71.50X56.50X220</t>
  </si>
  <si>
    <t>OEPKBOXSR71.50X62.50X220</t>
  </si>
  <si>
    <t>OEPKBOXSR71.50X68.50X220</t>
  </si>
  <si>
    <t>OEPKBOXSR74.50X32.50X220</t>
  </si>
  <si>
    <t>OEPKBOXSR74.50X38.50X220</t>
  </si>
  <si>
    <t>OEPKBOXSR74.50X44.50X220</t>
  </si>
  <si>
    <t>OEPKBOXSR74.50X50.50X220</t>
  </si>
  <si>
    <t>OEPKBOXSR74.50X53.50X220</t>
  </si>
  <si>
    <t>OEPKBOXSR74.50X56.50X220</t>
  </si>
  <si>
    <t>OEPKBOXSR74.50X62.50X220</t>
  </si>
  <si>
    <t>OEPKBOXSR74.50X68.50X220</t>
  </si>
  <si>
    <t>OEPKBOXSR77.50X32.50X220</t>
  </si>
  <si>
    <t>OEPKBOXSR77.50X38.50X220</t>
  </si>
  <si>
    <t>OEPKBOXSR77.50X44.50X220</t>
  </si>
  <si>
    <t>OEPKBOXSR77.50X50.50X220</t>
  </si>
  <si>
    <t>OEPKBOXSR77.50X53.50X220</t>
  </si>
  <si>
    <t>OEPKBOXSR77.50X56.50X220</t>
  </si>
  <si>
    <t>OEPKBOXSR77.50X62.50X220</t>
  </si>
  <si>
    <t>OEPKBOXSR77.50X68.50X220</t>
  </si>
  <si>
    <t>OEPKBOXSR79.50X32.50X220</t>
  </si>
  <si>
    <t>OEPKBOXSR79.50X38.50X220</t>
  </si>
  <si>
    <t>OEPKBOXSR79.50X44.50X220</t>
  </si>
  <si>
    <t>OEPKBOXSR79.50X50.50X220</t>
  </si>
  <si>
    <t>OEPKBOXSR79.50X53.50X220</t>
  </si>
  <si>
    <t>OEPKBOXSR79.50X56.50X220</t>
  </si>
  <si>
    <t>OEPKBOXSR79.50X62.50X220</t>
  </si>
  <si>
    <t>OEPKBOXSR79.50X68.50X220</t>
  </si>
  <si>
    <t>OEPKBOXSR83.50X32.50X220</t>
  </si>
  <si>
    <t>OEPKBOXSR83.50X38.50X220</t>
  </si>
  <si>
    <t>OEPKBOXSR83.50X44.50X220</t>
  </si>
  <si>
    <t>OEPKBOXSR83.50X50.50X220</t>
  </si>
  <si>
    <t>OEPKBOXSR83.50X53.50X220</t>
  </si>
  <si>
    <t>OEPKBOXSR83.50X56.50X220</t>
  </si>
  <si>
    <t>OEPKBOXSR83.50X62.50X220</t>
  </si>
  <si>
    <t>OEPKBOXSR83.50X68.50X220</t>
  </si>
  <si>
    <t>OEPKBOXSR71.50X29.50X220</t>
  </si>
  <si>
    <t>OEPKBOXSR71.50X35.50X220</t>
  </si>
  <si>
    <t>OEPKBOXSR71.50X41.50X220</t>
  </si>
  <si>
    <t>OEPKBOXSR71.50X47.50X220</t>
  </si>
  <si>
    <t>OEPKBOXSR71.50X59.50X220</t>
  </si>
  <si>
    <t>OEPKBOXSR71.50X65.50X220</t>
  </si>
  <si>
    <t>OEPKBOXSR71.50X71.50X220</t>
  </si>
  <si>
    <t>OEPKBOXSR74.50X29.50X220</t>
  </si>
  <si>
    <t>OEPKBOXSR74.50X35.50X220</t>
  </si>
  <si>
    <t>OEPKBOXSR74.50X41.50X220</t>
  </si>
  <si>
    <t>OEPKBOXSR74.50X47.50X220</t>
  </si>
  <si>
    <t>OEPKBOXSR74.50X59.50X220</t>
  </si>
  <si>
    <t>OEPKBOXSR74.50X65.50X220</t>
  </si>
  <si>
    <t>OEPKBOXSR74.50X71.50X220</t>
  </si>
  <si>
    <t>OEPKBOXSR77.50X29.50X220</t>
  </si>
  <si>
    <t>OEPKBOXSR77.50X35.50X220</t>
  </si>
  <si>
    <t>OEPKBOXSR77.50X41.50X220</t>
  </si>
  <si>
    <t>OEPKBOXSR77.50X47.50X220</t>
  </si>
  <si>
    <t>OEPKBOXSR77.50X59.50X220</t>
  </si>
  <si>
    <t>OEPKBOXSR77.50X65.50X220</t>
  </si>
  <si>
    <t>OEPKBOXSR77.50X71.50X220</t>
  </si>
  <si>
    <t>OEPKBOXSR79.50X29.50X220</t>
  </si>
  <si>
    <t>OEPKBOXSR79.50X35.50X220</t>
  </si>
  <si>
    <t>OEPKBOXSR79.50X41.50X220</t>
  </si>
  <si>
    <t>OEPKBOXSR79.50X47.50X220</t>
  </si>
  <si>
    <t>OEPKBOXSR79.50X59.50X220</t>
  </si>
  <si>
    <t>OEPKBOXSR79.50X65.50X220</t>
  </si>
  <si>
    <t>OEPKBOXSR79.50X71.50X220</t>
  </si>
  <si>
    <t>OEPKBOXSR83.50X29.50X220</t>
  </si>
  <si>
    <t>OEPKBOXSR83.50X35.50X220</t>
  </si>
  <si>
    <t>OEPKBOXSR83.50X41.50X220</t>
  </si>
  <si>
    <t>OEPKBOXSR83.50X47.50X220</t>
  </si>
  <si>
    <t>OEPKBOXSR83.50X59.50X220</t>
  </si>
  <si>
    <t>OEPKBOXSR83.50X65.50X220</t>
  </si>
  <si>
    <t>OEPKBOXSR83.50X71.50X220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</si>
</sst>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N16" sqref="N16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90</v>
      </c>
      <c r="S1" s="35" t="s">
        <v>91</v>
      </c>
      <c r="T1" s="35" t="s">
        <v>92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"RTHTMTPKMFET"&amp;$K$2&amp;"X"&amp;$L$2&amp;"X"&amp;IF($M$2=10,$M$2,"0"&amp;$M$2)</f>
        <v>RTHTMTPKMFET84X72X10</v>
      </c>
      <c r="E2" s="1" t="str">
        <f>"OEPKBOXSR"&amp;(K2-0.5)&amp;"0"&amp;"X"&amp;(L2-0.5)&amp;"0"&amp;"X"&amp;IF(M2=6,"110",IF(M2=8,"160",IF(M2=10,"220",0)))</f>
        <v>OEPKBOXSR83.50X71.50X220</v>
      </c>
      <c r="F2" s="38" t="s">
        <v>11</v>
      </c>
      <c r="G2" s="39">
        <v>1</v>
      </c>
      <c r="H2" s="39">
        <f t="shared" ref="H2" si="0">ROUND(G2,3)</f>
        <v>1</v>
      </c>
      <c r="I2" s="20" t="s">
        <v>18</v>
      </c>
      <c r="J2" s="5"/>
      <c r="K2" s="6">
        <v>84</v>
      </c>
      <c r="L2" s="6">
        <v>72</v>
      </c>
      <c r="M2" s="34">
        <v>10</v>
      </c>
      <c r="N2" s="6"/>
      <c r="P2" s="4" t="s">
        <v>95</v>
      </c>
      <c r="R2" s="31" t="s">
        <v>96</v>
      </c>
      <c r="S2" s="31" t="s">
        <v>97</v>
      </c>
      <c r="T2" s="31">
        <v>10</v>
      </c>
      <c r="U2" s="32" t="s">
        <v>113</v>
      </c>
    </row>
    <row r="3" spans="1:21" s="18" customFormat="1" x14ac:dyDescent="0.25">
      <c r="A3" s="33">
        <v>2</v>
      </c>
      <c r="B3" s="7" t="s">
        <v>19</v>
      </c>
      <c r="C3" s="9" t="s">
        <v>20</v>
      </c>
      <c r="D3" s="7" t="str">
        <f t="shared" ref="D3:D19" si="1">"RTHTMTPKMFET"&amp;$K$2&amp;"X"&amp;$L$2&amp;"X"&amp;IF($M$2=10,$M$2,"0"&amp;$M$2)</f>
        <v>RTHTMTPKMFET84X72X10</v>
      </c>
      <c r="E3" s="19" t="s">
        <v>114</v>
      </c>
      <c r="F3" s="11" t="s">
        <v>17</v>
      </c>
      <c r="G3" s="10">
        <f>IF(K2&lt;79,(L2+1),(K2+1))*0.0254</f>
        <v>2.1589999999999998</v>
      </c>
      <c r="H3" s="39">
        <f>ROUND(G3,3)</f>
        <v>2.1589999999999998</v>
      </c>
      <c r="I3" s="20" t="s">
        <v>18</v>
      </c>
      <c r="J3" s="5"/>
      <c r="K3" s="17"/>
      <c r="L3" s="17"/>
      <c r="M3" s="17"/>
      <c r="N3" s="17"/>
      <c r="O3" s="4"/>
      <c r="R3" s="31" t="s">
        <v>96</v>
      </c>
      <c r="S3" s="31" t="s">
        <v>98</v>
      </c>
      <c r="T3" s="31">
        <v>10</v>
      </c>
      <c r="U3" s="32" t="s">
        <v>113</v>
      </c>
    </row>
    <row r="4" spans="1:21" x14ac:dyDescent="0.25">
      <c r="A4" s="33">
        <v>3</v>
      </c>
      <c r="B4" s="7" t="s">
        <v>19</v>
      </c>
      <c r="C4" s="9" t="s">
        <v>117</v>
      </c>
      <c r="D4" s="7" t="str">
        <f>"RTHTMTPKMFET"&amp;$K$2&amp;"X"&amp;$L$2&amp;"X"&amp;IF($M$2=10,$M$2,"0"&amp;$M$2)</f>
        <v>RTHTMTPKMFET84X72X10</v>
      </c>
      <c r="E4" s="19" t="str">
        <f>"SFG-FRPKETOS-MEM-BOR-"&amp;K2&amp;"X"&amp;L2&amp;"X"&amp;IF(M2=10,10,"0"&amp;M2)</f>
        <v>SFG-FRPKETOS-MEM-BOR-84X72X10</v>
      </c>
      <c r="F4" s="11" t="s">
        <v>11</v>
      </c>
      <c r="G4" s="10">
        <v>1</v>
      </c>
      <c r="H4" s="39">
        <f>ROUND(G4,3)</f>
        <v>1</v>
      </c>
      <c r="I4" s="20" t="s">
        <v>18</v>
      </c>
      <c r="J4" s="12"/>
      <c r="O4" s="18"/>
      <c r="R4" s="31" t="s">
        <v>96</v>
      </c>
      <c r="S4" s="31" t="s">
        <v>99</v>
      </c>
      <c r="T4" s="31">
        <v>10</v>
      </c>
      <c r="U4" s="32" t="s">
        <v>113</v>
      </c>
    </row>
    <row r="5" spans="1:21" x14ac:dyDescent="0.25">
      <c r="A5" s="33">
        <v>4</v>
      </c>
      <c r="B5" s="7" t="s">
        <v>19</v>
      </c>
      <c r="C5" s="9" t="s">
        <v>118</v>
      </c>
      <c r="D5" s="7" t="str">
        <f t="shared" si="1"/>
        <v>RTHTMTPKMFET84X72X10</v>
      </c>
      <c r="E5" s="19" t="str">
        <f>"SFG-FRBNPKMEM-11CM-ET-CVR-"&amp;K2&amp;"X"&amp;L2</f>
        <v>SFG-FRBNPKMEM-11CM-ET-CVR-84X72</v>
      </c>
      <c r="F5" s="11" t="s">
        <v>11</v>
      </c>
      <c r="G5" s="10">
        <v>1</v>
      </c>
      <c r="H5" s="39">
        <f>ROUND(G5,3)</f>
        <v>1</v>
      </c>
      <c r="I5" s="20" t="s">
        <v>18</v>
      </c>
      <c r="J5" s="12"/>
      <c r="O5" s="18"/>
      <c r="R5" s="31" t="s">
        <v>96</v>
      </c>
      <c r="S5" s="31" t="s">
        <v>100</v>
      </c>
      <c r="T5" s="31">
        <v>10</v>
      </c>
      <c r="U5" s="32" t="s">
        <v>113</v>
      </c>
    </row>
    <row r="6" spans="1:21" x14ac:dyDescent="0.25">
      <c r="A6" s="33">
        <v>5</v>
      </c>
      <c r="B6" s="7" t="s">
        <v>19</v>
      </c>
      <c r="C6" s="9" t="s">
        <v>119</v>
      </c>
      <c r="D6" s="7" t="str">
        <f t="shared" si="1"/>
        <v>RTHTMTPKMFET84X72X10</v>
      </c>
      <c r="E6" s="36" t="s">
        <v>115</v>
      </c>
      <c r="F6" s="11" t="s">
        <v>17</v>
      </c>
      <c r="G6" s="10">
        <f>IF(K2&lt;79,(L2+1),(K2+1))*0.0254</f>
        <v>2.1589999999999998</v>
      </c>
      <c r="H6" s="39">
        <f>ROUND(G6,3)</f>
        <v>2.1589999999999998</v>
      </c>
      <c r="I6" s="20" t="s">
        <v>18</v>
      </c>
      <c r="J6" s="12"/>
      <c r="R6" s="31" t="s">
        <v>96</v>
      </c>
      <c r="S6" s="31" t="s">
        <v>101</v>
      </c>
      <c r="T6" s="31">
        <v>10</v>
      </c>
      <c r="U6" s="32" t="s">
        <v>113</v>
      </c>
    </row>
    <row r="7" spans="1:21" x14ac:dyDescent="0.25">
      <c r="A7" s="33">
        <v>6</v>
      </c>
      <c r="B7" s="7" t="s">
        <v>120</v>
      </c>
      <c r="C7" s="9" t="s">
        <v>16</v>
      </c>
      <c r="D7" s="7" t="str">
        <f t="shared" si="1"/>
        <v>RTHTMTPKMFET84X72X10</v>
      </c>
      <c r="E7" s="9" t="s">
        <v>109</v>
      </c>
      <c r="F7" s="11" t="s">
        <v>110</v>
      </c>
      <c r="G7" s="10">
        <f>((K2-1)*(L2-1)/144)*0.00729*3</f>
        <v>0.89499937500000004</v>
      </c>
      <c r="H7" s="39">
        <f>ROUND(G7,3)</f>
        <v>0.89500000000000002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1" t="s">
        <v>96</v>
      </c>
      <c r="S7" s="31" t="s">
        <v>102</v>
      </c>
      <c r="T7" s="31">
        <v>10</v>
      </c>
      <c r="U7" s="32" t="s">
        <v>113</v>
      </c>
    </row>
    <row r="8" spans="1:21" x14ac:dyDescent="0.25">
      <c r="A8" s="33">
        <v>7</v>
      </c>
      <c r="B8" s="7" t="s">
        <v>22</v>
      </c>
      <c r="C8" s="37" t="s">
        <v>23</v>
      </c>
      <c r="D8" s="7" t="str">
        <f t="shared" si="1"/>
        <v>RTHTMTPKMFET84X72X10</v>
      </c>
      <c r="E8" s="37" t="s">
        <v>111</v>
      </c>
      <c r="F8" s="15" t="s">
        <v>17</v>
      </c>
      <c r="G8" s="10">
        <f>(K2+L2+4)*2*0.0254*3</f>
        <v>24.384</v>
      </c>
      <c r="H8" s="39">
        <f>ROUND(G8,3)</f>
        <v>24.384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1" t="s">
        <v>96</v>
      </c>
      <c r="S8" s="31" t="s">
        <v>103</v>
      </c>
      <c r="T8" s="31">
        <v>10</v>
      </c>
      <c r="U8" s="32" t="s">
        <v>113</v>
      </c>
    </row>
    <row r="9" spans="1:21" x14ac:dyDescent="0.25">
      <c r="A9" s="33">
        <v>8</v>
      </c>
      <c r="B9" s="7" t="s">
        <v>22</v>
      </c>
      <c r="C9" s="37" t="s">
        <v>23</v>
      </c>
      <c r="D9" s="7" t="str">
        <f t="shared" si="1"/>
        <v>RTHTMTPKMFET84X72X10</v>
      </c>
      <c r="E9" s="37" t="s">
        <v>21</v>
      </c>
      <c r="F9" s="15" t="s">
        <v>17</v>
      </c>
      <c r="G9" s="10">
        <f>(K2+L2+4)*2*0.0254*(4.73+1.42)*3</f>
        <v>149.9616</v>
      </c>
      <c r="H9" s="39">
        <f>ROUND(G9,3)</f>
        <v>149.96199999999999</v>
      </c>
      <c r="I9" s="8" t="s">
        <v>15</v>
      </c>
      <c r="J9" s="12"/>
      <c r="K9" s="18"/>
      <c r="L9" s="18"/>
      <c r="M9" s="18"/>
      <c r="N9" s="18"/>
      <c r="O9" s="18"/>
      <c r="P9" s="22"/>
      <c r="Q9" s="18"/>
      <c r="R9" s="31" t="s">
        <v>96</v>
      </c>
      <c r="S9" s="31" t="s">
        <v>104</v>
      </c>
      <c r="T9" s="31">
        <v>10</v>
      </c>
      <c r="U9" s="32" t="s">
        <v>113</v>
      </c>
    </row>
    <row r="10" spans="1:21" x14ac:dyDescent="0.25">
      <c r="A10" s="33">
        <v>9</v>
      </c>
      <c r="B10" s="7" t="s">
        <v>24</v>
      </c>
      <c r="C10" s="37" t="s">
        <v>24</v>
      </c>
      <c r="D10" s="7" t="str">
        <f t="shared" si="1"/>
        <v>RTHTMTPKMFET84X72X10</v>
      </c>
      <c r="E10" s="37" t="str">
        <f>IF(M2=6,"RML-CS-PL-6.5""",IF(M2=8,"RML-CS-PL-8.5",IF(M2=10,"RML-CS-PL-10.5",IF(M2=12,"RML-CS-PL-12.25"))))</f>
        <v>RML-CS-PL-10.5</v>
      </c>
      <c r="F10" s="15" t="s">
        <v>11</v>
      </c>
      <c r="G10" s="10">
        <v>4</v>
      </c>
      <c r="H10" s="39">
        <f>ROUND(G10,3)</f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1" t="s">
        <v>105</v>
      </c>
      <c r="S10" s="31" t="s">
        <v>97</v>
      </c>
      <c r="T10" s="31">
        <v>10</v>
      </c>
      <c r="U10" s="32" t="s">
        <v>113</v>
      </c>
    </row>
    <row r="11" spans="1:21" x14ac:dyDescent="0.25">
      <c r="A11" s="33">
        <v>10</v>
      </c>
      <c r="B11" s="7" t="s">
        <v>24</v>
      </c>
      <c r="C11" s="37" t="s">
        <v>24</v>
      </c>
      <c r="D11" s="7" t="str">
        <f t="shared" si="1"/>
        <v>RTHTMTPKMFET84X72X10</v>
      </c>
      <c r="E11" s="37" t="s">
        <v>25</v>
      </c>
      <c r="F11" s="15" t="s">
        <v>11</v>
      </c>
      <c r="G11" s="10">
        <v>1</v>
      </c>
      <c r="H11" s="39">
        <f>ROUND(G11,3)</f>
        <v>1</v>
      </c>
      <c r="I11" s="8" t="s">
        <v>15</v>
      </c>
      <c r="J11" s="12"/>
      <c r="K11" s="23"/>
      <c r="L11" s="23"/>
      <c r="M11" s="18"/>
      <c r="N11" s="22"/>
      <c r="O11" s="18"/>
      <c r="P11" s="18"/>
      <c r="Q11" s="18"/>
      <c r="R11" s="31" t="s">
        <v>105</v>
      </c>
      <c r="S11" s="31" t="s">
        <v>98</v>
      </c>
      <c r="T11" s="31">
        <v>10</v>
      </c>
      <c r="U11" s="32" t="s">
        <v>113</v>
      </c>
    </row>
    <row r="12" spans="1:21" x14ac:dyDescent="0.25">
      <c r="A12" s="33">
        <v>11</v>
      </c>
      <c r="B12" s="7" t="s">
        <v>24</v>
      </c>
      <c r="C12" s="37" t="s">
        <v>24</v>
      </c>
      <c r="D12" s="7" t="str">
        <f t="shared" si="1"/>
        <v>RTHTMTPKMFET84X72X10</v>
      </c>
      <c r="E12" s="37" t="s">
        <v>26</v>
      </c>
      <c r="F12" s="15" t="s">
        <v>11</v>
      </c>
      <c r="G12" s="14">
        <v>1</v>
      </c>
      <c r="H12" s="39">
        <f>ROUND(G12,3)</f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1" t="s">
        <v>105</v>
      </c>
      <c r="S12" s="31" t="s">
        <v>99</v>
      </c>
      <c r="T12" s="31">
        <v>10</v>
      </c>
      <c r="U12" s="32" t="s">
        <v>113</v>
      </c>
    </row>
    <row r="13" spans="1:21" x14ac:dyDescent="0.25">
      <c r="A13" s="33">
        <v>12</v>
      </c>
      <c r="B13" s="7" t="s">
        <v>24</v>
      </c>
      <c r="C13" s="9" t="s">
        <v>24</v>
      </c>
      <c r="D13" s="7" t="str">
        <f t="shared" si="1"/>
        <v>RTHTMTPKMFET84X72X10</v>
      </c>
      <c r="E13" s="9" t="s">
        <v>27</v>
      </c>
      <c r="F13" s="11" t="s">
        <v>11</v>
      </c>
      <c r="G13" s="14">
        <v>1</v>
      </c>
      <c r="H13" s="39">
        <f>ROUND(G13,3)</f>
        <v>1</v>
      </c>
      <c r="I13" s="8" t="s">
        <v>15</v>
      </c>
      <c r="J13" s="12"/>
      <c r="K13" s="21"/>
      <c r="R13" s="31" t="s">
        <v>105</v>
      </c>
      <c r="S13" s="31" t="s">
        <v>100</v>
      </c>
      <c r="T13" s="31">
        <v>10</v>
      </c>
      <c r="U13" s="32" t="s">
        <v>113</v>
      </c>
    </row>
    <row r="14" spans="1:21" x14ac:dyDescent="0.25">
      <c r="A14" s="33">
        <v>13</v>
      </c>
      <c r="B14" s="7" t="s">
        <v>24</v>
      </c>
      <c r="C14" s="9" t="s">
        <v>24</v>
      </c>
      <c r="D14" s="7" t="str">
        <f t="shared" si="1"/>
        <v>RTHTMTPKMFET84X72X10</v>
      </c>
      <c r="E14" s="9" t="s">
        <v>116</v>
      </c>
      <c r="F14" s="11" t="s">
        <v>14</v>
      </c>
      <c r="G14" s="10">
        <f>IF(K2&lt;76,((L2*2)+(M2*2)+4),((K2*2)+(M2*2)+4))*0.0254*89.5*0.0254*0.00009*1300</f>
        <v>1.2971122444799998</v>
      </c>
      <c r="H14" s="39">
        <f>ROUND(G14,3)</f>
        <v>1.2969999999999999</v>
      </c>
      <c r="I14" s="8" t="s">
        <v>15</v>
      </c>
      <c r="J14" s="12"/>
      <c r="M14" s="21"/>
      <c r="O14" s="21"/>
      <c r="R14" s="31" t="s">
        <v>105</v>
      </c>
      <c r="S14" s="31" t="s">
        <v>101</v>
      </c>
      <c r="T14" s="31">
        <v>10</v>
      </c>
      <c r="U14" s="32" t="s">
        <v>113</v>
      </c>
    </row>
    <row r="15" spans="1:21" x14ac:dyDescent="0.25">
      <c r="A15" s="33">
        <v>14</v>
      </c>
      <c r="B15" s="7" t="s">
        <v>112</v>
      </c>
      <c r="C15" s="9" t="s">
        <v>121</v>
      </c>
      <c r="D15" s="7" t="str">
        <f t="shared" si="1"/>
        <v>RTHTMTPKMFET84X72X10</v>
      </c>
      <c r="E15" s="40" t="str">
        <f>"60D-MAT-RB-FOAM-"&amp;(K2-0.5)&amp;"0"&amp;"X"&amp;(L2-0.5)&amp;"0"&amp;"X60MM"</f>
        <v>60D-MAT-RB-FOAM-83.50X71.50X60MM</v>
      </c>
      <c r="F15" s="8" t="s">
        <v>11</v>
      </c>
      <c r="G15" s="14">
        <v>1</v>
      </c>
      <c r="H15" s="39">
        <f>ROUND(G15,3)</f>
        <v>1</v>
      </c>
      <c r="I15" s="20" t="s">
        <v>18</v>
      </c>
      <c r="J15" s="12"/>
      <c r="N15"/>
      <c r="O15"/>
      <c r="R15" s="31" t="s">
        <v>105</v>
      </c>
      <c r="S15" s="31" t="s">
        <v>102</v>
      </c>
      <c r="T15" s="31">
        <v>10</v>
      </c>
      <c r="U15" s="32" t="s">
        <v>113</v>
      </c>
    </row>
    <row r="16" spans="1:21" x14ac:dyDescent="0.25">
      <c r="J16" s="12"/>
      <c r="M16" s="21"/>
      <c r="N16"/>
      <c r="O16"/>
      <c r="R16" s="31" t="s">
        <v>105</v>
      </c>
      <c r="S16" s="31" t="s">
        <v>103</v>
      </c>
      <c r="T16" s="31">
        <v>10</v>
      </c>
      <c r="U16" s="32" t="s">
        <v>113</v>
      </c>
    </row>
    <row r="17" spans="5:21" x14ac:dyDescent="0.25">
      <c r="J17" s="12"/>
      <c r="M17" s="21"/>
      <c r="N17"/>
      <c r="O17"/>
      <c r="R17" s="31" t="s">
        <v>105</v>
      </c>
      <c r="S17" s="31" t="s">
        <v>104</v>
      </c>
      <c r="T17" s="31">
        <v>10</v>
      </c>
      <c r="U17" s="32" t="s">
        <v>113</v>
      </c>
    </row>
    <row r="18" spans="5:21" x14ac:dyDescent="0.25">
      <c r="J18" s="12"/>
      <c r="M18" s="21"/>
      <c r="N18"/>
      <c r="O18"/>
      <c r="R18" s="31" t="s">
        <v>106</v>
      </c>
      <c r="S18" s="31" t="s">
        <v>97</v>
      </c>
      <c r="T18" s="31">
        <v>10</v>
      </c>
      <c r="U18" s="32" t="s">
        <v>113</v>
      </c>
    </row>
    <row r="19" spans="5:21" x14ac:dyDescent="0.25">
      <c r="J19" s="12"/>
      <c r="N19"/>
      <c r="O19"/>
      <c r="R19" s="31" t="s">
        <v>106</v>
      </c>
      <c r="S19" s="31" t="s">
        <v>98</v>
      </c>
      <c r="T19" s="31">
        <v>10</v>
      </c>
      <c r="U19" s="32" t="s">
        <v>113</v>
      </c>
    </row>
    <row r="20" spans="5:21" x14ac:dyDescent="0.25">
      <c r="J20" s="12"/>
      <c r="N20" s="30"/>
      <c r="O20"/>
      <c r="R20" s="31" t="s">
        <v>106</v>
      </c>
      <c r="S20" s="31" t="s">
        <v>99</v>
      </c>
      <c r="T20" s="31">
        <v>10</v>
      </c>
      <c r="U20" s="32" t="s">
        <v>113</v>
      </c>
    </row>
    <row r="21" spans="5:21" x14ac:dyDescent="0.25">
      <c r="J21" s="12"/>
      <c r="N21"/>
      <c r="O21"/>
      <c r="R21" s="31" t="s">
        <v>106</v>
      </c>
      <c r="S21" s="31" t="s">
        <v>100</v>
      </c>
      <c r="T21" s="31">
        <v>10</v>
      </c>
      <c r="U21" s="32" t="s">
        <v>113</v>
      </c>
    </row>
    <row r="22" spans="5:21" x14ac:dyDescent="0.25">
      <c r="J22" s="12"/>
      <c r="N22"/>
      <c r="O22"/>
      <c r="R22" s="31" t="s">
        <v>106</v>
      </c>
      <c r="S22" s="31" t="s">
        <v>101</v>
      </c>
      <c r="T22" s="31">
        <v>10</v>
      </c>
      <c r="U22" s="32" t="s">
        <v>113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106</v>
      </c>
      <c r="S23" s="31" t="s">
        <v>102</v>
      </c>
      <c r="T23" s="31">
        <v>10</v>
      </c>
      <c r="U23" s="32" t="s">
        <v>113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106</v>
      </c>
      <c r="S24" s="31" t="s">
        <v>103</v>
      </c>
      <c r="T24" s="31">
        <v>10</v>
      </c>
      <c r="U24" s="32" t="s">
        <v>113</v>
      </c>
    </row>
    <row r="25" spans="5:21" x14ac:dyDescent="0.25">
      <c r="N25"/>
      <c r="O25"/>
      <c r="R25" s="31" t="s">
        <v>106</v>
      </c>
      <c r="S25" s="31" t="s">
        <v>104</v>
      </c>
      <c r="T25" s="31">
        <v>10</v>
      </c>
      <c r="U25" s="32" t="s">
        <v>113</v>
      </c>
    </row>
    <row r="26" spans="5:21" x14ac:dyDescent="0.25">
      <c r="N26"/>
      <c r="O26"/>
      <c r="R26" s="31" t="s">
        <v>107</v>
      </c>
      <c r="S26" s="31" t="s">
        <v>97</v>
      </c>
      <c r="T26" s="31">
        <v>10</v>
      </c>
      <c r="U26" s="32" t="s">
        <v>113</v>
      </c>
    </row>
    <row r="27" spans="5:21" x14ac:dyDescent="0.25">
      <c r="E27" s="21"/>
      <c r="I27" s="21"/>
      <c r="N27"/>
      <c r="O27"/>
      <c r="R27" s="31" t="s">
        <v>107</v>
      </c>
      <c r="S27" s="31" t="s">
        <v>98</v>
      </c>
      <c r="T27" s="31">
        <v>10</v>
      </c>
      <c r="U27" s="32" t="s">
        <v>113</v>
      </c>
    </row>
    <row r="28" spans="5:21" x14ac:dyDescent="0.25">
      <c r="E28" s="21"/>
      <c r="M28" s="21"/>
      <c r="N28"/>
      <c r="O28"/>
      <c r="R28" s="31" t="s">
        <v>107</v>
      </c>
      <c r="S28" s="31" t="s">
        <v>99</v>
      </c>
      <c r="T28" s="31">
        <v>10</v>
      </c>
      <c r="U28" s="32" t="s">
        <v>113</v>
      </c>
    </row>
    <row r="29" spans="5:21" x14ac:dyDescent="0.25">
      <c r="H29" s="21"/>
      <c r="N29"/>
      <c r="O29"/>
      <c r="R29" s="31" t="s">
        <v>107</v>
      </c>
      <c r="S29" s="31" t="s">
        <v>100</v>
      </c>
      <c r="T29" s="31">
        <v>10</v>
      </c>
      <c r="U29" s="32" t="s">
        <v>113</v>
      </c>
    </row>
    <row r="30" spans="5:21" x14ac:dyDescent="0.25">
      <c r="N30"/>
      <c r="O30"/>
      <c r="R30" s="31" t="s">
        <v>107</v>
      </c>
      <c r="S30" s="31" t="s">
        <v>101</v>
      </c>
      <c r="T30" s="31">
        <v>10</v>
      </c>
      <c r="U30" s="32" t="s">
        <v>113</v>
      </c>
    </row>
    <row r="31" spans="5:21" x14ac:dyDescent="0.25">
      <c r="N31"/>
      <c r="O31"/>
      <c r="R31" s="31" t="s">
        <v>107</v>
      </c>
      <c r="S31" s="31" t="s">
        <v>102</v>
      </c>
      <c r="T31" s="31">
        <v>10</v>
      </c>
      <c r="U31" s="32" t="s">
        <v>113</v>
      </c>
    </row>
    <row r="32" spans="5:21" x14ac:dyDescent="0.25">
      <c r="N32"/>
      <c r="O32"/>
      <c r="R32" s="31" t="s">
        <v>107</v>
      </c>
      <c r="S32" s="31" t="s">
        <v>103</v>
      </c>
      <c r="T32" s="31">
        <v>10</v>
      </c>
      <c r="U32" s="32" t="s">
        <v>113</v>
      </c>
    </row>
    <row r="33" spans="14:21" x14ac:dyDescent="0.25">
      <c r="N33"/>
      <c r="O33"/>
      <c r="R33" s="31" t="s">
        <v>107</v>
      </c>
      <c r="S33" s="31" t="s">
        <v>104</v>
      </c>
      <c r="T33" s="31">
        <v>10</v>
      </c>
      <c r="U33" s="32" t="s">
        <v>113</v>
      </c>
    </row>
    <row r="34" spans="14:21" x14ac:dyDescent="0.25">
      <c r="N34"/>
      <c r="O34"/>
      <c r="R34" s="31" t="s">
        <v>108</v>
      </c>
      <c r="S34" s="31" t="s">
        <v>97</v>
      </c>
      <c r="T34" s="31">
        <v>10</v>
      </c>
      <c r="U34" s="32" t="s">
        <v>113</v>
      </c>
    </row>
    <row r="35" spans="14:21" x14ac:dyDescent="0.25">
      <c r="N35"/>
      <c r="O35"/>
      <c r="R35" s="31" t="s">
        <v>108</v>
      </c>
      <c r="S35" s="31" t="s">
        <v>98</v>
      </c>
      <c r="T35" s="31">
        <v>10</v>
      </c>
      <c r="U35" s="32" t="s">
        <v>113</v>
      </c>
    </row>
    <row r="36" spans="14:21" x14ac:dyDescent="0.25">
      <c r="N36"/>
      <c r="O36"/>
      <c r="R36" s="31" t="s">
        <v>108</v>
      </c>
      <c r="S36" s="31" t="s">
        <v>99</v>
      </c>
      <c r="T36" s="31">
        <v>10</v>
      </c>
      <c r="U36" s="32" t="s">
        <v>113</v>
      </c>
    </row>
    <row r="37" spans="14:21" x14ac:dyDescent="0.25">
      <c r="N37"/>
      <c r="O37"/>
      <c r="R37" s="31" t="s">
        <v>108</v>
      </c>
      <c r="S37" s="31" t="s">
        <v>100</v>
      </c>
      <c r="T37" s="31">
        <v>10</v>
      </c>
      <c r="U37" s="32" t="s">
        <v>113</v>
      </c>
    </row>
    <row r="38" spans="14:21" x14ac:dyDescent="0.25">
      <c r="N38"/>
      <c r="O38"/>
      <c r="R38" s="31" t="s">
        <v>108</v>
      </c>
      <c r="S38" s="31" t="s">
        <v>101</v>
      </c>
      <c r="T38" s="31">
        <v>10</v>
      </c>
      <c r="U38" s="32" t="s">
        <v>113</v>
      </c>
    </row>
    <row r="39" spans="14:21" x14ac:dyDescent="0.25">
      <c r="N39"/>
      <c r="O39"/>
      <c r="R39" s="31" t="s">
        <v>108</v>
      </c>
      <c r="S39" s="31" t="s">
        <v>102</v>
      </c>
      <c r="T39" s="31">
        <v>10</v>
      </c>
      <c r="U39" s="32" t="s">
        <v>113</v>
      </c>
    </row>
    <row r="40" spans="14:21" x14ac:dyDescent="0.25">
      <c r="N40"/>
      <c r="O40"/>
      <c r="R40" s="31" t="s">
        <v>108</v>
      </c>
      <c r="S40" s="31" t="s">
        <v>103</v>
      </c>
      <c r="T40" s="31">
        <v>10</v>
      </c>
      <c r="U40" s="32" t="s">
        <v>113</v>
      </c>
    </row>
    <row r="41" spans="14:21" x14ac:dyDescent="0.25">
      <c r="N41"/>
      <c r="O41"/>
      <c r="R41" s="31" t="s">
        <v>108</v>
      </c>
      <c r="S41" s="31" t="s">
        <v>104</v>
      </c>
      <c r="T41" s="31">
        <v>10</v>
      </c>
      <c r="U41" s="32" t="s">
        <v>113</v>
      </c>
    </row>
    <row r="42" spans="14:21" x14ac:dyDescent="0.25">
      <c r="N42"/>
      <c r="O42"/>
      <c r="R42" s="31">
        <v>72</v>
      </c>
      <c r="S42" s="31">
        <v>30</v>
      </c>
      <c r="T42" s="31">
        <v>10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10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10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10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10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10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10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10</v>
      </c>
      <c r="U49" s="32"/>
    </row>
    <row r="50" spans="14:21" x14ac:dyDescent="0.25">
      <c r="R50" s="31">
        <v>75</v>
      </c>
      <c r="S50" s="31">
        <v>36</v>
      </c>
      <c r="T50" s="31">
        <v>10</v>
      </c>
      <c r="U50" s="32"/>
    </row>
    <row r="51" spans="14:21" x14ac:dyDescent="0.25">
      <c r="R51" s="31">
        <v>75</v>
      </c>
      <c r="S51" s="31">
        <v>42</v>
      </c>
      <c r="T51" s="31">
        <v>10</v>
      </c>
      <c r="U51" s="32"/>
    </row>
    <row r="52" spans="14:21" x14ac:dyDescent="0.25">
      <c r="R52" s="31">
        <v>75</v>
      </c>
      <c r="S52" s="31">
        <v>48</v>
      </c>
      <c r="T52" s="31">
        <v>10</v>
      </c>
      <c r="U52" s="32"/>
    </row>
    <row r="53" spans="14:21" x14ac:dyDescent="0.25">
      <c r="R53" s="31">
        <v>75</v>
      </c>
      <c r="S53" s="31">
        <v>60</v>
      </c>
      <c r="T53" s="31">
        <v>10</v>
      </c>
      <c r="U53" s="32"/>
    </row>
    <row r="54" spans="14:21" x14ac:dyDescent="0.25">
      <c r="R54" s="31">
        <v>75</v>
      </c>
      <c r="S54" s="31">
        <v>66</v>
      </c>
      <c r="T54" s="31">
        <v>10</v>
      </c>
      <c r="U54" s="32"/>
    </row>
    <row r="55" spans="14:21" x14ac:dyDescent="0.25">
      <c r="R55" s="31">
        <v>75</v>
      </c>
      <c r="S55" s="31">
        <v>72</v>
      </c>
      <c r="T55" s="31">
        <v>10</v>
      </c>
      <c r="U55" s="32"/>
    </row>
    <row r="56" spans="14:21" x14ac:dyDescent="0.25">
      <c r="R56" s="31">
        <v>78</v>
      </c>
      <c r="S56" s="31">
        <v>30</v>
      </c>
      <c r="T56" s="31">
        <v>10</v>
      </c>
      <c r="U56" s="32"/>
    </row>
    <row r="57" spans="14:21" x14ac:dyDescent="0.25">
      <c r="R57" s="31">
        <v>78</v>
      </c>
      <c r="S57" s="31">
        <v>36</v>
      </c>
      <c r="T57" s="31">
        <v>10</v>
      </c>
      <c r="U57" s="32"/>
    </row>
    <row r="58" spans="14:21" x14ac:dyDescent="0.25">
      <c r="R58" s="31">
        <v>78</v>
      </c>
      <c r="S58" s="31">
        <v>42</v>
      </c>
      <c r="T58" s="31">
        <v>10</v>
      </c>
      <c r="U58" s="32"/>
    </row>
    <row r="59" spans="14:21" x14ac:dyDescent="0.25">
      <c r="R59" s="31">
        <v>78</v>
      </c>
      <c r="S59" s="31">
        <v>48</v>
      </c>
      <c r="T59" s="31">
        <v>10</v>
      </c>
      <c r="U59" s="32"/>
    </row>
    <row r="60" spans="14:21" x14ac:dyDescent="0.25">
      <c r="R60" s="31">
        <v>78</v>
      </c>
      <c r="S60" s="31">
        <v>60</v>
      </c>
      <c r="T60" s="31">
        <v>10</v>
      </c>
      <c r="U60" s="32"/>
    </row>
    <row r="61" spans="14:21" x14ac:dyDescent="0.25">
      <c r="R61" s="31">
        <v>78</v>
      </c>
      <c r="S61" s="31">
        <v>66</v>
      </c>
      <c r="T61" s="31">
        <v>10</v>
      </c>
      <c r="U61" s="32"/>
    </row>
    <row r="62" spans="14:21" x14ac:dyDescent="0.25">
      <c r="R62" s="31">
        <v>78</v>
      </c>
      <c r="S62" s="31">
        <v>72</v>
      </c>
      <c r="T62" s="31">
        <v>10</v>
      </c>
      <c r="U62" s="32"/>
    </row>
    <row r="63" spans="14:21" x14ac:dyDescent="0.25">
      <c r="R63" s="31">
        <v>80</v>
      </c>
      <c r="S63" s="31">
        <v>30</v>
      </c>
      <c r="T63" s="31">
        <v>10</v>
      </c>
      <c r="U63" s="32"/>
    </row>
    <row r="64" spans="14:21" x14ac:dyDescent="0.25">
      <c r="R64" s="31">
        <v>80</v>
      </c>
      <c r="S64" s="31">
        <v>36</v>
      </c>
      <c r="T64" s="31">
        <v>10</v>
      </c>
      <c r="U64" s="32"/>
    </row>
    <row r="65" spans="18:21" x14ac:dyDescent="0.25">
      <c r="R65" s="31">
        <v>80</v>
      </c>
      <c r="S65" s="31">
        <v>42</v>
      </c>
      <c r="T65" s="31">
        <v>10</v>
      </c>
      <c r="U65" s="32"/>
    </row>
    <row r="66" spans="18:21" x14ac:dyDescent="0.25">
      <c r="R66" s="31">
        <v>80</v>
      </c>
      <c r="S66" s="31">
        <v>48</v>
      </c>
      <c r="T66" s="31">
        <v>10</v>
      </c>
      <c r="U66" s="32"/>
    </row>
    <row r="67" spans="18:21" x14ac:dyDescent="0.25">
      <c r="R67" s="31">
        <v>80</v>
      </c>
      <c r="S67" s="31">
        <v>60</v>
      </c>
      <c r="T67" s="31">
        <v>10</v>
      </c>
      <c r="U67" s="32"/>
    </row>
    <row r="68" spans="18:21" x14ac:dyDescent="0.25">
      <c r="R68" s="31">
        <v>80</v>
      </c>
      <c r="S68" s="31">
        <v>66</v>
      </c>
      <c r="T68" s="31">
        <v>10</v>
      </c>
      <c r="U68" s="32"/>
    </row>
    <row r="69" spans="18:21" x14ac:dyDescent="0.25">
      <c r="R69" s="31">
        <v>80</v>
      </c>
      <c r="S69" s="31">
        <v>72</v>
      </c>
      <c r="T69" s="31">
        <v>10</v>
      </c>
      <c r="U69" s="32"/>
    </row>
    <row r="70" spans="18:21" x14ac:dyDescent="0.25">
      <c r="R70" s="31">
        <v>84</v>
      </c>
      <c r="S70" s="31">
        <v>30</v>
      </c>
      <c r="T70" s="31">
        <v>10</v>
      </c>
      <c r="U70" s="32"/>
    </row>
    <row r="71" spans="18:21" x14ac:dyDescent="0.25">
      <c r="R71" s="31">
        <v>84</v>
      </c>
      <c r="S71" s="31">
        <v>36</v>
      </c>
      <c r="T71" s="31">
        <v>10</v>
      </c>
      <c r="U71" s="32"/>
    </row>
    <row r="72" spans="18:21" x14ac:dyDescent="0.25">
      <c r="R72" s="31">
        <v>84</v>
      </c>
      <c r="S72" s="31">
        <v>42</v>
      </c>
      <c r="T72" s="31">
        <v>10</v>
      </c>
      <c r="U72" s="32"/>
    </row>
    <row r="73" spans="18:21" x14ac:dyDescent="0.25">
      <c r="R73" s="31">
        <v>84</v>
      </c>
      <c r="S73" s="31">
        <v>48</v>
      </c>
      <c r="T73" s="31">
        <v>10</v>
      </c>
      <c r="U73" s="32"/>
    </row>
    <row r="74" spans="18:21" x14ac:dyDescent="0.25">
      <c r="R74" s="31">
        <v>84</v>
      </c>
      <c r="S74" s="31">
        <v>60</v>
      </c>
      <c r="T74" s="31">
        <v>10</v>
      </c>
      <c r="U74" s="32"/>
    </row>
    <row r="75" spans="18:21" x14ac:dyDescent="0.25">
      <c r="R75" s="31">
        <v>84</v>
      </c>
      <c r="S75" s="31">
        <v>66</v>
      </c>
      <c r="T75" s="31">
        <v>10</v>
      </c>
      <c r="U75" s="32"/>
    </row>
    <row r="76" spans="18:21" x14ac:dyDescent="0.25">
      <c r="R76" s="31">
        <v>84</v>
      </c>
      <c r="S76" s="31">
        <v>72</v>
      </c>
      <c r="T76" s="31">
        <v>10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84</v>
      </c>
      <c r="B1" s="28" t="s">
        <v>85</v>
      </c>
      <c r="C1" s="29" t="s">
        <v>86</v>
      </c>
      <c r="D1" s="28" t="s">
        <v>87</v>
      </c>
      <c r="E1" s="28" t="s">
        <v>4</v>
      </c>
      <c r="F1" s="28" t="s">
        <v>88</v>
      </c>
      <c r="G1" s="29" t="s">
        <v>89</v>
      </c>
    </row>
    <row r="2" spans="1:7" x14ac:dyDescent="0.25">
      <c r="A2">
        <v>1</v>
      </c>
      <c r="B2" t="s">
        <v>122</v>
      </c>
      <c r="C2">
        <v>10</v>
      </c>
      <c r="D2" t="s">
        <v>423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122</v>
      </c>
      <c r="C3">
        <v>20</v>
      </c>
      <c r="D3" t="s">
        <v>114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122</v>
      </c>
      <c r="C4">
        <v>30</v>
      </c>
      <c r="D4" t="s">
        <v>163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122</v>
      </c>
      <c r="C5">
        <v>40</v>
      </c>
      <c r="D5" t="s">
        <v>164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122</v>
      </c>
      <c r="C6">
        <v>50</v>
      </c>
      <c r="D6" t="s">
        <v>115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122</v>
      </c>
      <c r="C7">
        <v>60</v>
      </c>
      <c r="D7" t="s">
        <v>109</v>
      </c>
      <c r="E7" t="s">
        <v>110</v>
      </c>
      <c r="F7">
        <v>0.34499999999999997</v>
      </c>
      <c r="G7" t="s">
        <v>15</v>
      </c>
    </row>
    <row r="8" spans="1:7" x14ac:dyDescent="0.25">
      <c r="A8">
        <v>1</v>
      </c>
      <c r="B8" t="s">
        <v>122</v>
      </c>
      <c r="C8">
        <v>70</v>
      </c>
      <c r="D8" t="s">
        <v>111</v>
      </c>
      <c r="E8" t="s">
        <v>17</v>
      </c>
      <c r="F8">
        <v>16.611999999999998</v>
      </c>
      <c r="G8" t="s">
        <v>15</v>
      </c>
    </row>
    <row r="9" spans="1:7" x14ac:dyDescent="0.25">
      <c r="A9">
        <v>1</v>
      </c>
      <c r="B9" t="s">
        <v>122</v>
      </c>
      <c r="C9">
        <v>80</v>
      </c>
      <c r="D9" t="s">
        <v>21</v>
      </c>
      <c r="E9" t="s">
        <v>17</v>
      </c>
      <c r="F9">
        <v>102.161</v>
      </c>
      <c r="G9" t="s">
        <v>15</v>
      </c>
    </row>
    <row r="10" spans="1:7" x14ac:dyDescent="0.25">
      <c r="A10">
        <v>1</v>
      </c>
      <c r="B10" t="s">
        <v>122</v>
      </c>
      <c r="C10">
        <v>90</v>
      </c>
      <c r="D10" t="s">
        <v>123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122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122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122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122</v>
      </c>
      <c r="C14">
        <v>130</v>
      </c>
      <c r="D14" t="s">
        <v>116</v>
      </c>
      <c r="E14" t="s">
        <v>14</v>
      </c>
      <c r="F14">
        <v>0.60799999999999998</v>
      </c>
      <c r="G14" t="s">
        <v>15</v>
      </c>
    </row>
    <row r="15" spans="1:7" x14ac:dyDescent="0.25">
      <c r="A15">
        <v>1</v>
      </c>
      <c r="B15" t="s">
        <v>122</v>
      </c>
      <c r="C15">
        <v>140</v>
      </c>
      <c r="D15" t="s">
        <v>165</v>
      </c>
      <c r="E15" t="s">
        <v>11</v>
      </c>
      <c r="F15">
        <v>1</v>
      </c>
      <c r="G15" t="s">
        <v>18</v>
      </c>
    </row>
    <row r="16" spans="1:7" x14ac:dyDescent="0.25">
      <c r="A16">
        <v>2</v>
      </c>
      <c r="B16" t="s">
        <v>124</v>
      </c>
      <c r="C16">
        <v>10</v>
      </c>
      <c r="D16" t="s">
        <v>424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124</v>
      </c>
      <c r="C17">
        <v>20</v>
      </c>
      <c r="D17" t="s">
        <v>114</v>
      </c>
      <c r="E17" t="s">
        <v>17</v>
      </c>
      <c r="F17">
        <v>1.016</v>
      </c>
      <c r="G17" t="s">
        <v>18</v>
      </c>
    </row>
    <row r="18" spans="1:7" x14ac:dyDescent="0.25">
      <c r="A18">
        <v>2</v>
      </c>
      <c r="B18" t="s">
        <v>124</v>
      </c>
      <c r="C18">
        <v>30</v>
      </c>
      <c r="D18" t="s">
        <v>166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124</v>
      </c>
      <c r="C19">
        <v>40</v>
      </c>
      <c r="D19" t="s">
        <v>167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124</v>
      </c>
      <c r="C20">
        <v>50</v>
      </c>
      <c r="D20" t="s">
        <v>115</v>
      </c>
      <c r="E20" t="s">
        <v>17</v>
      </c>
      <c r="F20">
        <v>1.016</v>
      </c>
      <c r="G20" t="s">
        <v>18</v>
      </c>
    </row>
    <row r="21" spans="1:7" x14ac:dyDescent="0.25">
      <c r="A21">
        <v>2</v>
      </c>
      <c r="B21" t="s">
        <v>124</v>
      </c>
      <c r="C21">
        <v>60</v>
      </c>
      <c r="D21" t="s">
        <v>109</v>
      </c>
      <c r="E21" t="s">
        <v>110</v>
      </c>
      <c r="F21">
        <v>0.41</v>
      </c>
      <c r="G21" t="s">
        <v>15</v>
      </c>
    </row>
    <row r="22" spans="1:7" x14ac:dyDescent="0.25">
      <c r="A22">
        <v>2</v>
      </c>
      <c r="B22" t="s">
        <v>124</v>
      </c>
      <c r="C22">
        <v>70</v>
      </c>
      <c r="D22" t="s">
        <v>111</v>
      </c>
      <c r="E22" t="s">
        <v>17</v>
      </c>
      <c r="F22">
        <v>17.526</v>
      </c>
      <c r="G22" t="s">
        <v>15</v>
      </c>
    </row>
    <row r="23" spans="1:7" x14ac:dyDescent="0.25">
      <c r="A23">
        <v>2</v>
      </c>
      <c r="B23" t="s">
        <v>124</v>
      </c>
      <c r="C23">
        <v>80</v>
      </c>
      <c r="D23" t="s">
        <v>21</v>
      </c>
      <c r="E23" t="s">
        <v>17</v>
      </c>
      <c r="F23">
        <v>107.785</v>
      </c>
      <c r="G23" t="s">
        <v>15</v>
      </c>
    </row>
    <row r="24" spans="1:7" x14ac:dyDescent="0.25">
      <c r="A24">
        <v>2</v>
      </c>
      <c r="B24" t="s">
        <v>124</v>
      </c>
      <c r="C24">
        <v>90</v>
      </c>
      <c r="D24" t="s">
        <v>123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124</v>
      </c>
      <c r="C25">
        <v>100</v>
      </c>
      <c r="D25" t="s">
        <v>25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124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124</v>
      </c>
      <c r="C27">
        <v>120</v>
      </c>
      <c r="D27" t="s">
        <v>27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124</v>
      </c>
      <c r="C28">
        <v>130</v>
      </c>
      <c r="D28" t="s">
        <v>116</v>
      </c>
      <c r="E28" t="s">
        <v>14</v>
      </c>
      <c r="F28">
        <v>0.68899999999999995</v>
      </c>
      <c r="G28" t="s">
        <v>15</v>
      </c>
    </row>
    <row r="29" spans="1:7" x14ac:dyDescent="0.25">
      <c r="A29">
        <v>2</v>
      </c>
      <c r="B29" t="s">
        <v>124</v>
      </c>
      <c r="C29">
        <v>140</v>
      </c>
      <c r="D29" t="s">
        <v>168</v>
      </c>
      <c r="E29" t="s">
        <v>11</v>
      </c>
      <c r="F29">
        <v>1</v>
      </c>
      <c r="G29" t="s">
        <v>18</v>
      </c>
    </row>
    <row r="30" spans="1:7" x14ac:dyDescent="0.25">
      <c r="A30">
        <v>3</v>
      </c>
      <c r="B30" t="s">
        <v>125</v>
      </c>
      <c r="C30">
        <v>10</v>
      </c>
      <c r="D30" t="s">
        <v>425</v>
      </c>
      <c r="E30" t="s">
        <v>11</v>
      </c>
      <c r="F30">
        <v>1</v>
      </c>
      <c r="G30" t="s">
        <v>18</v>
      </c>
    </row>
    <row r="31" spans="1:7" x14ac:dyDescent="0.25">
      <c r="A31">
        <v>3</v>
      </c>
      <c r="B31" t="s">
        <v>125</v>
      </c>
      <c r="C31">
        <v>20</v>
      </c>
      <c r="D31" t="s">
        <v>114</v>
      </c>
      <c r="E31" t="s">
        <v>17</v>
      </c>
      <c r="F31">
        <v>1.1679999999999999</v>
      </c>
      <c r="G31" t="s">
        <v>18</v>
      </c>
    </row>
    <row r="32" spans="1:7" x14ac:dyDescent="0.25">
      <c r="A32">
        <v>3</v>
      </c>
      <c r="B32" t="s">
        <v>125</v>
      </c>
      <c r="C32">
        <v>30</v>
      </c>
      <c r="D32" t="s">
        <v>169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125</v>
      </c>
      <c r="C33">
        <v>40</v>
      </c>
      <c r="D33" t="s">
        <v>170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125</v>
      </c>
      <c r="C34">
        <v>50</v>
      </c>
      <c r="D34" t="s">
        <v>115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125</v>
      </c>
      <c r="C35">
        <v>60</v>
      </c>
      <c r="D35" t="s">
        <v>109</v>
      </c>
      <c r="E35" t="s">
        <v>110</v>
      </c>
      <c r="F35">
        <v>0.47399999999999998</v>
      </c>
      <c r="G35" t="s">
        <v>15</v>
      </c>
    </row>
    <row r="36" spans="1:7" x14ac:dyDescent="0.25">
      <c r="A36">
        <v>3</v>
      </c>
      <c r="B36" t="s">
        <v>125</v>
      </c>
      <c r="C36">
        <v>70</v>
      </c>
      <c r="D36" t="s">
        <v>111</v>
      </c>
      <c r="E36" t="s">
        <v>17</v>
      </c>
      <c r="F36">
        <v>18.440000000000001</v>
      </c>
      <c r="G36" t="s">
        <v>15</v>
      </c>
    </row>
    <row r="37" spans="1:7" x14ac:dyDescent="0.25">
      <c r="A37">
        <v>3</v>
      </c>
      <c r="B37" t="s">
        <v>125</v>
      </c>
      <c r="C37">
        <v>80</v>
      </c>
      <c r="D37" t="s">
        <v>21</v>
      </c>
      <c r="E37" t="s">
        <v>17</v>
      </c>
      <c r="F37">
        <v>113.408</v>
      </c>
      <c r="G37" t="s">
        <v>15</v>
      </c>
    </row>
    <row r="38" spans="1:7" x14ac:dyDescent="0.25">
      <c r="A38">
        <v>3</v>
      </c>
      <c r="B38" t="s">
        <v>125</v>
      </c>
      <c r="C38">
        <v>90</v>
      </c>
      <c r="D38" t="s">
        <v>123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125</v>
      </c>
      <c r="C39">
        <v>100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125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125</v>
      </c>
      <c r="C41">
        <v>120</v>
      </c>
      <c r="D41" t="s">
        <v>27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125</v>
      </c>
      <c r="C42">
        <v>130</v>
      </c>
      <c r="D42" t="s">
        <v>116</v>
      </c>
      <c r="E42" t="s">
        <v>14</v>
      </c>
      <c r="F42">
        <v>0.77</v>
      </c>
      <c r="G42" t="s">
        <v>15</v>
      </c>
    </row>
    <row r="43" spans="1:7" x14ac:dyDescent="0.25">
      <c r="A43">
        <v>3</v>
      </c>
      <c r="B43" t="s">
        <v>125</v>
      </c>
      <c r="C43">
        <v>140</v>
      </c>
      <c r="D43" t="s">
        <v>171</v>
      </c>
      <c r="E43" t="s">
        <v>11</v>
      </c>
      <c r="F43">
        <v>1</v>
      </c>
      <c r="G43" t="s">
        <v>18</v>
      </c>
    </row>
    <row r="44" spans="1:7" x14ac:dyDescent="0.25">
      <c r="A44">
        <v>4</v>
      </c>
      <c r="B44" t="s">
        <v>126</v>
      </c>
      <c r="C44">
        <v>10</v>
      </c>
      <c r="D44" t="s">
        <v>426</v>
      </c>
      <c r="E44" t="s">
        <v>11</v>
      </c>
      <c r="F44">
        <v>1</v>
      </c>
      <c r="G44" t="s">
        <v>18</v>
      </c>
    </row>
    <row r="45" spans="1:7" x14ac:dyDescent="0.25">
      <c r="A45">
        <v>4</v>
      </c>
      <c r="B45" t="s">
        <v>126</v>
      </c>
      <c r="C45">
        <v>20</v>
      </c>
      <c r="D45" t="s">
        <v>114</v>
      </c>
      <c r="E45" t="s">
        <v>17</v>
      </c>
      <c r="F45">
        <v>1.321</v>
      </c>
      <c r="G45" t="s">
        <v>18</v>
      </c>
    </row>
    <row r="46" spans="1:7" x14ac:dyDescent="0.25">
      <c r="A46">
        <v>4</v>
      </c>
      <c r="B46" t="s">
        <v>126</v>
      </c>
      <c r="C46">
        <v>30</v>
      </c>
      <c r="D46" t="s">
        <v>172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126</v>
      </c>
      <c r="C47">
        <v>40</v>
      </c>
      <c r="D47" t="s">
        <v>173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126</v>
      </c>
      <c r="C48">
        <v>50</v>
      </c>
      <c r="D48" t="s">
        <v>115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126</v>
      </c>
      <c r="C49">
        <v>60</v>
      </c>
      <c r="D49" t="s">
        <v>109</v>
      </c>
      <c r="E49" t="s">
        <v>110</v>
      </c>
      <c r="F49">
        <v>0.53900000000000003</v>
      </c>
      <c r="G49" t="s">
        <v>15</v>
      </c>
    </row>
    <row r="50" spans="1:7" x14ac:dyDescent="0.25">
      <c r="A50">
        <v>4</v>
      </c>
      <c r="B50" t="s">
        <v>126</v>
      </c>
      <c r="C50">
        <v>70</v>
      </c>
      <c r="D50" t="s">
        <v>111</v>
      </c>
      <c r="E50" t="s">
        <v>17</v>
      </c>
      <c r="F50">
        <v>19.355</v>
      </c>
      <c r="G50" t="s">
        <v>15</v>
      </c>
    </row>
    <row r="51" spans="1:7" x14ac:dyDescent="0.25">
      <c r="A51">
        <v>4</v>
      </c>
      <c r="B51" t="s">
        <v>126</v>
      </c>
      <c r="C51">
        <v>80</v>
      </c>
      <c r="D51" t="s">
        <v>21</v>
      </c>
      <c r="E51" t="s">
        <v>17</v>
      </c>
      <c r="F51">
        <v>119.032</v>
      </c>
      <c r="G51" t="s">
        <v>15</v>
      </c>
    </row>
    <row r="52" spans="1:7" x14ac:dyDescent="0.25">
      <c r="A52">
        <v>4</v>
      </c>
      <c r="B52" t="s">
        <v>126</v>
      </c>
      <c r="C52">
        <v>90</v>
      </c>
      <c r="D52" t="s">
        <v>123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126</v>
      </c>
      <c r="C53">
        <v>100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126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126</v>
      </c>
      <c r="C55">
        <v>120</v>
      </c>
      <c r="D55" t="s">
        <v>27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126</v>
      </c>
      <c r="C56">
        <v>130</v>
      </c>
      <c r="D56" t="s">
        <v>116</v>
      </c>
      <c r="E56" t="s">
        <v>14</v>
      </c>
      <c r="F56">
        <v>0.85099999999999998</v>
      </c>
      <c r="G56" t="s">
        <v>15</v>
      </c>
    </row>
    <row r="57" spans="1:7" x14ac:dyDescent="0.25">
      <c r="A57">
        <v>4</v>
      </c>
      <c r="B57" t="s">
        <v>126</v>
      </c>
      <c r="C57">
        <v>140</v>
      </c>
      <c r="D57" t="s">
        <v>174</v>
      </c>
      <c r="E57" t="s">
        <v>11</v>
      </c>
      <c r="F57">
        <v>1</v>
      </c>
      <c r="G57" t="s">
        <v>18</v>
      </c>
    </row>
    <row r="58" spans="1:7" x14ac:dyDescent="0.25">
      <c r="A58">
        <v>5</v>
      </c>
      <c r="B58" t="s">
        <v>127</v>
      </c>
      <c r="C58">
        <v>10</v>
      </c>
      <c r="D58" t="s">
        <v>427</v>
      </c>
      <c r="E58" t="s">
        <v>11</v>
      </c>
      <c r="F58">
        <v>1</v>
      </c>
      <c r="G58" t="s">
        <v>18</v>
      </c>
    </row>
    <row r="59" spans="1:7" x14ac:dyDescent="0.25">
      <c r="A59">
        <v>5</v>
      </c>
      <c r="B59" t="s">
        <v>127</v>
      </c>
      <c r="C59">
        <v>20</v>
      </c>
      <c r="D59" t="s">
        <v>114</v>
      </c>
      <c r="E59" t="s">
        <v>17</v>
      </c>
      <c r="F59">
        <v>1.397</v>
      </c>
      <c r="G59" t="s">
        <v>18</v>
      </c>
    </row>
    <row r="60" spans="1:7" x14ac:dyDescent="0.25">
      <c r="A60">
        <v>5</v>
      </c>
      <c r="B60" t="s">
        <v>127</v>
      </c>
      <c r="C60">
        <v>30</v>
      </c>
      <c r="D60" t="s">
        <v>175</v>
      </c>
      <c r="E60" t="s">
        <v>11</v>
      </c>
      <c r="F60">
        <v>1</v>
      </c>
      <c r="G60" t="s">
        <v>18</v>
      </c>
    </row>
    <row r="61" spans="1:7" x14ac:dyDescent="0.25">
      <c r="A61">
        <v>5</v>
      </c>
      <c r="B61" t="s">
        <v>127</v>
      </c>
      <c r="C61">
        <v>40</v>
      </c>
      <c r="D61" t="s">
        <v>176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127</v>
      </c>
      <c r="C62">
        <v>50</v>
      </c>
      <c r="D62" t="s">
        <v>115</v>
      </c>
      <c r="E62" t="s">
        <v>17</v>
      </c>
      <c r="F62">
        <v>1.397</v>
      </c>
      <c r="G62" t="s">
        <v>18</v>
      </c>
    </row>
    <row r="63" spans="1:7" x14ac:dyDescent="0.25">
      <c r="A63">
        <v>5</v>
      </c>
      <c r="B63" t="s">
        <v>127</v>
      </c>
      <c r="C63">
        <v>60</v>
      </c>
      <c r="D63" t="s">
        <v>109</v>
      </c>
      <c r="E63" t="s">
        <v>110</v>
      </c>
      <c r="F63">
        <v>0.57199999999999995</v>
      </c>
      <c r="G63" t="s">
        <v>15</v>
      </c>
    </row>
    <row r="64" spans="1:7" x14ac:dyDescent="0.25">
      <c r="A64">
        <v>5</v>
      </c>
      <c r="B64" t="s">
        <v>127</v>
      </c>
      <c r="C64">
        <v>70</v>
      </c>
      <c r="D64" t="s">
        <v>111</v>
      </c>
      <c r="E64" t="s">
        <v>17</v>
      </c>
      <c r="F64">
        <v>19.812000000000001</v>
      </c>
      <c r="G64" t="s">
        <v>15</v>
      </c>
    </row>
    <row r="65" spans="1:7" x14ac:dyDescent="0.25">
      <c r="A65">
        <v>5</v>
      </c>
      <c r="B65" t="s">
        <v>127</v>
      </c>
      <c r="C65">
        <v>80</v>
      </c>
      <c r="D65" t="s">
        <v>21</v>
      </c>
      <c r="E65" t="s">
        <v>17</v>
      </c>
      <c r="F65">
        <v>121.84399999999999</v>
      </c>
      <c r="G65" t="s">
        <v>15</v>
      </c>
    </row>
    <row r="66" spans="1:7" x14ac:dyDescent="0.25">
      <c r="A66">
        <v>5</v>
      </c>
      <c r="B66" t="s">
        <v>127</v>
      </c>
      <c r="C66">
        <v>90</v>
      </c>
      <c r="D66" t="s">
        <v>123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127</v>
      </c>
      <c r="C67">
        <v>100</v>
      </c>
      <c r="D67" t="s">
        <v>25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127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127</v>
      </c>
      <c r="C69">
        <v>120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127</v>
      </c>
      <c r="C70">
        <v>130</v>
      </c>
      <c r="D70" t="s">
        <v>116</v>
      </c>
      <c r="E70" t="s">
        <v>14</v>
      </c>
      <c r="F70">
        <v>0.89200000000000002</v>
      </c>
      <c r="G70" t="s">
        <v>15</v>
      </c>
    </row>
    <row r="71" spans="1:7" x14ac:dyDescent="0.25">
      <c r="A71">
        <v>5</v>
      </c>
      <c r="B71" t="s">
        <v>127</v>
      </c>
      <c r="C71">
        <v>140</v>
      </c>
      <c r="D71" t="s">
        <v>177</v>
      </c>
      <c r="E71" t="s">
        <v>11</v>
      </c>
      <c r="F71">
        <v>1</v>
      </c>
      <c r="G71" t="s">
        <v>18</v>
      </c>
    </row>
    <row r="72" spans="1:7" x14ac:dyDescent="0.25">
      <c r="A72">
        <v>6</v>
      </c>
      <c r="B72" t="s">
        <v>128</v>
      </c>
      <c r="C72">
        <v>10</v>
      </c>
      <c r="D72" t="s">
        <v>428</v>
      </c>
      <c r="E72" t="s">
        <v>11</v>
      </c>
      <c r="F72">
        <v>1</v>
      </c>
      <c r="G72" t="s">
        <v>18</v>
      </c>
    </row>
    <row r="73" spans="1:7" x14ac:dyDescent="0.25">
      <c r="A73">
        <v>6</v>
      </c>
      <c r="B73" t="s">
        <v>128</v>
      </c>
      <c r="C73">
        <v>20</v>
      </c>
      <c r="D73" t="s">
        <v>114</v>
      </c>
      <c r="E73" t="s">
        <v>17</v>
      </c>
      <c r="F73">
        <v>1.4730000000000001</v>
      </c>
      <c r="G73" t="s">
        <v>18</v>
      </c>
    </row>
    <row r="74" spans="1:7" x14ac:dyDescent="0.25">
      <c r="A74">
        <v>6</v>
      </c>
      <c r="B74" t="s">
        <v>128</v>
      </c>
      <c r="C74">
        <v>30</v>
      </c>
      <c r="D74" t="s">
        <v>178</v>
      </c>
      <c r="E74" t="s">
        <v>11</v>
      </c>
      <c r="F74">
        <v>1</v>
      </c>
      <c r="G74" t="s">
        <v>18</v>
      </c>
    </row>
    <row r="75" spans="1:7" x14ac:dyDescent="0.25">
      <c r="A75">
        <v>6</v>
      </c>
      <c r="B75" t="s">
        <v>128</v>
      </c>
      <c r="C75">
        <v>40</v>
      </c>
      <c r="D75" t="s">
        <v>179</v>
      </c>
      <c r="E75" t="s">
        <v>11</v>
      </c>
      <c r="F75">
        <v>1</v>
      </c>
      <c r="G75" t="s">
        <v>18</v>
      </c>
    </row>
    <row r="76" spans="1:7" x14ac:dyDescent="0.25">
      <c r="A76">
        <v>6</v>
      </c>
      <c r="B76" t="s">
        <v>128</v>
      </c>
      <c r="C76">
        <v>50</v>
      </c>
      <c r="D76" t="s">
        <v>115</v>
      </c>
      <c r="E76" t="s">
        <v>17</v>
      </c>
      <c r="F76">
        <v>1.4730000000000001</v>
      </c>
      <c r="G76" t="s">
        <v>18</v>
      </c>
    </row>
    <row r="77" spans="1:7" x14ac:dyDescent="0.25">
      <c r="A77">
        <v>6</v>
      </c>
      <c r="B77" t="s">
        <v>128</v>
      </c>
      <c r="C77">
        <v>60</v>
      </c>
      <c r="D77" t="s">
        <v>109</v>
      </c>
      <c r="E77" t="s">
        <v>110</v>
      </c>
      <c r="F77">
        <v>0.60399999999999998</v>
      </c>
      <c r="G77" t="s">
        <v>15</v>
      </c>
    </row>
    <row r="78" spans="1:7" x14ac:dyDescent="0.25">
      <c r="A78">
        <v>6</v>
      </c>
      <c r="B78" t="s">
        <v>128</v>
      </c>
      <c r="C78">
        <v>70</v>
      </c>
      <c r="D78" t="s">
        <v>111</v>
      </c>
      <c r="E78" t="s">
        <v>17</v>
      </c>
      <c r="F78">
        <v>20.268999999999998</v>
      </c>
      <c r="G78" t="s">
        <v>15</v>
      </c>
    </row>
    <row r="79" spans="1:7" x14ac:dyDescent="0.25">
      <c r="A79">
        <v>6</v>
      </c>
      <c r="B79" t="s">
        <v>128</v>
      </c>
      <c r="C79">
        <v>80</v>
      </c>
      <c r="D79" t="s">
        <v>21</v>
      </c>
      <c r="E79" t="s">
        <v>17</v>
      </c>
      <c r="F79">
        <v>124.65600000000001</v>
      </c>
      <c r="G79" t="s">
        <v>15</v>
      </c>
    </row>
    <row r="80" spans="1:7" x14ac:dyDescent="0.25">
      <c r="A80">
        <v>6</v>
      </c>
      <c r="B80" t="s">
        <v>128</v>
      </c>
      <c r="C80">
        <v>90</v>
      </c>
      <c r="D80" t="s">
        <v>123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128</v>
      </c>
      <c r="C81">
        <v>100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128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128</v>
      </c>
      <c r="C83">
        <v>120</v>
      </c>
      <c r="D83" t="s">
        <v>27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128</v>
      </c>
      <c r="C84">
        <v>130</v>
      </c>
      <c r="D84" t="s">
        <v>116</v>
      </c>
      <c r="E84" t="s">
        <v>14</v>
      </c>
      <c r="F84">
        <v>0.93200000000000005</v>
      </c>
      <c r="G84" t="s">
        <v>15</v>
      </c>
    </row>
    <row r="85" spans="1:7" x14ac:dyDescent="0.25">
      <c r="A85">
        <v>6</v>
      </c>
      <c r="B85" t="s">
        <v>128</v>
      </c>
      <c r="C85">
        <v>140</v>
      </c>
      <c r="D85" t="s">
        <v>180</v>
      </c>
      <c r="E85" t="s">
        <v>11</v>
      </c>
      <c r="F85">
        <v>1</v>
      </c>
      <c r="G85" t="s">
        <v>18</v>
      </c>
    </row>
    <row r="86" spans="1:7" x14ac:dyDescent="0.25">
      <c r="A86">
        <v>7</v>
      </c>
      <c r="B86" t="s">
        <v>129</v>
      </c>
      <c r="C86">
        <v>10</v>
      </c>
      <c r="D86" t="s">
        <v>429</v>
      </c>
      <c r="E86" t="s">
        <v>11</v>
      </c>
      <c r="F86">
        <v>1</v>
      </c>
      <c r="G86" t="s">
        <v>18</v>
      </c>
    </row>
    <row r="87" spans="1:7" x14ac:dyDescent="0.25">
      <c r="A87">
        <v>7</v>
      </c>
      <c r="B87" t="s">
        <v>129</v>
      </c>
      <c r="C87">
        <v>20</v>
      </c>
      <c r="D87" t="s">
        <v>114</v>
      </c>
      <c r="E87" t="s">
        <v>17</v>
      </c>
      <c r="F87">
        <v>1.6259999999999999</v>
      </c>
      <c r="G87" t="s">
        <v>18</v>
      </c>
    </row>
    <row r="88" spans="1:7" x14ac:dyDescent="0.25">
      <c r="A88">
        <v>7</v>
      </c>
      <c r="B88" t="s">
        <v>129</v>
      </c>
      <c r="C88">
        <v>30</v>
      </c>
      <c r="D88" t="s">
        <v>181</v>
      </c>
      <c r="E88" t="s">
        <v>11</v>
      </c>
      <c r="F88">
        <v>1</v>
      </c>
      <c r="G88" t="s">
        <v>18</v>
      </c>
    </row>
    <row r="89" spans="1:7" x14ac:dyDescent="0.25">
      <c r="A89">
        <v>7</v>
      </c>
      <c r="B89" t="s">
        <v>129</v>
      </c>
      <c r="C89">
        <v>40</v>
      </c>
      <c r="D89" t="s">
        <v>182</v>
      </c>
      <c r="E89" t="s">
        <v>11</v>
      </c>
      <c r="F89">
        <v>1</v>
      </c>
      <c r="G89" t="s">
        <v>18</v>
      </c>
    </row>
    <row r="90" spans="1:7" x14ac:dyDescent="0.25">
      <c r="A90">
        <v>7</v>
      </c>
      <c r="B90" t="s">
        <v>129</v>
      </c>
      <c r="C90">
        <v>50</v>
      </c>
      <c r="D90" t="s">
        <v>115</v>
      </c>
      <c r="E90" t="s">
        <v>17</v>
      </c>
      <c r="F90">
        <v>1.6259999999999999</v>
      </c>
      <c r="G90" t="s">
        <v>18</v>
      </c>
    </row>
    <row r="91" spans="1:7" x14ac:dyDescent="0.25">
      <c r="A91">
        <v>7</v>
      </c>
      <c r="B91" t="s">
        <v>129</v>
      </c>
      <c r="C91">
        <v>60</v>
      </c>
      <c r="D91" t="s">
        <v>109</v>
      </c>
      <c r="E91" t="s">
        <v>110</v>
      </c>
      <c r="F91">
        <v>0.66900000000000004</v>
      </c>
      <c r="G91" t="s">
        <v>15</v>
      </c>
    </row>
    <row r="92" spans="1:7" x14ac:dyDescent="0.25">
      <c r="A92">
        <v>7</v>
      </c>
      <c r="B92" t="s">
        <v>129</v>
      </c>
      <c r="C92">
        <v>70</v>
      </c>
      <c r="D92" t="s">
        <v>111</v>
      </c>
      <c r="E92" t="s">
        <v>17</v>
      </c>
      <c r="F92">
        <v>21.184000000000001</v>
      </c>
      <c r="G92" t="s">
        <v>15</v>
      </c>
    </row>
    <row r="93" spans="1:7" x14ac:dyDescent="0.25">
      <c r="A93">
        <v>7</v>
      </c>
      <c r="B93" t="s">
        <v>129</v>
      </c>
      <c r="C93">
        <v>80</v>
      </c>
      <c r="D93" t="s">
        <v>21</v>
      </c>
      <c r="E93" t="s">
        <v>17</v>
      </c>
      <c r="F93">
        <v>130.279</v>
      </c>
      <c r="G93" t="s">
        <v>15</v>
      </c>
    </row>
    <row r="94" spans="1:7" x14ac:dyDescent="0.25">
      <c r="A94">
        <v>7</v>
      </c>
      <c r="B94" t="s">
        <v>129</v>
      </c>
      <c r="C94">
        <v>90</v>
      </c>
      <c r="D94" t="s">
        <v>123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129</v>
      </c>
      <c r="C95">
        <v>100</v>
      </c>
      <c r="D95" t="s">
        <v>25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129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129</v>
      </c>
      <c r="C97">
        <v>120</v>
      </c>
      <c r="D97" t="s">
        <v>27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129</v>
      </c>
      <c r="C98">
        <v>130</v>
      </c>
      <c r="D98" t="s">
        <v>116</v>
      </c>
      <c r="E98" t="s">
        <v>14</v>
      </c>
      <c r="F98">
        <v>1.0129999999999999</v>
      </c>
      <c r="G98" t="s">
        <v>15</v>
      </c>
    </row>
    <row r="99" spans="1:7" x14ac:dyDescent="0.25">
      <c r="A99">
        <v>7</v>
      </c>
      <c r="B99" t="s">
        <v>129</v>
      </c>
      <c r="C99">
        <v>140</v>
      </c>
      <c r="D99" t="s">
        <v>183</v>
      </c>
      <c r="E99" t="s">
        <v>11</v>
      </c>
      <c r="F99">
        <v>1</v>
      </c>
      <c r="G99" t="s">
        <v>18</v>
      </c>
    </row>
    <row r="100" spans="1:7" x14ac:dyDescent="0.25">
      <c r="A100">
        <v>8</v>
      </c>
      <c r="B100" t="s">
        <v>130</v>
      </c>
      <c r="C100">
        <v>10</v>
      </c>
      <c r="D100" t="s">
        <v>430</v>
      </c>
      <c r="E100" t="s">
        <v>11</v>
      </c>
      <c r="F100">
        <v>1</v>
      </c>
      <c r="G100" t="s">
        <v>18</v>
      </c>
    </row>
    <row r="101" spans="1:7" x14ac:dyDescent="0.25">
      <c r="A101">
        <v>8</v>
      </c>
      <c r="B101" t="s">
        <v>130</v>
      </c>
      <c r="C101">
        <v>20</v>
      </c>
      <c r="D101" t="s">
        <v>114</v>
      </c>
      <c r="E101" t="s">
        <v>17</v>
      </c>
      <c r="F101">
        <v>1.778</v>
      </c>
      <c r="G101" t="s">
        <v>18</v>
      </c>
    </row>
    <row r="102" spans="1:7" x14ac:dyDescent="0.25">
      <c r="A102">
        <v>8</v>
      </c>
      <c r="B102" t="s">
        <v>130</v>
      </c>
      <c r="C102">
        <v>30</v>
      </c>
      <c r="D102" t="s">
        <v>184</v>
      </c>
      <c r="E102" t="s">
        <v>11</v>
      </c>
      <c r="F102">
        <v>1</v>
      </c>
      <c r="G102" t="s">
        <v>18</v>
      </c>
    </row>
    <row r="103" spans="1:7" x14ac:dyDescent="0.25">
      <c r="A103">
        <v>8</v>
      </c>
      <c r="B103" t="s">
        <v>130</v>
      </c>
      <c r="C103">
        <v>40</v>
      </c>
      <c r="D103" t="s">
        <v>185</v>
      </c>
      <c r="E103" t="s">
        <v>11</v>
      </c>
      <c r="F103">
        <v>1</v>
      </c>
      <c r="G103" t="s">
        <v>18</v>
      </c>
    </row>
    <row r="104" spans="1:7" x14ac:dyDescent="0.25">
      <c r="A104">
        <v>8</v>
      </c>
      <c r="B104" t="s">
        <v>130</v>
      </c>
      <c r="C104">
        <v>50</v>
      </c>
      <c r="D104" t="s">
        <v>115</v>
      </c>
      <c r="E104" t="s">
        <v>17</v>
      </c>
      <c r="F104">
        <v>1.778</v>
      </c>
      <c r="G104" t="s">
        <v>18</v>
      </c>
    </row>
    <row r="105" spans="1:7" x14ac:dyDescent="0.25">
      <c r="A105">
        <v>8</v>
      </c>
      <c r="B105" t="s">
        <v>130</v>
      </c>
      <c r="C105">
        <v>60</v>
      </c>
      <c r="D105" t="s">
        <v>109</v>
      </c>
      <c r="E105" t="s">
        <v>110</v>
      </c>
      <c r="F105">
        <v>0.73299999999999998</v>
      </c>
      <c r="G105" t="s">
        <v>15</v>
      </c>
    </row>
    <row r="106" spans="1:7" x14ac:dyDescent="0.25">
      <c r="A106">
        <v>8</v>
      </c>
      <c r="B106" t="s">
        <v>130</v>
      </c>
      <c r="C106">
        <v>70</v>
      </c>
      <c r="D106" t="s">
        <v>111</v>
      </c>
      <c r="E106" t="s">
        <v>17</v>
      </c>
      <c r="F106">
        <v>22.097999999999999</v>
      </c>
      <c r="G106" t="s">
        <v>15</v>
      </c>
    </row>
    <row r="107" spans="1:7" x14ac:dyDescent="0.25">
      <c r="A107">
        <v>8</v>
      </c>
      <c r="B107" t="s">
        <v>130</v>
      </c>
      <c r="C107">
        <v>80</v>
      </c>
      <c r="D107" t="s">
        <v>21</v>
      </c>
      <c r="E107" t="s">
        <v>17</v>
      </c>
      <c r="F107">
        <v>135.90299999999999</v>
      </c>
      <c r="G107" t="s">
        <v>15</v>
      </c>
    </row>
    <row r="108" spans="1:7" x14ac:dyDescent="0.25">
      <c r="A108">
        <v>8</v>
      </c>
      <c r="B108" t="s">
        <v>130</v>
      </c>
      <c r="C108">
        <v>90</v>
      </c>
      <c r="D108" t="s">
        <v>123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130</v>
      </c>
      <c r="C109">
        <v>100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130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130</v>
      </c>
      <c r="C111">
        <v>120</v>
      </c>
      <c r="D111" t="s">
        <v>27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130</v>
      </c>
      <c r="C112">
        <v>130</v>
      </c>
      <c r="D112" t="s">
        <v>116</v>
      </c>
      <c r="E112" t="s">
        <v>14</v>
      </c>
      <c r="F112">
        <v>1.0940000000000001</v>
      </c>
      <c r="G112" t="s">
        <v>15</v>
      </c>
    </row>
    <row r="113" spans="1:7" x14ac:dyDescent="0.25">
      <c r="A113">
        <v>8</v>
      </c>
      <c r="B113" t="s">
        <v>130</v>
      </c>
      <c r="C113">
        <v>140</v>
      </c>
      <c r="D113" t="s">
        <v>186</v>
      </c>
      <c r="E113" t="s">
        <v>11</v>
      </c>
      <c r="F113">
        <v>1</v>
      </c>
      <c r="G113" t="s">
        <v>18</v>
      </c>
    </row>
    <row r="114" spans="1:7" x14ac:dyDescent="0.25">
      <c r="A114">
        <v>9</v>
      </c>
      <c r="B114" t="s">
        <v>131</v>
      </c>
      <c r="C114">
        <v>10</v>
      </c>
      <c r="D114" t="s">
        <v>431</v>
      </c>
      <c r="E114" t="s">
        <v>11</v>
      </c>
      <c r="F114">
        <v>1</v>
      </c>
      <c r="G114" t="s">
        <v>18</v>
      </c>
    </row>
    <row r="115" spans="1:7" x14ac:dyDescent="0.25">
      <c r="A115">
        <v>9</v>
      </c>
      <c r="B115" t="s">
        <v>131</v>
      </c>
      <c r="C115">
        <v>20</v>
      </c>
      <c r="D115" t="s">
        <v>114</v>
      </c>
      <c r="E115" t="s">
        <v>17</v>
      </c>
      <c r="F115">
        <v>0.86399999999999999</v>
      </c>
      <c r="G115" t="s">
        <v>18</v>
      </c>
    </row>
    <row r="116" spans="1:7" x14ac:dyDescent="0.25">
      <c r="A116">
        <v>9</v>
      </c>
      <c r="B116" t="s">
        <v>131</v>
      </c>
      <c r="C116">
        <v>30</v>
      </c>
      <c r="D116" t="s">
        <v>187</v>
      </c>
      <c r="E116" t="s">
        <v>11</v>
      </c>
      <c r="F116">
        <v>1</v>
      </c>
      <c r="G116" t="s">
        <v>18</v>
      </c>
    </row>
    <row r="117" spans="1:7" x14ac:dyDescent="0.25">
      <c r="A117">
        <v>9</v>
      </c>
      <c r="B117" t="s">
        <v>131</v>
      </c>
      <c r="C117">
        <v>40</v>
      </c>
      <c r="D117" t="s">
        <v>188</v>
      </c>
      <c r="E117" t="s">
        <v>11</v>
      </c>
      <c r="F117">
        <v>1</v>
      </c>
      <c r="G117" t="s">
        <v>18</v>
      </c>
    </row>
    <row r="118" spans="1:7" x14ac:dyDescent="0.25">
      <c r="A118">
        <v>9</v>
      </c>
      <c r="B118" t="s">
        <v>131</v>
      </c>
      <c r="C118">
        <v>50</v>
      </c>
      <c r="D118" t="s">
        <v>115</v>
      </c>
      <c r="E118" t="s">
        <v>17</v>
      </c>
      <c r="F118">
        <v>0.86399999999999999</v>
      </c>
      <c r="G118" t="s">
        <v>18</v>
      </c>
    </row>
    <row r="119" spans="1:7" x14ac:dyDescent="0.25">
      <c r="A119">
        <v>9</v>
      </c>
      <c r="B119" t="s">
        <v>131</v>
      </c>
      <c r="C119">
        <v>60</v>
      </c>
      <c r="D119" t="s">
        <v>109</v>
      </c>
      <c r="E119" t="s">
        <v>110</v>
      </c>
      <c r="F119">
        <v>0.36</v>
      </c>
      <c r="G119" t="s">
        <v>15</v>
      </c>
    </row>
    <row r="120" spans="1:7" x14ac:dyDescent="0.25">
      <c r="A120">
        <v>9</v>
      </c>
      <c r="B120" t="s">
        <v>131</v>
      </c>
      <c r="C120">
        <v>70</v>
      </c>
      <c r="D120" t="s">
        <v>111</v>
      </c>
      <c r="E120" t="s">
        <v>17</v>
      </c>
      <c r="F120">
        <v>17.068999999999999</v>
      </c>
      <c r="G120" t="s">
        <v>15</v>
      </c>
    </row>
    <row r="121" spans="1:7" x14ac:dyDescent="0.25">
      <c r="A121">
        <v>9</v>
      </c>
      <c r="B121" t="s">
        <v>131</v>
      </c>
      <c r="C121">
        <v>80</v>
      </c>
      <c r="D121" t="s">
        <v>21</v>
      </c>
      <c r="E121" t="s">
        <v>17</v>
      </c>
      <c r="F121">
        <v>104.973</v>
      </c>
      <c r="G121" t="s">
        <v>15</v>
      </c>
    </row>
    <row r="122" spans="1:7" x14ac:dyDescent="0.25">
      <c r="A122">
        <v>9</v>
      </c>
      <c r="B122" t="s">
        <v>131</v>
      </c>
      <c r="C122">
        <v>90</v>
      </c>
      <c r="D122" t="s">
        <v>123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131</v>
      </c>
      <c r="C123">
        <v>100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131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131</v>
      </c>
      <c r="C125">
        <v>120</v>
      </c>
      <c r="D125" t="s">
        <v>27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131</v>
      </c>
      <c r="C126">
        <v>130</v>
      </c>
      <c r="D126" t="s">
        <v>116</v>
      </c>
      <c r="E126" t="s">
        <v>14</v>
      </c>
      <c r="F126">
        <v>0.60799999999999998</v>
      </c>
      <c r="G126" t="s">
        <v>15</v>
      </c>
    </row>
    <row r="127" spans="1:7" x14ac:dyDescent="0.25">
      <c r="A127">
        <v>9</v>
      </c>
      <c r="B127" t="s">
        <v>131</v>
      </c>
      <c r="C127">
        <v>140</v>
      </c>
      <c r="D127" t="s">
        <v>189</v>
      </c>
      <c r="E127" t="s">
        <v>11</v>
      </c>
      <c r="F127">
        <v>1</v>
      </c>
      <c r="G127" t="s">
        <v>18</v>
      </c>
    </row>
    <row r="128" spans="1:7" x14ac:dyDescent="0.25">
      <c r="A128">
        <v>10</v>
      </c>
      <c r="B128" t="s">
        <v>132</v>
      </c>
      <c r="C128">
        <v>10</v>
      </c>
      <c r="D128" t="s">
        <v>432</v>
      </c>
      <c r="E128" t="s">
        <v>11</v>
      </c>
      <c r="F128">
        <v>1</v>
      </c>
      <c r="G128" t="s">
        <v>18</v>
      </c>
    </row>
    <row r="129" spans="1:7" x14ac:dyDescent="0.25">
      <c r="A129">
        <v>10</v>
      </c>
      <c r="B129" t="s">
        <v>132</v>
      </c>
      <c r="C129">
        <v>20</v>
      </c>
      <c r="D129" t="s">
        <v>114</v>
      </c>
      <c r="E129" t="s">
        <v>17</v>
      </c>
      <c r="F129">
        <v>1.016</v>
      </c>
      <c r="G129" t="s">
        <v>18</v>
      </c>
    </row>
    <row r="130" spans="1:7" x14ac:dyDescent="0.25">
      <c r="A130">
        <v>10</v>
      </c>
      <c r="B130" t="s">
        <v>132</v>
      </c>
      <c r="C130">
        <v>30</v>
      </c>
      <c r="D130" t="s">
        <v>190</v>
      </c>
      <c r="E130" t="s">
        <v>11</v>
      </c>
      <c r="F130">
        <v>1</v>
      </c>
      <c r="G130" t="s">
        <v>18</v>
      </c>
    </row>
    <row r="131" spans="1:7" x14ac:dyDescent="0.25">
      <c r="A131">
        <v>10</v>
      </c>
      <c r="B131" t="s">
        <v>132</v>
      </c>
      <c r="C131">
        <v>40</v>
      </c>
      <c r="D131" t="s">
        <v>191</v>
      </c>
      <c r="E131" t="s">
        <v>11</v>
      </c>
      <c r="F131">
        <v>1</v>
      </c>
      <c r="G131" t="s">
        <v>18</v>
      </c>
    </row>
    <row r="132" spans="1:7" x14ac:dyDescent="0.25">
      <c r="A132">
        <v>10</v>
      </c>
      <c r="B132" t="s">
        <v>132</v>
      </c>
      <c r="C132">
        <v>50</v>
      </c>
      <c r="D132" t="s">
        <v>115</v>
      </c>
      <c r="E132" t="s">
        <v>17</v>
      </c>
      <c r="F132">
        <v>1.016</v>
      </c>
      <c r="G132" t="s">
        <v>18</v>
      </c>
    </row>
    <row r="133" spans="1:7" x14ac:dyDescent="0.25">
      <c r="A133">
        <v>10</v>
      </c>
      <c r="B133" t="s">
        <v>132</v>
      </c>
      <c r="C133">
        <v>60</v>
      </c>
      <c r="D133" t="s">
        <v>109</v>
      </c>
      <c r="E133" t="s">
        <v>110</v>
      </c>
      <c r="F133">
        <v>0.42699999999999999</v>
      </c>
      <c r="G133" t="s">
        <v>15</v>
      </c>
    </row>
    <row r="134" spans="1:7" x14ac:dyDescent="0.25">
      <c r="A134">
        <v>10</v>
      </c>
      <c r="B134" t="s">
        <v>132</v>
      </c>
      <c r="C134">
        <v>70</v>
      </c>
      <c r="D134" t="s">
        <v>111</v>
      </c>
      <c r="E134" t="s">
        <v>17</v>
      </c>
      <c r="F134">
        <v>17.983000000000001</v>
      </c>
      <c r="G134" t="s">
        <v>15</v>
      </c>
    </row>
    <row r="135" spans="1:7" x14ac:dyDescent="0.25">
      <c r="A135">
        <v>10</v>
      </c>
      <c r="B135" t="s">
        <v>132</v>
      </c>
      <c r="C135">
        <v>80</v>
      </c>
      <c r="D135" t="s">
        <v>21</v>
      </c>
      <c r="E135" t="s">
        <v>17</v>
      </c>
      <c r="F135">
        <v>110.59699999999999</v>
      </c>
      <c r="G135" t="s">
        <v>15</v>
      </c>
    </row>
    <row r="136" spans="1:7" x14ac:dyDescent="0.25">
      <c r="A136">
        <v>10</v>
      </c>
      <c r="B136" t="s">
        <v>132</v>
      </c>
      <c r="C136">
        <v>90</v>
      </c>
      <c r="D136" t="s">
        <v>123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132</v>
      </c>
      <c r="C137">
        <v>100</v>
      </c>
      <c r="D137" t="s">
        <v>25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132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132</v>
      </c>
      <c r="C139">
        <v>120</v>
      </c>
      <c r="D139" t="s">
        <v>27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132</v>
      </c>
      <c r="C140">
        <v>130</v>
      </c>
      <c r="D140" t="s">
        <v>116</v>
      </c>
      <c r="E140" t="s">
        <v>14</v>
      </c>
      <c r="F140">
        <v>0.68899999999999995</v>
      </c>
      <c r="G140" t="s">
        <v>15</v>
      </c>
    </row>
    <row r="141" spans="1:7" x14ac:dyDescent="0.25">
      <c r="A141">
        <v>10</v>
      </c>
      <c r="B141" t="s">
        <v>132</v>
      </c>
      <c r="C141">
        <v>140</v>
      </c>
      <c r="D141" t="s">
        <v>192</v>
      </c>
      <c r="E141" t="s">
        <v>11</v>
      </c>
      <c r="F141">
        <v>1</v>
      </c>
      <c r="G141" t="s">
        <v>18</v>
      </c>
    </row>
    <row r="142" spans="1:7" x14ac:dyDescent="0.25">
      <c r="A142">
        <v>11</v>
      </c>
      <c r="B142" t="s">
        <v>133</v>
      </c>
      <c r="C142">
        <v>10</v>
      </c>
      <c r="D142" t="s">
        <v>433</v>
      </c>
      <c r="E142" t="s">
        <v>11</v>
      </c>
      <c r="F142">
        <v>1</v>
      </c>
      <c r="G142" t="s">
        <v>18</v>
      </c>
    </row>
    <row r="143" spans="1:7" x14ac:dyDescent="0.25">
      <c r="A143">
        <v>11</v>
      </c>
      <c r="B143" t="s">
        <v>133</v>
      </c>
      <c r="C143">
        <v>20</v>
      </c>
      <c r="D143" t="s">
        <v>114</v>
      </c>
      <c r="E143" t="s">
        <v>17</v>
      </c>
      <c r="F143">
        <v>1.1679999999999999</v>
      </c>
      <c r="G143" t="s">
        <v>18</v>
      </c>
    </row>
    <row r="144" spans="1:7" x14ac:dyDescent="0.25">
      <c r="A144">
        <v>11</v>
      </c>
      <c r="B144" t="s">
        <v>133</v>
      </c>
      <c r="C144">
        <v>30</v>
      </c>
      <c r="D144" t="s">
        <v>193</v>
      </c>
      <c r="E144" t="s">
        <v>11</v>
      </c>
      <c r="F144">
        <v>1</v>
      </c>
      <c r="G144" t="s">
        <v>18</v>
      </c>
    </row>
    <row r="145" spans="1:7" x14ac:dyDescent="0.25">
      <c r="A145">
        <v>11</v>
      </c>
      <c r="B145" t="s">
        <v>133</v>
      </c>
      <c r="C145">
        <v>40</v>
      </c>
      <c r="D145" t="s">
        <v>194</v>
      </c>
      <c r="E145" t="s">
        <v>11</v>
      </c>
      <c r="F145">
        <v>1</v>
      </c>
      <c r="G145" t="s">
        <v>18</v>
      </c>
    </row>
    <row r="146" spans="1:7" x14ac:dyDescent="0.25">
      <c r="A146">
        <v>11</v>
      </c>
      <c r="B146" t="s">
        <v>133</v>
      </c>
      <c r="C146">
        <v>50</v>
      </c>
      <c r="D146" t="s">
        <v>115</v>
      </c>
      <c r="E146" t="s">
        <v>17</v>
      </c>
      <c r="F146">
        <v>1.1679999999999999</v>
      </c>
      <c r="G146" t="s">
        <v>18</v>
      </c>
    </row>
    <row r="147" spans="1:7" x14ac:dyDescent="0.25">
      <c r="A147">
        <v>11</v>
      </c>
      <c r="B147" t="s">
        <v>133</v>
      </c>
      <c r="C147">
        <v>60</v>
      </c>
      <c r="D147" t="s">
        <v>109</v>
      </c>
      <c r="E147" t="s">
        <v>110</v>
      </c>
      <c r="F147">
        <v>0.495</v>
      </c>
      <c r="G147" t="s">
        <v>15</v>
      </c>
    </row>
    <row r="148" spans="1:7" x14ac:dyDescent="0.25">
      <c r="A148">
        <v>11</v>
      </c>
      <c r="B148" t="s">
        <v>133</v>
      </c>
      <c r="C148">
        <v>70</v>
      </c>
      <c r="D148" t="s">
        <v>111</v>
      </c>
      <c r="E148" t="s">
        <v>17</v>
      </c>
      <c r="F148">
        <v>18.898</v>
      </c>
      <c r="G148" t="s">
        <v>15</v>
      </c>
    </row>
    <row r="149" spans="1:7" x14ac:dyDescent="0.25">
      <c r="A149">
        <v>11</v>
      </c>
      <c r="B149" t="s">
        <v>133</v>
      </c>
      <c r="C149">
        <v>80</v>
      </c>
      <c r="D149" t="s">
        <v>21</v>
      </c>
      <c r="E149" t="s">
        <v>17</v>
      </c>
      <c r="F149">
        <v>116.22</v>
      </c>
      <c r="G149" t="s">
        <v>15</v>
      </c>
    </row>
    <row r="150" spans="1:7" x14ac:dyDescent="0.25">
      <c r="A150">
        <v>11</v>
      </c>
      <c r="B150" t="s">
        <v>133</v>
      </c>
      <c r="C150">
        <v>90</v>
      </c>
      <c r="D150" t="s">
        <v>123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133</v>
      </c>
      <c r="C151">
        <v>100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133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133</v>
      </c>
      <c r="C153">
        <v>120</v>
      </c>
      <c r="D153" t="s">
        <v>27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133</v>
      </c>
      <c r="C154">
        <v>130</v>
      </c>
      <c r="D154" t="s">
        <v>116</v>
      </c>
      <c r="E154" t="s">
        <v>14</v>
      </c>
      <c r="F154">
        <v>0.77</v>
      </c>
      <c r="G154" t="s">
        <v>15</v>
      </c>
    </row>
    <row r="155" spans="1:7" x14ac:dyDescent="0.25">
      <c r="A155">
        <v>11</v>
      </c>
      <c r="B155" t="s">
        <v>133</v>
      </c>
      <c r="C155">
        <v>140</v>
      </c>
      <c r="D155" t="s">
        <v>195</v>
      </c>
      <c r="E155" t="s">
        <v>11</v>
      </c>
      <c r="F155">
        <v>1</v>
      </c>
      <c r="G155" t="s">
        <v>18</v>
      </c>
    </row>
    <row r="156" spans="1:7" x14ac:dyDescent="0.25">
      <c r="A156">
        <v>12</v>
      </c>
      <c r="B156" t="s">
        <v>134</v>
      </c>
      <c r="C156">
        <v>10</v>
      </c>
      <c r="D156" t="s">
        <v>434</v>
      </c>
      <c r="E156" t="s">
        <v>11</v>
      </c>
      <c r="F156">
        <v>1</v>
      </c>
      <c r="G156" t="s">
        <v>18</v>
      </c>
    </row>
    <row r="157" spans="1:7" x14ac:dyDescent="0.25">
      <c r="A157">
        <v>12</v>
      </c>
      <c r="B157" t="s">
        <v>134</v>
      </c>
      <c r="C157">
        <v>20</v>
      </c>
      <c r="D157" t="s">
        <v>114</v>
      </c>
      <c r="E157" t="s">
        <v>17</v>
      </c>
      <c r="F157">
        <v>1.321</v>
      </c>
      <c r="G157" t="s">
        <v>18</v>
      </c>
    </row>
    <row r="158" spans="1:7" x14ac:dyDescent="0.25">
      <c r="A158">
        <v>12</v>
      </c>
      <c r="B158" t="s">
        <v>134</v>
      </c>
      <c r="C158">
        <v>30</v>
      </c>
      <c r="D158" t="s">
        <v>196</v>
      </c>
      <c r="E158" t="s">
        <v>11</v>
      </c>
      <c r="F158">
        <v>1</v>
      </c>
      <c r="G158" t="s">
        <v>18</v>
      </c>
    </row>
    <row r="159" spans="1:7" x14ac:dyDescent="0.25">
      <c r="A159">
        <v>12</v>
      </c>
      <c r="B159" t="s">
        <v>134</v>
      </c>
      <c r="C159">
        <v>40</v>
      </c>
      <c r="D159" t="s">
        <v>197</v>
      </c>
      <c r="E159" t="s">
        <v>11</v>
      </c>
      <c r="F159">
        <v>1</v>
      </c>
      <c r="G159" t="s">
        <v>18</v>
      </c>
    </row>
    <row r="160" spans="1:7" x14ac:dyDescent="0.25">
      <c r="A160">
        <v>12</v>
      </c>
      <c r="B160" t="s">
        <v>134</v>
      </c>
      <c r="C160">
        <v>50</v>
      </c>
      <c r="D160" t="s">
        <v>115</v>
      </c>
      <c r="E160" t="s">
        <v>17</v>
      </c>
      <c r="F160">
        <v>1.321</v>
      </c>
      <c r="G160" t="s">
        <v>18</v>
      </c>
    </row>
    <row r="161" spans="1:7" x14ac:dyDescent="0.25">
      <c r="A161">
        <v>12</v>
      </c>
      <c r="B161" t="s">
        <v>134</v>
      </c>
      <c r="C161">
        <v>60</v>
      </c>
      <c r="D161" t="s">
        <v>109</v>
      </c>
      <c r="E161" t="s">
        <v>110</v>
      </c>
      <c r="F161">
        <v>0.56200000000000006</v>
      </c>
      <c r="G161" t="s">
        <v>15</v>
      </c>
    </row>
    <row r="162" spans="1:7" x14ac:dyDescent="0.25">
      <c r="A162">
        <v>12</v>
      </c>
      <c r="B162" t="s">
        <v>134</v>
      </c>
      <c r="C162">
        <v>70</v>
      </c>
      <c r="D162" t="s">
        <v>111</v>
      </c>
      <c r="E162" t="s">
        <v>17</v>
      </c>
      <c r="F162">
        <v>19.812000000000001</v>
      </c>
      <c r="G162" t="s">
        <v>15</v>
      </c>
    </row>
    <row r="163" spans="1:7" x14ac:dyDescent="0.25">
      <c r="A163">
        <v>12</v>
      </c>
      <c r="B163" t="s">
        <v>134</v>
      </c>
      <c r="C163">
        <v>80</v>
      </c>
      <c r="D163" t="s">
        <v>21</v>
      </c>
      <c r="E163" t="s">
        <v>17</v>
      </c>
      <c r="F163">
        <v>121.84399999999999</v>
      </c>
      <c r="G163" t="s">
        <v>15</v>
      </c>
    </row>
    <row r="164" spans="1:7" x14ac:dyDescent="0.25">
      <c r="A164">
        <v>12</v>
      </c>
      <c r="B164" t="s">
        <v>134</v>
      </c>
      <c r="C164">
        <v>90</v>
      </c>
      <c r="D164" t="s">
        <v>123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134</v>
      </c>
      <c r="C165">
        <v>100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134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134</v>
      </c>
      <c r="C167">
        <v>120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134</v>
      </c>
      <c r="C168">
        <v>130</v>
      </c>
      <c r="D168" t="s">
        <v>116</v>
      </c>
      <c r="E168" t="s">
        <v>14</v>
      </c>
      <c r="F168">
        <v>0.85099999999999998</v>
      </c>
      <c r="G168" t="s">
        <v>15</v>
      </c>
    </row>
    <row r="169" spans="1:7" x14ac:dyDescent="0.25">
      <c r="A169">
        <v>12</v>
      </c>
      <c r="B169" t="s">
        <v>134</v>
      </c>
      <c r="C169">
        <v>140</v>
      </c>
      <c r="D169" t="s">
        <v>198</v>
      </c>
      <c r="E169" t="s">
        <v>11</v>
      </c>
      <c r="F169">
        <v>1</v>
      </c>
      <c r="G169" t="s">
        <v>18</v>
      </c>
    </row>
    <row r="170" spans="1:7" x14ac:dyDescent="0.25">
      <c r="A170">
        <v>13</v>
      </c>
      <c r="B170" t="s">
        <v>135</v>
      </c>
      <c r="C170">
        <v>10</v>
      </c>
      <c r="D170" t="s">
        <v>435</v>
      </c>
      <c r="E170" t="s">
        <v>11</v>
      </c>
      <c r="F170">
        <v>1</v>
      </c>
      <c r="G170" t="s">
        <v>18</v>
      </c>
    </row>
    <row r="171" spans="1:7" x14ac:dyDescent="0.25">
      <c r="A171">
        <v>13</v>
      </c>
      <c r="B171" t="s">
        <v>135</v>
      </c>
      <c r="C171">
        <v>20</v>
      </c>
      <c r="D171" t="s">
        <v>114</v>
      </c>
      <c r="E171" t="s">
        <v>17</v>
      </c>
      <c r="F171">
        <v>1.397</v>
      </c>
      <c r="G171" t="s">
        <v>18</v>
      </c>
    </row>
    <row r="172" spans="1:7" x14ac:dyDescent="0.25">
      <c r="A172">
        <v>13</v>
      </c>
      <c r="B172" t="s">
        <v>135</v>
      </c>
      <c r="C172">
        <v>30</v>
      </c>
      <c r="D172" t="s">
        <v>199</v>
      </c>
      <c r="E172" t="s">
        <v>11</v>
      </c>
      <c r="F172">
        <v>1</v>
      </c>
      <c r="G172" t="s">
        <v>18</v>
      </c>
    </row>
    <row r="173" spans="1:7" x14ac:dyDescent="0.25">
      <c r="A173">
        <v>13</v>
      </c>
      <c r="B173" t="s">
        <v>135</v>
      </c>
      <c r="C173">
        <v>40</v>
      </c>
      <c r="D173" t="s">
        <v>200</v>
      </c>
      <c r="E173" t="s">
        <v>11</v>
      </c>
      <c r="F173">
        <v>1</v>
      </c>
      <c r="G173" t="s">
        <v>18</v>
      </c>
    </row>
    <row r="174" spans="1:7" x14ac:dyDescent="0.25">
      <c r="A174">
        <v>13</v>
      </c>
      <c r="B174" t="s">
        <v>135</v>
      </c>
      <c r="C174">
        <v>50</v>
      </c>
      <c r="D174" t="s">
        <v>115</v>
      </c>
      <c r="E174" t="s">
        <v>17</v>
      </c>
      <c r="F174">
        <v>1.397</v>
      </c>
      <c r="G174" t="s">
        <v>18</v>
      </c>
    </row>
    <row r="175" spans="1:7" x14ac:dyDescent="0.25">
      <c r="A175">
        <v>13</v>
      </c>
      <c r="B175" t="s">
        <v>135</v>
      </c>
      <c r="C175">
        <v>60</v>
      </c>
      <c r="D175" t="s">
        <v>109</v>
      </c>
      <c r="E175" t="s">
        <v>110</v>
      </c>
      <c r="F175">
        <v>0.59599999999999997</v>
      </c>
      <c r="G175" t="s">
        <v>15</v>
      </c>
    </row>
    <row r="176" spans="1:7" x14ac:dyDescent="0.25">
      <c r="A176">
        <v>13</v>
      </c>
      <c r="B176" t="s">
        <v>135</v>
      </c>
      <c r="C176">
        <v>70</v>
      </c>
      <c r="D176" t="s">
        <v>111</v>
      </c>
      <c r="E176" t="s">
        <v>17</v>
      </c>
      <c r="F176">
        <v>20.268999999999998</v>
      </c>
      <c r="G176" t="s">
        <v>15</v>
      </c>
    </row>
    <row r="177" spans="1:7" x14ac:dyDescent="0.25">
      <c r="A177">
        <v>13</v>
      </c>
      <c r="B177" t="s">
        <v>135</v>
      </c>
      <c r="C177">
        <v>80</v>
      </c>
      <c r="D177" t="s">
        <v>21</v>
      </c>
      <c r="E177" t="s">
        <v>17</v>
      </c>
      <c r="F177">
        <v>124.65600000000001</v>
      </c>
      <c r="G177" t="s">
        <v>15</v>
      </c>
    </row>
    <row r="178" spans="1:7" x14ac:dyDescent="0.25">
      <c r="A178">
        <v>13</v>
      </c>
      <c r="B178" t="s">
        <v>135</v>
      </c>
      <c r="C178">
        <v>90</v>
      </c>
      <c r="D178" t="s">
        <v>123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135</v>
      </c>
      <c r="C179">
        <v>100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135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135</v>
      </c>
      <c r="C181">
        <v>120</v>
      </c>
      <c r="D181" t="s">
        <v>27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135</v>
      </c>
      <c r="C182">
        <v>130</v>
      </c>
      <c r="D182" t="s">
        <v>116</v>
      </c>
      <c r="E182" t="s">
        <v>14</v>
      </c>
      <c r="F182">
        <v>0.89200000000000002</v>
      </c>
      <c r="G182" t="s">
        <v>15</v>
      </c>
    </row>
    <row r="183" spans="1:7" x14ac:dyDescent="0.25">
      <c r="A183">
        <v>13</v>
      </c>
      <c r="B183" t="s">
        <v>135</v>
      </c>
      <c r="C183">
        <v>140</v>
      </c>
      <c r="D183" t="s">
        <v>201</v>
      </c>
      <c r="E183" t="s">
        <v>11</v>
      </c>
      <c r="F183">
        <v>1</v>
      </c>
      <c r="G183" t="s">
        <v>18</v>
      </c>
    </row>
    <row r="184" spans="1:7" x14ac:dyDescent="0.25">
      <c r="A184">
        <v>14</v>
      </c>
      <c r="B184" t="s">
        <v>136</v>
      </c>
      <c r="C184">
        <v>10</v>
      </c>
      <c r="D184" t="s">
        <v>436</v>
      </c>
      <c r="E184" t="s">
        <v>11</v>
      </c>
      <c r="F184">
        <v>1</v>
      </c>
      <c r="G184" t="s">
        <v>18</v>
      </c>
    </row>
    <row r="185" spans="1:7" x14ac:dyDescent="0.25">
      <c r="A185">
        <v>14</v>
      </c>
      <c r="B185" t="s">
        <v>136</v>
      </c>
      <c r="C185">
        <v>20</v>
      </c>
      <c r="D185" t="s">
        <v>114</v>
      </c>
      <c r="E185" t="s">
        <v>17</v>
      </c>
      <c r="F185">
        <v>1.4730000000000001</v>
      </c>
      <c r="G185" t="s">
        <v>18</v>
      </c>
    </row>
    <row r="186" spans="1:7" x14ac:dyDescent="0.25">
      <c r="A186">
        <v>14</v>
      </c>
      <c r="B186" t="s">
        <v>136</v>
      </c>
      <c r="C186">
        <v>30</v>
      </c>
      <c r="D186" t="s">
        <v>202</v>
      </c>
      <c r="E186" t="s">
        <v>11</v>
      </c>
      <c r="F186">
        <v>1</v>
      </c>
      <c r="G186" t="s">
        <v>18</v>
      </c>
    </row>
    <row r="187" spans="1:7" x14ac:dyDescent="0.25">
      <c r="A187">
        <v>14</v>
      </c>
      <c r="B187" t="s">
        <v>136</v>
      </c>
      <c r="C187">
        <v>40</v>
      </c>
      <c r="D187" t="s">
        <v>203</v>
      </c>
      <c r="E187" t="s">
        <v>11</v>
      </c>
      <c r="F187">
        <v>1</v>
      </c>
      <c r="G187" t="s">
        <v>18</v>
      </c>
    </row>
    <row r="188" spans="1:7" x14ac:dyDescent="0.25">
      <c r="A188">
        <v>14</v>
      </c>
      <c r="B188" t="s">
        <v>136</v>
      </c>
      <c r="C188">
        <v>50</v>
      </c>
      <c r="D188" t="s">
        <v>115</v>
      </c>
      <c r="E188" t="s">
        <v>17</v>
      </c>
      <c r="F188">
        <v>1.4730000000000001</v>
      </c>
      <c r="G188" t="s">
        <v>18</v>
      </c>
    </row>
    <row r="189" spans="1:7" x14ac:dyDescent="0.25">
      <c r="A189">
        <v>14</v>
      </c>
      <c r="B189" t="s">
        <v>136</v>
      </c>
      <c r="C189">
        <v>60</v>
      </c>
      <c r="D189" t="s">
        <v>109</v>
      </c>
      <c r="E189" t="s">
        <v>110</v>
      </c>
      <c r="F189">
        <v>0.629</v>
      </c>
      <c r="G189" t="s">
        <v>15</v>
      </c>
    </row>
    <row r="190" spans="1:7" x14ac:dyDescent="0.25">
      <c r="A190">
        <v>14</v>
      </c>
      <c r="B190" t="s">
        <v>136</v>
      </c>
      <c r="C190">
        <v>70</v>
      </c>
      <c r="D190" t="s">
        <v>111</v>
      </c>
      <c r="E190" t="s">
        <v>17</v>
      </c>
      <c r="F190">
        <v>20.725999999999999</v>
      </c>
      <c r="G190" t="s">
        <v>15</v>
      </c>
    </row>
    <row r="191" spans="1:7" x14ac:dyDescent="0.25">
      <c r="A191">
        <v>14</v>
      </c>
      <c r="B191" t="s">
        <v>136</v>
      </c>
      <c r="C191">
        <v>80</v>
      </c>
      <c r="D191" t="s">
        <v>21</v>
      </c>
      <c r="E191" t="s">
        <v>17</v>
      </c>
      <c r="F191">
        <v>127.467</v>
      </c>
      <c r="G191" t="s">
        <v>15</v>
      </c>
    </row>
    <row r="192" spans="1:7" x14ac:dyDescent="0.25">
      <c r="A192">
        <v>14</v>
      </c>
      <c r="B192" t="s">
        <v>136</v>
      </c>
      <c r="C192">
        <v>90</v>
      </c>
      <c r="D192" t="s">
        <v>123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136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136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136</v>
      </c>
      <c r="C195">
        <v>120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136</v>
      </c>
      <c r="C196">
        <v>130</v>
      </c>
      <c r="D196" t="s">
        <v>116</v>
      </c>
      <c r="E196" t="s">
        <v>14</v>
      </c>
      <c r="F196">
        <v>0.93200000000000005</v>
      </c>
      <c r="G196" t="s">
        <v>15</v>
      </c>
    </row>
    <row r="197" spans="1:7" x14ac:dyDescent="0.25">
      <c r="A197">
        <v>14</v>
      </c>
      <c r="B197" t="s">
        <v>136</v>
      </c>
      <c r="C197">
        <v>140</v>
      </c>
      <c r="D197" t="s">
        <v>204</v>
      </c>
      <c r="E197" t="s">
        <v>11</v>
      </c>
      <c r="F197">
        <v>1</v>
      </c>
      <c r="G197" t="s">
        <v>18</v>
      </c>
    </row>
    <row r="198" spans="1:7" x14ac:dyDescent="0.25">
      <c r="A198">
        <v>15</v>
      </c>
      <c r="B198" t="s">
        <v>137</v>
      </c>
      <c r="C198">
        <v>10</v>
      </c>
      <c r="D198" t="s">
        <v>437</v>
      </c>
      <c r="E198" t="s">
        <v>11</v>
      </c>
      <c r="F198">
        <v>1</v>
      </c>
      <c r="G198" t="s">
        <v>18</v>
      </c>
    </row>
    <row r="199" spans="1:7" x14ac:dyDescent="0.25">
      <c r="A199">
        <v>15</v>
      </c>
      <c r="B199" t="s">
        <v>137</v>
      </c>
      <c r="C199">
        <v>20</v>
      </c>
      <c r="D199" t="s">
        <v>114</v>
      </c>
      <c r="E199" t="s">
        <v>17</v>
      </c>
      <c r="F199">
        <v>1.6259999999999999</v>
      </c>
      <c r="G199" t="s">
        <v>18</v>
      </c>
    </row>
    <row r="200" spans="1:7" x14ac:dyDescent="0.25">
      <c r="A200">
        <v>15</v>
      </c>
      <c r="B200" t="s">
        <v>137</v>
      </c>
      <c r="C200">
        <v>30</v>
      </c>
      <c r="D200" t="s">
        <v>205</v>
      </c>
      <c r="E200" t="s">
        <v>11</v>
      </c>
      <c r="F200">
        <v>1</v>
      </c>
      <c r="G200" t="s">
        <v>18</v>
      </c>
    </row>
    <row r="201" spans="1:7" x14ac:dyDescent="0.25">
      <c r="A201">
        <v>15</v>
      </c>
      <c r="B201" t="s">
        <v>137</v>
      </c>
      <c r="C201">
        <v>40</v>
      </c>
      <c r="D201" t="s">
        <v>206</v>
      </c>
      <c r="E201" t="s">
        <v>11</v>
      </c>
      <c r="F201">
        <v>1</v>
      </c>
      <c r="G201" t="s">
        <v>18</v>
      </c>
    </row>
    <row r="202" spans="1:7" x14ac:dyDescent="0.25">
      <c r="A202">
        <v>15</v>
      </c>
      <c r="B202" t="s">
        <v>137</v>
      </c>
      <c r="C202">
        <v>50</v>
      </c>
      <c r="D202" t="s">
        <v>115</v>
      </c>
      <c r="E202" t="s">
        <v>17</v>
      </c>
      <c r="F202">
        <v>1.6259999999999999</v>
      </c>
      <c r="G202" t="s">
        <v>18</v>
      </c>
    </row>
    <row r="203" spans="1:7" x14ac:dyDescent="0.25">
      <c r="A203">
        <v>15</v>
      </c>
      <c r="B203" t="s">
        <v>137</v>
      </c>
      <c r="C203">
        <v>60</v>
      </c>
      <c r="D203" t="s">
        <v>109</v>
      </c>
      <c r="E203" t="s">
        <v>110</v>
      </c>
      <c r="F203">
        <v>0.69699999999999995</v>
      </c>
      <c r="G203" t="s">
        <v>15</v>
      </c>
    </row>
    <row r="204" spans="1:7" x14ac:dyDescent="0.25">
      <c r="A204">
        <v>15</v>
      </c>
      <c r="B204" t="s">
        <v>137</v>
      </c>
      <c r="C204">
        <v>70</v>
      </c>
      <c r="D204" t="s">
        <v>111</v>
      </c>
      <c r="E204" t="s">
        <v>17</v>
      </c>
      <c r="F204">
        <v>21.640999999999998</v>
      </c>
      <c r="G204" t="s">
        <v>15</v>
      </c>
    </row>
    <row r="205" spans="1:7" x14ac:dyDescent="0.25">
      <c r="A205">
        <v>15</v>
      </c>
      <c r="B205" t="s">
        <v>137</v>
      </c>
      <c r="C205">
        <v>80</v>
      </c>
      <c r="D205" t="s">
        <v>21</v>
      </c>
      <c r="E205" t="s">
        <v>17</v>
      </c>
      <c r="F205">
        <v>133.09100000000001</v>
      </c>
      <c r="G205" t="s">
        <v>15</v>
      </c>
    </row>
    <row r="206" spans="1:7" x14ac:dyDescent="0.25">
      <c r="A206">
        <v>15</v>
      </c>
      <c r="B206" t="s">
        <v>137</v>
      </c>
      <c r="C206">
        <v>90</v>
      </c>
      <c r="D206" t="s">
        <v>123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137</v>
      </c>
      <c r="C207">
        <v>100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137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137</v>
      </c>
      <c r="C209">
        <v>120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137</v>
      </c>
      <c r="C210">
        <v>130</v>
      </c>
      <c r="D210" t="s">
        <v>116</v>
      </c>
      <c r="E210" t="s">
        <v>14</v>
      </c>
      <c r="F210">
        <v>1.0129999999999999</v>
      </c>
      <c r="G210" t="s">
        <v>15</v>
      </c>
    </row>
    <row r="211" spans="1:7" x14ac:dyDescent="0.25">
      <c r="A211">
        <v>15</v>
      </c>
      <c r="B211" t="s">
        <v>137</v>
      </c>
      <c r="C211">
        <v>140</v>
      </c>
      <c r="D211" t="s">
        <v>207</v>
      </c>
      <c r="E211" t="s">
        <v>11</v>
      </c>
      <c r="F211">
        <v>1</v>
      </c>
      <c r="G211" t="s">
        <v>18</v>
      </c>
    </row>
    <row r="212" spans="1:7" x14ac:dyDescent="0.25">
      <c r="A212">
        <v>16</v>
      </c>
      <c r="B212" t="s">
        <v>138</v>
      </c>
      <c r="C212">
        <v>10</v>
      </c>
      <c r="D212" t="s">
        <v>438</v>
      </c>
      <c r="E212" t="s">
        <v>11</v>
      </c>
      <c r="F212">
        <v>1</v>
      </c>
      <c r="G212" t="s">
        <v>18</v>
      </c>
    </row>
    <row r="213" spans="1:7" x14ac:dyDescent="0.25">
      <c r="A213">
        <v>16</v>
      </c>
      <c r="B213" t="s">
        <v>138</v>
      </c>
      <c r="C213">
        <v>20</v>
      </c>
      <c r="D213" t="s">
        <v>114</v>
      </c>
      <c r="E213" t="s">
        <v>17</v>
      </c>
      <c r="F213">
        <v>1.778</v>
      </c>
      <c r="G213" t="s">
        <v>18</v>
      </c>
    </row>
    <row r="214" spans="1:7" x14ac:dyDescent="0.25">
      <c r="A214">
        <v>16</v>
      </c>
      <c r="B214" t="s">
        <v>138</v>
      </c>
      <c r="C214">
        <v>30</v>
      </c>
      <c r="D214" t="s">
        <v>208</v>
      </c>
      <c r="E214" t="s">
        <v>11</v>
      </c>
      <c r="F214">
        <v>1</v>
      </c>
      <c r="G214" t="s">
        <v>18</v>
      </c>
    </row>
    <row r="215" spans="1:7" x14ac:dyDescent="0.25">
      <c r="A215">
        <v>16</v>
      </c>
      <c r="B215" t="s">
        <v>138</v>
      </c>
      <c r="C215">
        <v>40</v>
      </c>
      <c r="D215" t="s">
        <v>209</v>
      </c>
      <c r="E215" t="s">
        <v>11</v>
      </c>
      <c r="F215">
        <v>1</v>
      </c>
      <c r="G215" t="s">
        <v>18</v>
      </c>
    </row>
    <row r="216" spans="1:7" x14ac:dyDescent="0.25">
      <c r="A216">
        <v>16</v>
      </c>
      <c r="B216" t="s">
        <v>138</v>
      </c>
      <c r="C216">
        <v>50</v>
      </c>
      <c r="D216" t="s">
        <v>115</v>
      </c>
      <c r="E216" t="s">
        <v>17</v>
      </c>
      <c r="F216">
        <v>1.778</v>
      </c>
      <c r="G216" t="s">
        <v>18</v>
      </c>
    </row>
    <row r="217" spans="1:7" x14ac:dyDescent="0.25">
      <c r="A217">
        <v>16</v>
      </c>
      <c r="B217" t="s">
        <v>138</v>
      </c>
      <c r="C217">
        <v>60</v>
      </c>
      <c r="D217" t="s">
        <v>109</v>
      </c>
      <c r="E217" t="s">
        <v>110</v>
      </c>
      <c r="F217">
        <v>0.76400000000000001</v>
      </c>
      <c r="G217" t="s">
        <v>15</v>
      </c>
    </row>
    <row r="218" spans="1:7" x14ac:dyDescent="0.25">
      <c r="A218">
        <v>16</v>
      </c>
      <c r="B218" t="s">
        <v>138</v>
      </c>
      <c r="C218">
        <v>70</v>
      </c>
      <c r="D218" t="s">
        <v>111</v>
      </c>
      <c r="E218" t="s">
        <v>17</v>
      </c>
      <c r="F218">
        <v>22.555</v>
      </c>
      <c r="G218" t="s">
        <v>15</v>
      </c>
    </row>
    <row r="219" spans="1:7" x14ac:dyDescent="0.25">
      <c r="A219">
        <v>16</v>
      </c>
      <c r="B219" t="s">
        <v>138</v>
      </c>
      <c r="C219">
        <v>80</v>
      </c>
      <c r="D219" t="s">
        <v>21</v>
      </c>
      <c r="E219" t="s">
        <v>17</v>
      </c>
      <c r="F219">
        <v>138.714</v>
      </c>
      <c r="G219" t="s">
        <v>15</v>
      </c>
    </row>
    <row r="220" spans="1:7" x14ac:dyDescent="0.25">
      <c r="A220">
        <v>16</v>
      </c>
      <c r="B220" t="s">
        <v>138</v>
      </c>
      <c r="C220">
        <v>90</v>
      </c>
      <c r="D220" t="s">
        <v>123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138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138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138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138</v>
      </c>
      <c r="C224">
        <v>130</v>
      </c>
      <c r="D224" t="s">
        <v>116</v>
      </c>
      <c r="E224" t="s">
        <v>14</v>
      </c>
      <c r="F224">
        <v>1.0940000000000001</v>
      </c>
      <c r="G224" t="s">
        <v>15</v>
      </c>
    </row>
    <row r="225" spans="1:7" x14ac:dyDescent="0.25">
      <c r="A225">
        <v>16</v>
      </c>
      <c r="B225" t="s">
        <v>138</v>
      </c>
      <c r="C225">
        <v>140</v>
      </c>
      <c r="D225" t="s">
        <v>210</v>
      </c>
      <c r="E225" t="s">
        <v>11</v>
      </c>
      <c r="F225">
        <v>1</v>
      </c>
      <c r="G225" t="s">
        <v>18</v>
      </c>
    </row>
    <row r="226" spans="1:7" x14ac:dyDescent="0.25">
      <c r="A226">
        <v>17</v>
      </c>
      <c r="B226" t="s">
        <v>139</v>
      </c>
      <c r="C226">
        <v>10</v>
      </c>
      <c r="D226" t="s">
        <v>439</v>
      </c>
      <c r="E226" t="s">
        <v>11</v>
      </c>
      <c r="F226">
        <v>1</v>
      </c>
      <c r="G226" t="s">
        <v>18</v>
      </c>
    </row>
    <row r="227" spans="1:7" x14ac:dyDescent="0.25">
      <c r="A227">
        <v>17</v>
      </c>
      <c r="B227" t="s">
        <v>139</v>
      </c>
      <c r="C227">
        <v>20</v>
      </c>
      <c r="D227" t="s">
        <v>114</v>
      </c>
      <c r="E227" t="s">
        <v>17</v>
      </c>
      <c r="F227">
        <v>0.86399999999999999</v>
      </c>
      <c r="G227" t="s">
        <v>18</v>
      </c>
    </row>
    <row r="228" spans="1:7" x14ac:dyDescent="0.25">
      <c r="A228">
        <v>17</v>
      </c>
      <c r="B228" t="s">
        <v>139</v>
      </c>
      <c r="C228">
        <v>30</v>
      </c>
      <c r="D228" t="s">
        <v>211</v>
      </c>
      <c r="E228" t="s">
        <v>11</v>
      </c>
      <c r="F228">
        <v>1</v>
      </c>
      <c r="G228" t="s">
        <v>18</v>
      </c>
    </row>
    <row r="229" spans="1:7" x14ac:dyDescent="0.25">
      <c r="A229">
        <v>17</v>
      </c>
      <c r="B229" t="s">
        <v>139</v>
      </c>
      <c r="C229">
        <v>40</v>
      </c>
      <c r="D229" t="s">
        <v>212</v>
      </c>
      <c r="E229" t="s">
        <v>11</v>
      </c>
      <c r="F229">
        <v>1</v>
      </c>
      <c r="G229" t="s">
        <v>18</v>
      </c>
    </row>
    <row r="230" spans="1:7" x14ac:dyDescent="0.25">
      <c r="A230">
        <v>17</v>
      </c>
      <c r="B230" t="s">
        <v>139</v>
      </c>
      <c r="C230">
        <v>50</v>
      </c>
      <c r="D230" t="s">
        <v>115</v>
      </c>
      <c r="E230" t="s">
        <v>17</v>
      </c>
      <c r="F230">
        <v>0.86399999999999999</v>
      </c>
      <c r="G230" t="s">
        <v>18</v>
      </c>
    </row>
    <row r="231" spans="1:7" x14ac:dyDescent="0.25">
      <c r="A231">
        <v>17</v>
      </c>
      <c r="B231" t="s">
        <v>139</v>
      </c>
      <c r="C231">
        <v>60</v>
      </c>
      <c r="D231" t="s">
        <v>109</v>
      </c>
      <c r="E231" t="s">
        <v>110</v>
      </c>
      <c r="F231">
        <v>0.374</v>
      </c>
      <c r="G231" t="s">
        <v>15</v>
      </c>
    </row>
    <row r="232" spans="1:7" x14ac:dyDescent="0.25">
      <c r="A232">
        <v>17</v>
      </c>
      <c r="B232" t="s">
        <v>139</v>
      </c>
      <c r="C232">
        <v>70</v>
      </c>
      <c r="D232" t="s">
        <v>111</v>
      </c>
      <c r="E232" t="s">
        <v>17</v>
      </c>
      <c r="F232">
        <v>17.526</v>
      </c>
      <c r="G232" t="s">
        <v>15</v>
      </c>
    </row>
    <row r="233" spans="1:7" x14ac:dyDescent="0.25">
      <c r="A233">
        <v>17</v>
      </c>
      <c r="B233" t="s">
        <v>139</v>
      </c>
      <c r="C233">
        <v>80</v>
      </c>
      <c r="D233" t="s">
        <v>21</v>
      </c>
      <c r="E233" t="s">
        <v>17</v>
      </c>
      <c r="F233">
        <v>107.785</v>
      </c>
      <c r="G233" t="s">
        <v>15</v>
      </c>
    </row>
    <row r="234" spans="1:7" x14ac:dyDescent="0.25">
      <c r="A234">
        <v>17</v>
      </c>
      <c r="B234" t="s">
        <v>139</v>
      </c>
      <c r="C234">
        <v>90</v>
      </c>
      <c r="D234" t="s">
        <v>123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139</v>
      </c>
      <c r="C235">
        <v>100</v>
      </c>
      <c r="D235" t="s">
        <v>25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139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139</v>
      </c>
      <c r="C237">
        <v>120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139</v>
      </c>
      <c r="C238">
        <v>130</v>
      </c>
      <c r="D238" t="s">
        <v>116</v>
      </c>
      <c r="E238" t="s">
        <v>14</v>
      </c>
      <c r="F238">
        <v>1.216</v>
      </c>
      <c r="G238" t="s">
        <v>15</v>
      </c>
    </row>
    <row r="239" spans="1:7" x14ac:dyDescent="0.25">
      <c r="A239">
        <v>17</v>
      </c>
      <c r="B239" t="s">
        <v>139</v>
      </c>
      <c r="C239">
        <v>140</v>
      </c>
      <c r="D239" t="s">
        <v>213</v>
      </c>
      <c r="E239" t="s">
        <v>11</v>
      </c>
      <c r="F239">
        <v>1</v>
      </c>
      <c r="G239" t="s">
        <v>18</v>
      </c>
    </row>
    <row r="240" spans="1:7" x14ac:dyDescent="0.25">
      <c r="A240">
        <v>18</v>
      </c>
      <c r="B240" t="s">
        <v>140</v>
      </c>
      <c r="C240">
        <v>10</v>
      </c>
      <c r="D240" t="s">
        <v>440</v>
      </c>
      <c r="E240" t="s">
        <v>11</v>
      </c>
      <c r="F240">
        <v>1</v>
      </c>
      <c r="G240" t="s">
        <v>18</v>
      </c>
    </row>
    <row r="241" spans="1:7" x14ac:dyDescent="0.25">
      <c r="A241">
        <v>18</v>
      </c>
      <c r="B241" t="s">
        <v>140</v>
      </c>
      <c r="C241">
        <v>20</v>
      </c>
      <c r="D241" t="s">
        <v>114</v>
      </c>
      <c r="E241" t="s">
        <v>17</v>
      </c>
      <c r="F241">
        <v>1.016</v>
      </c>
      <c r="G241" t="s">
        <v>18</v>
      </c>
    </row>
    <row r="242" spans="1:7" x14ac:dyDescent="0.25">
      <c r="A242">
        <v>18</v>
      </c>
      <c r="B242" t="s">
        <v>140</v>
      </c>
      <c r="C242">
        <v>30</v>
      </c>
      <c r="D242" t="s">
        <v>214</v>
      </c>
      <c r="E242" t="s">
        <v>11</v>
      </c>
      <c r="F242">
        <v>1</v>
      </c>
      <c r="G242" t="s">
        <v>18</v>
      </c>
    </row>
    <row r="243" spans="1:7" x14ac:dyDescent="0.25">
      <c r="A243">
        <v>18</v>
      </c>
      <c r="B243" t="s">
        <v>140</v>
      </c>
      <c r="C243">
        <v>40</v>
      </c>
      <c r="D243" t="s">
        <v>215</v>
      </c>
      <c r="E243" t="s">
        <v>11</v>
      </c>
      <c r="F243">
        <v>1</v>
      </c>
      <c r="G243" t="s">
        <v>18</v>
      </c>
    </row>
    <row r="244" spans="1:7" x14ac:dyDescent="0.25">
      <c r="A244">
        <v>18</v>
      </c>
      <c r="B244" t="s">
        <v>140</v>
      </c>
      <c r="C244">
        <v>50</v>
      </c>
      <c r="D244" t="s">
        <v>115</v>
      </c>
      <c r="E244" t="s">
        <v>17</v>
      </c>
      <c r="F244">
        <v>1.016</v>
      </c>
      <c r="G244" t="s">
        <v>18</v>
      </c>
    </row>
    <row r="245" spans="1:7" x14ac:dyDescent="0.25">
      <c r="A245">
        <v>18</v>
      </c>
      <c r="B245" t="s">
        <v>140</v>
      </c>
      <c r="C245">
        <v>60</v>
      </c>
      <c r="D245" t="s">
        <v>109</v>
      </c>
      <c r="E245" t="s">
        <v>110</v>
      </c>
      <c r="F245">
        <v>0.44400000000000001</v>
      </c>
      <c r="G245" t="s">
        <v>15</v>
      </c>
    </row>
    <row r="246" spans="1:7" x14ac:dyDescent="0.25">
      <c r="A246">
        <v>18</v>
      </c>
      <c r="B246" t="s">
        <v>140</v>
      </c>
      <c r="C246">
        <v>70</v>
      </c>
      <c r="D246" t="s">
        <v>111</v>
      </c>
      <c r="E246" t="s">
        <v>17</v>
      </c>
      <c r="F246">
        <v>18.440000000000001</v>
      </c>
      <c r="G246" t="s">
        <v>15</v>
      </c>
    </row>
    <row r="247" spans="1:7" x14ac:dyDescent="0.25">
      <c r="A247">
        <v>18</v>
      </c>
      <c r="B247" t="s">
        <v>140</v>
      </c>
      <c r="C247">
        <v>80</v>
      </c>
      <c r="D247" t="s">
        <v>21</v>
      </c>
      <c r="E247" t="s">
        <v>17</v>
      </c>
      <c r="F247">
        <v>113.408</v>
      </c>
      <c r="G247" t="s">
        <v>15</v>
      </c>
    </row>
    <row r="248" spans="1:7" x14ac:dyDescent="0.25">
      <c r="A248">
        <v>18</v>
      </c>
      <c r="B248" t="s">
        <v>140</v>
      </c>
      <c r="C248">
        <v>90</v>
      </c>
      <c r="D248" t="s">
        <v>123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140</v>
      </c>
      <c r="C249">
        <v>100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140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140</v>
      </c>
      <c r="C251">
        <v>120</v>
      </c>
      <c r="D251" t="s">
        <v>27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140</v>
      </c>
      <c r="C252">
        <v>130</v>
      </c>
      <c r="D252" t="s">
        <v>116</v>
      </c>
      <c r="E252" t="s">
        <v>14</v>
      </c>
      <c r="F252">
        <v>1.216</v>
      </c>
      <c r="G252" t="s">
        <v>15</v>
      </c>
    </row>
    <row r="253" spans="1:7" x14ac:dyDescent="0.25">
      <c r="A253">
        <v>18</v>
      </c>
      <c r="B253" t="s">
        <v>140</v>
      </c>
      <c r="C253">
        <v>140</v>
      </c>
      <c r="D253" t="s">
        <v>216</v>
      </c>
      <c r="E253" t="s">
        <v>11</v>
      </c>
      <c r="F253">
        <v>1</v>
      </c>
      <c r="G253" t="s">
        <v>18</v>
      </c>
    </row>
    <row r="254" spans="1:7" x14ac:dyDescent="0.25">
      <c r="A254">
        <v>19</v>
      </c>
      <c r="B254" t="s">
        <v>141</v>
      </c>
      <c r="C254">
        <v>10</v>
      </c>
      <c r="D254" t="s">
        <v>441</v>
      </c>
      <c r="E254" t="s">
        <v>11</v>
      </c>
      <c r="F254">
        <v>1</v>
      </c>
      <c r="G254" t="s">
        <v>18</v>
      </c>
    </row>
    <row r="255" spans="1:7" x14ac:dyDescent="0.25">
      <c r="A255">
        <v>19</v>
      </c>
      <c r="B255" t="s">
        <v>141</v>
      </c>
      <c r="C255">
        <v>20</v>
      </c>
      <c r="D255" t="s">
        <v>114</v>
      </c>
      <c r="E255" t="s">
        <v>17</v>
      </c>
      <c r="F255">
        <v>1.1679999999999999</v>
      </c>
      <c r="G255" t="s">
        <v>18</v>
      </c>
    </row>
    <row r="256" spans="1:7" x14ac:dyDescent="0.25">
      <c r="A256">
        <v>19</v>
      </c>
      <c r="B256" t="s">
        <v>141</v>
      </c>
      <c r="C256">
        <v>30</v>
      </c>
      <c r="D256" t="s">
        <v>217</v>
      </c>
      <c r="E256" t="s">
        <v>11</v>
      </c>
      <c r="F256">
        <v>1</v>
      </c>
      <c r="G256" t="s">
        <v>18</v>
      </c>
    </row>
    <row r="257" spans="1:7" x14ac:dyDescent="0.25">
      <c r="A257">
        <v>19</v>
      </c>
      <c r="B257" t="s">
        <v>141</v>
      </c>
      <c r="C257">
        <v>40</v>
      </c>
      <c r="D257" t="s">
        <v>218</v>
      </c>
      <c r="E257" t="s">
        <v>11</v>
      </c>
      <c r="F257">
        <v>1</v>
      </c>
      <c r="G257" t="s">
        <v>18</v>
      </c>
    </row>
    <row r="258" spans="1:7" x14ac:dyDescent="0.25">
      <c r="A258">
        <v>19</v>
      </c>
      <c r="B258" t="s">
        <v>141</v>
      </c>
      <c r="C258">
        <v>50</v>
      </c>
      <c r="D258" t="s">
        <v>115</v>
      </c>
      <c r="E258" t="s">
        <v>17</v>
      </c>
      <c r="F258">
        <v>1.1679999999999999</v>
      </c>
      <c r="G258" t="s">
        <v>18</v>
      </c>
    </row>
    <row r="259" spans="1:7" x14ac:dyDescent="0.25">
      <c r="A259">
        <v>19</v>
      </c>
      <c r="B259" t="s">
        <v>141</v>
      </c>
      <c r="C259">
        <v>60</v>
      </c>
      <c r="D259" t="s">
        <v>109</v>
      </c>
      <c r="E259" t="s">
        <v>110</v>
      </c>
      <c r="F259">
        <v>0.51500000000000001</v>
      </c>
      <c r="G259" t="s">
        <v>15</v>
      </c>
    </row>
    <row r="260" spans="1:7" x14ac:dyDescent="0.25">
      <c r="A260">
        <v>19</v>
      </c>
      <c r="B260" t="s">
        <v>141</v>
      </c>
      <c r="C260">
        <v>70</v>
      </c>
      <c r="D260" t="s">
        <v>111</v>
      </c>
      <c r="E260" t="s">
        <v>17</v>
      </c>
      <c r="F260">
        <v>19.355</v>
      </c>
      <c r="G260" t="s">
        <v>15</v>
      </c>
    </row>
    <row r="261" spans="1:7" x14ac:dyDescent="0.25">
      <c r="A261">
        <v>19</v>
      </c>
      <c r="B261" t="s">
        <v>141</v>
      </c>
      <c r="C261">
        <v>80</v>
      </c>
      <c r="D261" t="s">
        <v>21</v>
      </c>
      <c r="E261" t="s">
        <v>17</v>
      </c>
      <c r="F261">
        <v>119.032</v>
      </c>
      <c r="G261" t="s">
        <v>15</v>
      </c>
    </row>
    <row r="262" spans="1:7" x14ac:dyDescent="0.25">
      <c r="A262">
        <v>19</v>
      </c>
      <c r="B262" t="s">
        <v>141</v>
      </c>
      <c r="C262">
        <v>90</v>
      </c>
      <c r="D262" t="s">
        <v>123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141</v>
      </c>
      <c r="C263">
        <v>100</v>
      </c>
      <c r="D263" t="s">
        <v>25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141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141</v>
      </c>
      <c r="C265">
        <v>120</v>
      </c>
      <c r="D265" t="s">
        <v>27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141</v>
      </c>
      <c r="C266">
        <v>130</v>
      </c>
      <c r="D266" t="s">
        <v>116</v>
      </c>
      <c r="E266" t="s">
        <v>14</v>
      </c>
      <c r="F266">
        <v>1.216</v>
      </c>
      <c r="G266" t="s">
        <v>15</v>
      </c>
    </row>
    <row r="267" spans="1:7" x14ac:dyDescent="0.25">
      <c r="A267">
        <v>19</v>
      </c>
      <c r="B267" t="s">
        <v>141</v>
      </c>
      <c r="C267">
        <v>140</v>
      </c>
      <c r="D267" t="s">
        <v>219</v>
      </c>
      <c r="E267" t="s">
        <v>11</v>
      </c>
      <c r="F267">
        <v>1</v>
      </c>
      <c r="G267" t="s">
        <v>18</v>
      </c>
    </row>
    <row r="268" spans="1:7" x14ac:dyDescent="0.25">
      <c r="A268">
        <v>20</v>
      </c>
      <c r="B268" t="s">
        <v>142</v>
      </c>
      <c r="C268">
        <v>10</v>
      </c>
      <c r="D268" t="s">
        <v>442</v>
      </c>
      <c r="E268" t="s">
        <v>11</v>
      </c>
      <c r="F268">
        <v>1</v>
      </c>
      <c r="G268" t="s">
        <v>18</v>
      </c>
    </row>
    <row r="269" spans="1:7" x14ac:dyDescent="0.25">
      <c r="A269">
        <v>20</v>
      </c>
      <c r="B269" t="s">
        <v>142</v>
      </c>
      <c r="C269">
        <v>20</v>
      </c>
      <c r="D269" t="s">
        <v>114</v>
      </c>
      <c r="E269" t="s">
        <v>17</v>
      </c>
      <c r="F269">
        <v>1.321</v>
      </c>
      <c r="G269" t="s">
        <v>18</v>
      </c>
    </row>
    <row r="270" spans="1:7" x14ac:dyDescent="0.25">
      <c r="A270">
        <v>20</v>
      </c>
      <c r="B270" t="s">
        <v>142</v>
      </c>
      <c r="C270">
        <v>30</v>
      </c>
      <c r="D270" t="s">
        <v>220</v>
      </c>
      <c r="E270" t="s">
        <v>11</v>
      </c>
      <c r="F270">
        <v>1</v>
      </c>
      <c r="G270" t="s">
        <v>18</v>
      </c>
    </row>
    <row r="271" spans="1:7" x14ac:dyDescent="0.25">
      <c r="A271">
        <v>20</v>
      </c>
      <c r="B271" t="s">
        <v>142</v>
      </c>
      <c r="C271">
        <v>40</v>
      </c>
      <c r="D271" t="s">
        <v>221</v>
      </c>
      <c r="E271" t="s">
        <v>11</v>
      </c>
      <c r="F271">
        <v>1</v>
      </c>
      <c r="G271" t="s">
        <v>18</v>
      </c>
    </row>
    <row r="272" spans="1:7" x14ac:dyDescent="0.25">
      <c r="A272">
        <v>20</v>
      </c>
      <c r="B272" t="s">
        <v>142</v>
      </c>
      <c r="C272">
        <v>50</v>
      </c>
      <c r="D272" t="s">
        <v>115</v>
      </c>
      <c r="E272" t="s">
        <v>17</v>
      </c>
      <c r="F272">
        <v>1.321</v>
      </c>
      <c r="G272" t="s">
        <v>18</v>
      </c>
    </row>
    <row r="273" spans="1:7" x14ac:dyDescent="0.25">
      <c r="A273">
        <v>20</v>
      </c>
      <c r="B273" t="s">
        <v>142</v>
      </c>
      <c r="C273">
        <v>60</v>
      </c>
      <c r="D273" t="s">
        <v>109</v>
      </c>
      <c r="E273" t="s">
        <v>110</v>
      </c>
      <c r="F273">
        <v>0.58499999999999996</v>
      </c>
      <c r="G273" t="s">
        <v>15</v>
      </c>
    </row>
    <row r="274" spans="1:7" x14ac:dyDescent="0.25">
      <c r="A274">
        <v>20</v>
      </c>
      <c r="B274" t="s">
        <v>142</v>
      </c>
      <c r="C274">
        <v>70</v>
      </c>
      <c r="D274" t="s">
        <v>111</v>
      </c>
      <c r="E274" t="s">
        <v>17</v>
      </c>
      <c r="F274">
        <v>20.268999999999998</v>
      </c>
      <c r="G274" t="s">
        <v>15</v>
      </c>
    </row>
    <row r="275" spans="1:7" x14ac:dyDescent="0.25">
      <c r="A275">
        <v>20</v>
      </c>
      <c r="B275" t="s">
        <v>142</v>
      </c>
      <c r="C275">
        <v>80</v>
      </c>
      <c r="D275" t="s">
        <v>21</v>
      </c>
      <c r="E275" t="s">
        <v>17</v>
      </c>
      <c r="F275">
        <v>124.65600000000001</v>
      </c>
      <c r="G275" t="s">
        <v>15</v>
      </c>
    </row>
    <row r="276" spans="1:7" x14ac:dyDescent="0.25">
      <c r="A276">
        <v>20</v>
      </c>
      <c r="B276" t="s">
        <v>142</v>
      </c>
      <c r="C276">
        <v>90</v>
      </c>
      <c r="D276" t="s">
        <v>123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142</v>
      </c>
      <c r="C277">
        <v>100</v>
      </c>
      <c r="D277" t="s">
        <v>25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142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142</v>
      </c>
      <c r="C279">
        <v>120</v>
      </c>
      <c r="D279" t="s">
        <v>27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142</v>
      </c>
      <c r="C280">
        <v>130</v>
      </c>
      <c r="D280" t="s">
        <v>116</v>
      </c>
      <c r="E280" t="s">
        <v>14</v>
      </c>
      <c r="F280">
        <v>1.216</v>
      </c>
      <c r="G280" t="s">
        <v>15</v>
      </c>
    </row>
    <row r="281" spans="1:7" x14ac:dyDescent="0.25">
      <c r="A281">
        <v>20</v>
      </c>
      <c r="B281" t="s">
        <v>142</v>
      </c>
      <c r="C281">
        <v>140</v>
      </c>
      <c r="D281" t="s">
        <v>222</v>
      </c>
      <c r="E281" t="s">
        <v>11</v>
      </c>
      <c r="F281">
        <v>1</v>
      </c>
      <c r="G281" t="s">
        <v>18</v>
      </c>
    </row>
    <row r="282" spans="1:7" x14ac:dyDescent="0.25">
      <c r="A282">
        <v>21</v>
      </c>
      <c r="B282" t="s">
        <v>143</v>
      </c>
      <c r="C282">
        <v>10</v>
      </c>
      <c r="D282" t="s">
        <v>443</v>
      </c>
      <c r="E282" t="s">
        <v>11</v>
      </c>
      <c r="F282">
        <v>1</v>
      </c>
      <c r="G282" t="s">
        <v>18</v>
      </c>
    </row>
    <row r="283" spans="1:7" x14ac:dyDescent="0.25">
      <c r="A283">
        <v>21</v>
      </c>
      <c r="B283" t="s">
        <v>143</v>
      </c>
      <c r="C283">
        <v>20</v>
      </c>
      <c r="D283" t="s">
        <v>114</v>
      </c>
      <c r="E283" t="s">
        <v>17</v>
      </c>
      <c r="F283">
        <v>1.397</v>
      </c>
      <c r="G283" t="s">
        <v>18</v>
      </c>
    </row>
    <row r="284" spans="1:7" x14ac:dyDescent="0.25">
      <c r="A284">
        <v>21</v>
      </c>
      <c r="B284" t="s">
        <v>143</v>
      </c>
      <c r="C284">
        <v>30</v>
      </c>
      <c r="D284" t="s">
        <v>223</v>
      </c>
      <c r="E284" t="s">
        <v>11</v>
      </c>
      <c r="F284">
        <v>1</v>
      </c>
      <c r="G284" t="s">
        <v>18</v>
      </c>
    </row>
    <row r="285" spans="1:7" x14ac:dyDescent="0.25">
      <c r="A285">
        <v>21</v>
      </c>
      <c r="B285" t="s">
        <v>143</v>
      </c>
      <c r="C285">
        <v>40</v>
      </c>
      <c r="D285" t="s">
        <v>224</v>
      </c>
      <c r="E285" t="s">
        <v>11</v>
      </c>
      <c r="F285">
        <v>1</v>
      </c>
      <c r="G285" t="s">
        <v>18</v>
      </c>
    </row>
    <row r="286" spans="1:7" x14ac:dyDescent="0.25">
      <c r="A286">
        <v>21</v>
      </c>
      <c r="B286" t="s">
        <v>143</v>
      </c>
      <c r="C286">
        <v>50</v>
      </c>
      <c r="D286" t="s">
        <v>115</v>
      </c>
      <c r="E286" t="s">
        <v>17</v>
      </c>
      <c r="F286">
        <v>1.397</v>
      </c>
      <c r="G286" t="s">
        <v>18</v>
      </c>
    </row>
    <row r="287" spans="1:7" x14ac:dyDescent="0.25">
      <c r="A287">
        <v>21</v>
      </c>
      <c r="B287" t="s">
        <v>143</v>
      </c>
      <c r="C287">
        <v>60</v>
      </c>
      <c r="D287" t="s">
        <v>109</v>
      </c>
      <c r="E287" t="s">
        <v>110</v>
      </c>
      <c r="F287">
        <v>0.62</v>
      </c>
      <c r="G287" t="s">
        <v>15</v>
      </c>
    </row>
    <row r="288" spans="1:7" x14ac:dyDescent="0.25">
      <c r="A288">
        <v>21</v>
      </c>
      <c r="B288" t="s">
        <v>143</v>
      </c>
      <c r="C288">
        <v>70</v>
      </c>
      <c r="D288" t="s">
        <v>111</v>
      </c>
      <c r="E288" t="s">
        <v>17</v>
      </c>
      <c r="F288">
        <v>20.725999999999999</v>
      </c>
      <c r="G288" t="s">
        <v>15</v>
      </c>
    </row>
    <row r="289" spans="1:7" x14ac:dyDescent="0.25">
      <c r="A289">
        <v>21</v>
      </c>
      <c r="B289" t="s">
        <v>143</v>
      </c>
      <c r="C289">
        <v>80</v>
      </c>
      <c r="D289" t="s">
        <v>21</v>
      </c>
      <c r="E289" t="s">
        <v>17</v>
      </c>
      <c r="F289">
        <v>127.467</v>
      </c>
      <c r="G289" t="s">
        <v>15</v>
      </c>
    </row>
    <row r="290" spans="1:7" x14ac:dyDescent="0.25">
      <c r="A290">
        <v>21</v>
      </c>
      <c r="B290" t="s">
        <v>143</v>
      </c>
      <c r="C290">
        <v>90</v>
      </c>
      <c r="D290" t="s">
        <v>123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143</v>
      </c>
      <c r="C291">
        <v>100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143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143</v>
      </c>
      <c r="C293">
        <v>120</v>
      </c>
      <c r="D293" t="s">
        <v>27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143</v>
      </c>
      <c r="C294">
        <v>130</v>
      </c>
      <c r="D294" t="s">
        <v>116</v>
      </c>
      <c r="E294" t="s">
        <v>14</v>
      </c>
      <c r="F294">
        <v>1.216</v>
      </c>
      <c r="G294" t="s">
        <v>15</v>
      </c>
    </row>
    <row r="295" spans="1:7" x14ac:dyDescent="0.25">
      <c r="A295">
        <v>21</v>
      </c>
      <c r="B295" t="s">
        <v>143</v>
      </c>
      <c r="C295">
        <v>140</v>
      </c>
      <c r="D295" t="s">
        <v>225</v>
      </c>
      <c r="E295" t="s">
        <v>11</v>
      </c>
      <c r="F295">
        <v>1</v>
      </c>
      <c r="G295" t="s">
        <v>18</v>
      </c>
    </row>
    <row r="296" spans="1:7" x14ac:dyDescent="0.25">
      <c r="A296">
        <v>22</v>
      </c>
      <c r="B296" t="s">
        <v>144</v>
      </c>
      <c r="C296">
        <v>10</v>
      </c>
      <c r="D296" t="s">
        <v>444</v>
      </c>
      <c r="E296" t="s">
        <v>11</v>
      </c>
      <c r="F296">
        <v>1</v>
      </c>
      <c r="G296" t="s">
        <v>18</v>
      </c>
    </row>
    <row r="297" spans="1:7" x14ac:dyDescent="0.25">
      <c r="A297">
        <v>22</v>
      </c>
      <c r="B297" t="s">
        <v>144</v>
      </c>
      <c r="C297">
        <v>20</v>
      </c>
      <c r="D297" t="s">
        <v>114</v>
      </c>
      <c r="E297" t="s">
        <v>17</v>
      </c>
      <c r="F297">
        <v>1.4730000000000001</v>
      </c>
      <c r="G297" t="s">
        <v>18</v>
      </c>
    </row>
    <row r="298" spans="1:7" x14ac:dyDescent="0.25">
      <c r="A298">
        <v>22</v>
      </c>
      <c r="B298" t="s">
        <v>144</v>
      </c>
      <c r="C298">
        <v>30</v>
      </c>
      <c r="D298" t="s">
        <v>226</v>
      </c>
      <c r="E298" t="s">
        <v>11</v>
      </c>
      <c r="F298">
        <v>1</v>
      </c>
      <c r="G298" t="s">
        <v>18</v>
      </c>
    </row>
    <row r="299" spans="1:7" x14ac:dyDescent="0.25">
      <c r="A299">
        <v>22</v>
      </c>
      <c r="B299" t="s">
        <v>144</v>
      </c>
      <c r="C299">
        <v>40</v>
      </c>
      <c r="D299" t="s">
        <v>227</v>
      </c>
      <c r="E299" t="s">
        <v>11</v>
      </c>
      <c r="F299">
        <v>1</v>
      </c>
      <c r="G299" t="s">
        <v>18</v>
      </c>
    </row>
    <row r="300" spans="1:7" x14ac:dyDescent="0.25">
      <c r="A300">
        <v>22</v>
      </c>
      <c r="B300" t="s">
        <v>144</v>
      </c>
      <c r="C300">
        <v>50</v>
      </c>
      <c r="D300" t="s">
        <v>115</v>
      </c>
      <c r="E300" t="s">
        <v>17</v>
      </c>
      <c r="F300">
        <v>1.4730000000000001</v>
      </c>
      <c r="G300" t="s">
        <v>18</v>
      </c>
    </row>
    <row r="301" spans="1:7" x14ac:dyDescent="0.25">
      <c r="A301">
        <v>22</v>
      </c>
      <c r="B301" t="s">
        <v>144</v>
      </c>
      <c r="C301">
        <v>60</v>
      </c>
      <c r="D301" t="s">
        <v>109</v>
      </c>
      <c r="E301" t="s">
        <v>110</v>
      </c>
      <c r="F301">
        <v>0.65500000000000003</v>
      </c>
      <c r="G301" t="s">
        <v>15</v>
      </c>
    </row>
    <row r="302" spans="1:7" x14ac:dyDescent="0.25">
      <c r="A302">
        <v>22</v>
      </c>
      <c r="B302" t="s">
        <v>144</v>
      </c>
      <c r="C302">
        <v>70</v>
      </c>
      <c r="D302" t="s">
        <v>111</v>
      </c>
      <c r="E302" t="s">
        <v>17</v>
      </c>
      <c r="F302">
        <v>21.184000000000001</v>
      </c>
      <c r="G302" t="s">
        <v>15</v>
      </c>
    </row>
    <row r="303" spans="1:7" x14ac:dyDescent="0.25">
      <c r="A303">
        <v>22</v>
      </c>
      <c r="B303" t="s">
        <v>144</v>
      </c>
      <c r="C303">
        <v>80</v>
      </c>
      <c r="D303" t="s">
        <v>21</v>
      </c>
      <c r="E303" t="s">
        <v>17</v>
      </c>
      <c r="F303">
        <v>130.279</v>
      </c>
      <c r="G303" t="s">
        <v>15</v>
      </c>
    </row>
    <row r="304" spans="1:7" x14ac:dyDescent="0.25">
      <c r="A304">
        <v>22</v>
      </c>
      <c r="B304" t="s">
        <v>144</v>
      </c>
      <c r="C304">
        <v>90</v>
      </c>
      <c r="D304" t="s">
        <v>123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144</v>
      </c>
      <c r="C305">
        <v>100</v>
      </c>
      <c r="D305" t="s">
        <v>25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144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144</v>
      </c>
      <c r="C307">
        <v>120</v>
      </c>
      <c r="D307" t="s">
        <v>27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144</v>
      </c>
      <c r="C308">
        <v>130</v>
      </c>
      <c r="D308" t="s">
        <v>116</v>
      </c>
      <c r="E308" t="s">
        <v>14</v>
      </c>
      <c r="F308">
        <v>1.216</v>
      </c>
      <c r="G308" t="s">
        <v>15</v>
      </c>
    </row>
    <row r="309" spans="1:7" x14ac:dyDescent="0.25">
      <c r="A309">
        <v>22</v>
      </c>
      <c r="B309" t="s">
        <v>144</v>
      </c>
      <c r="C309">
        <v>140</v>
      </c>
      <c r="D309" t="s">
        <v>228</v>
      </c>
      <c r="E309" t="s">
        <v>11</v>
      </c>
      <c r="F309">
        <v>1</v>
      </c>
      <c r="G309" t="s">
        <v>18</v>
      </c>
    </row>
    <row r="310" spans="1:7" x14ac:dyDescent="0.25">
      <c r="A310">
        <v>23</v>
      </c>
      <c r="B310" t="s">
        <v>145</v>
      </c>
      <c r="C310">
        <v>10</v>
      </c>
      <c r="D310" t="s">
        <v>445</v>
      </c>
      <c r="E310" t="s">
        <v>11</v>
      </c>
      <c r="F310">
        <v>1</v>
      </c>
      <c r="G310" t="s">
        <v>18</v>
      </c>
    </row>
    <row r="311" spans="1:7" x14ac:dyDescent="0.25">
      <c r="A311">
        <v>23</v>
      </c>
      <c r="B311" t="s">
        <v>145</v>
      </c>
      <c r="C311">
        <v>20</v>
      </c>
      <c r="D311" t="s">
        <v>114</v>
      </c>
      <c r="E311" t="s">
        <v>17</v>
      </c>
      <c r="F311">
        <v>1.6259999999999999</v>
      </c>
      <c r="G311" t="s">
        <v>18</v>
      </c>
    </row>
    <row r="312" spans="1:7" x14ac:dyDescent="0.25">
      <c r="A312">
        <v>23</v>
      </c>
      <c r="B312" t="s">
        <v>145</v>
      </c>
      <c r="C312">
        <v>30</v>
      </c>
      <c r="D312" t="s">
        <v>229</v>
      </c>
      <c r="E312" t="s">
        <v>11</v>
      </c>
      <c r="F312">
        <v>1</v>
      </c>
      <c r="G312" t="s">
        <v>18</v>
      </c>
    </row>
    <row r="313" spans="1:7" x14ac:dyDescent="0.25">
      <c r="A313">
        <v>23</v>
      </c>
      <c r="B313" t="s">
        <v>145</v>
      </c>
      <c r="C313">
        <v>40</v>
      </c>
      <c r="D313" t="s">
        <v>230</v>
      </c>
      <c r="E313" t="s">
        <v>11</v>
      </c>
      <c r="F313">
        <v>1</v>
      </c>
      <c r="G313" t="s">
        <v>18</v>
      </c>
    </row>
    <row r="314" spans="1:7" x14ac:dyDescent="0.25">
      <c r="A314">
        <v>23</v>
      </c>
      <c r="B314" t="s">
        <v>145</v>
      </c>
      <c r="C314">
        <v>50</v>
      </c>
      <c r="D314" t="s">
        <v>115</v>
      </c>
      <c r="E314" t="s">
        <v>17</v>
      </c>
      <c r="F314">
        <v>1.6259999999999999</v>
      </c>
      <c r="G314" t="s">
        <v>18</v>
      </c>
    </row>
    <row r="315" spans="1:7" x14ac:dyDescent="0.25">
      <c r="A315">
        <v>23</v>
      </c>
      <c r="B315" t="s">
        <v>145</v>
      </c>
      <c r="C315">
        <v>60</v>
      </c>
      <c r="D315" t="s">
        <v>109</v>
      </c>
      <c r="E315" t="s">
        <v>110</v>
      </c>
      <c r="F315">
        <v>0.72499999999999998</v>
      </c>
      <c r="G315" t="s">
        <v>15</v>
      </c>
    </row>
    <row r="316" spans="1:7" x14ac:dyDescent="0.25">
      <c r="A316">
        <v>23</v>
      </c>
      <c r="B316" t="s">
        <v>145</v>
      </c>
      <c r="C316">
        <v>70</v>
      </c>
      <c r="D316" t="s">
        <v>111</v>
      </c>
      <c r="E316" t="s">
        <v>17</v>
      </c>
      <c r="F316">
        <v>22.097999999999999</v>
      </c>
      <c r="G316" t="s">
        <v>15</v>
      </c>
    </row>
    <row r="317" spans="1:7" x14ac:dyDescent="0.25">
      <c r="A317">
        <v>23</v>
      </c>
      <c r="B317" t="s">
        <v>145</v>
      </c>
      <c r="C317">
        <v>80</v>
      </c>
      <c r="D317" t="s">
        <v>21</v>
      </c>
      <c r="E317" t="s">
        <v>17</v>
      </c>
      <c r="F317">
        <v>135.90299999999999</v>
      </c>
      <c r="G317" t="s">
        <v>15</v>
      </c>
    </row>
    <row r="318" spans="1:7" x14ac:dyDescent="0.25">
      <c r="A318">
        <v>23</v>
      </c>
      <c r="B318" t="s">
        <v>145</v>
      </c>
      <c r="C318">
        <v>90</v>
      </c>
      <c r="D318" t="s">
        <v>123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145</v>
      </c>
      <c r="C319">
        <v>100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145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145</v>
      </c>
      <c r="C321">
        <v>120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145</v>
      </c>
      <c r="C322">
        <v>130</v>
      </c>
      <c r="D322" t="s">
        <v>116</v>
      </c>
      <c r="E322" t="s">
        <v>14</v>
      </c>
      <c r="F322">
        <v>1.216</v>
      </c>
      <c r="G322" t="s">
        <v>15</v>
      </c>
    </row>
    <row r="323" spans="1:7" x14ac:dyDescent="0.25">
      <c r="A323">
        <v>23</v>
      </c>
      <c r="B323" t="s">
        <v>145</v>
      </c>
      <c r="C323">
        <v>140</v>
      </c>
      <c r="D323" t="s">
        <v>231</v>
      </c>
      <c r="E323" t="s">
        <v>11</v>
      </c>
      <c r="F323">
        <v>1</v>
      </c>
      <c r="G323" t="s">
        <v>18</v>
      </c>
    </row>
    <row r="324" spans="1:7" x14ac:dyDescent="0.25">
      <c r="A324">
        <v>24</v>
      </c>
      <c r="B324" t="s">
        <v>146</v>
      </c>
      <c r="C324">
        <v>10</v>
      </c>
      <c r="D324" t="s">
        <v>446</v>
      </c>
      <c r="E324" t="s">
        <v>11</v>
      </c>
      <c r="F324">
        <v>1</v>
      </c>
      <c r="G324" t="s">
        <v>18</v>
      </c>
    </row>
    <row r="325" spans="1:7" x14ac:dyDescent="0.25">
      <c r="A325">
        <v>24</v>
      </c>
      <c r="B325" t="s">
        <v>146</v>
      </c>
      <c r="C325">
        <v>20</v>
      </c>
      <c r="D325" t="s">
        <v>114</v>
      </c>
      <c r="E325" t="s">
        <v>17</v>
      </c>
      <c r="F325">
        <v>1.778</v>
      </c>
      <c r="G325" t="s">
        <v>18</v>
      </c>
    </row>
    <row r="326" spans="1:7" x14ac:dyDescent="0.25">
      <c r="A326">
        <v>24</v>
      </c>
      <c r="B326" t="s">
        <v>146</v>
      </c>
      <c r="C326">
        <v>30</v>
      </c>
      <c r="D326" t="s">
        <v>232</v>
      </c>
      <c r="E326" t="s">
        <v>11</v>
      </c>
      <c r="F326">
        <v>1</v>
      </c>
      <c r="G326" t="s">
        <v>18</v>
      </c>
    </row>
    <row r="327" spans="1:7" x14ac:dyDescent="0.25">
      <c r="A327">
        <v>24</v>
      </c>
      <c r="B327" t="s">
        <v>146</v>
      </c>
      <c r="C327">
        <v>40</v>
      </c>
      <c r="D327" t="s">
        <v>233</v>
      </c>
      <c r="E327" t="s">
        <v>11</v>
      </c>
      <c r="F327">
        <v>1</v>
      </c>
      <c r="G327" t="s">
        <v>18</v>
      </c>
    </row>
    <row r="328" spans="1:7" x14ac:dyDescent="0.25">
      <c r="A328">
        <v>24</v>
      </c>
      <c r="B328" t="s">
        <v>146</v>
      </c>
      <c r="C328">
        <v>50</v>
      </c>
      <c r="D328" t="s">
        <v>115</v>
      </c>
      <c r="E328" t="s">
        <v>17</v>
      </c>
      <c r="F328">
        <v>1.778</v>
      </c>
      <c r="G328" t="s">
        <v>18</v>
      </c>
    </row>
    <row r="329" spans="1:7" x14ac:dyDescent="0.25">
      <c r="A329">
        <v>24</v>
      </c>
      <c r="B329" t="s">
        <v>146</v>
      </c>
      <c r="C329">
        <v>60</v>
      </c>
      <c r="D329" t="s">
        <v>109</v>
      </c>
      <c r="E329" t="s">
        <v>110</v>
      </c>
      <c r="F329">
        <v>0.79500000000000004</v>
      </c>
      <c r="G329" t="s">
        <v>15</v>
      </c>
    </row>
    <row r="330" spans="1:7" x14ac:dyDescent="0.25">
      <c r="A330">
        <v>24</v>
      </c>
      <c r="B330" t="s">
        <v>146</v>
      </c>
      <c r="C330">
        <v>70</v>
      </c>
      <c r="D330" t="s">
        <v>111</v>
      </c>
      <c r="E330" t="s">
        <v>17</v>
      </c>
      <c r="F330">
        <v>23.012</v>
      </c>
      <c r="G330" t="s">
        <v>15</v>
      </c>
    </row>
    <row r="331" spans="1:7" x14ac:dyDescent="0.25">
      <c r="A331">
        <v>24</v>
      </c>
      <c r="B331" t="s">
        <v>146</v>
      </c>
      <c r="C331">
        <v>80</v>
      </c>
      <c r="D331" t="s">
        <v>21</v>
      </c>
      <c r="E331" t="s">
        <v>17</v>
      </c>
      <c r="F331">
        <v>141.52600000000001</v>
      </c>
      <c r="G331" t="s">
        <v>15</v>
      </c>
    </row>
    <row r="332" spans="1:7" x14ac:dyDescent="0.25">
      <c r="A332">
        <v>24</v>
      </c>
      <c r="B332" t="s">
        <v>146</v>
      </c>
      <c r="C332">
        <v>90</v>
      </c>
      <c r="D332" t="s">
        <v>123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146</v>
      </c>
      <c r="C333">
        <v>100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146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146</v>
      </c>
      <c r="C335">
        <v>120</v>
      </c>
      <c r="D335" t="s">
        <v>27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146</v>
      </c>
      <c r="C336">
        <v>130</v>
      </c>
      <c r="D336" t="s">
        <v>116</v>
      </c>
      <c r="E336" t="s">
        <v>14</v>
      </c>
      <c r="F336">
        <v>1.216</v>
      </c>
      <c r="G336" t="s">
        <v>15</v>
      </c>
    </row>
    <row r="337" spans="1:7" x14ac:dyDescent="0.25">
      <c r="A337">
        <v>24</v>
      </c>
      <c r="B337" t="s">
        <v>146</v>
      </c>
      <c r="C337">
        <v>140</v>
      </c>
      <c r="D337" t="s">
        <v>234</v>
      </c>
      <c r="E337" t="s">
        <v>11</v>
      </c>
      <c r="F337">
        <v>1</v>
      </c>
      <c r="G337" t="s">
        <v>18</v>
      </c>
    </row>
    <row r="338" spans="1:7" x14ac:dyDescent="0.25">
      <c r="A338">
        <v>25</v>
      </c>
      <c r="B338" t="s">
        <v>147</v>
      </c>
      <c r="C338">
        <v>10</v>
      </c>
      <c r="D338" t="s">
        <v>447</v>
      </c>
      <c r="E338" t="s">
        <v>11</v>
      </c>
      <c r="F338">
        <v>1</v>
      </c>
      <c r="G338" t="s">
        <v>18</v>
      </c>
    </row>
    <row r="339" spans="1:7" x14ac:dyDescent="0.25">
      <c r="A339">
        <v>25</v>
      </c>
      <c r="B339" t="s">
        <v>147</v>
      </c>
      <c r="C339">
        <v>20</v>
      </c>
      <c r="D339" t="s">
        <v>114</v>
      </c>
      <c r="E339" t="s">
        <v>17</v>
      </c>
      <c r="F339">
        <v>2.0569999999999999</v>
      </c>
      <c r="G339" t="s">
        <v>18</v>
      </c>
    </row>
    <row r="340" spans="1:7" x14ac:dyDescent="0.25">
      <c r="A340">
        <v>25</v>
      </c>
      <c r="B340" t="s">
        <v>147</v>
      </c>
      <c r="C340">
        <v>30</v>
      </c>
      <c r="D340" t="s">
        <v>235</v>
      </c>
      <c r="E340" t="s">
        <v>11</v>
      </c>
      <c r="F340">
        <v>1</v>
      </c>
      <c r="G340" t="s">
        <v>18</v>
      </c>
    </row>
    <row r="341" spans="1:7" x14ac:dyDescent="0.25">
      <c r="A341">
        <v>25</v>
      </c>
      <c r="B341" t="s">
        <v>147</v>
      </c>
      <c r="C341">
        <v>40</v>
      </c>
      <c r="D341" t="s">
        <v>236</v>
      </c>
      <c r="E341" t="s">
        <v>11</v>
      </c>
      <c r="F341">
        <v>1</v>
      </c>
      <c r="G341" t="s">
        <v>18</v>
      </c>
    </row>
    <row r="342" spans="1:7" x14ac:dyDescent="0.25">
      <c r="A342">
        <v>25</v>
      </c>
      <c r="B342" t="s">
        <v>147</v>
      </c>
      <c r="C342">
        <v>50</v>
      </c>
      <c r="D342" t="s">
        <v>115</v>
      </c>
      <c r="E342" t="s">
        <v>17</v>
      </c>
      <c r="F342">
        <v>2.0569999999999999</v>
      </c>
      <c r="G342" t="s">
        <v>18</v>
      </c>
    </row>
    <row r="343" spans="1:7" x14ac:dyDescent="0.25">
      <c r="A343">
        <v>25</v>
      </c>
      <c r="B343" t="s">
        <v>147</v>
      </c>
      <c r="C343">
        <v>60</v>
      </c>
      <c r="D343" t="s">
        <v>109</v>
      </c>
      <c r="E343" t="s">
        <v>110</v>
      </c>
      <c r="F343">
        <v>0.38400000000000001</v>
      </c>
      <c r="G343" t="s">
        <v>15</v>
      </c>
    </row>
    <row r="344" spans="1:7" x14ac:dyDescent="0.25">
      <c r="A344">
        <v>25</v>
      </c>
      <c r="B344" t="s">
        <v>147</v>
      </c>
      <c r="C344">
        <v>70</v>
      </c>
      <c r="D344" t="s">
        <v>111</v>
      </c>
      <c r="E344" t="s">
        <v>17</v>
      </c>
      <c r="F344">
        <v>17.831</v>
      </c>
      <c r="G344" t="s">
        <v>15</v>
      </c>
    </row>
    <row r="345" spans="1:7" x14ac:dyDescent="0.25">
      <c r="A345">
        <v>25</v>
      </c>
      <c r="B345" t="s">
        <v>147</v>
      </c>
      <c r="C345">
        <v>80</v>
      </c>
      <c r="D345" t="s">
        <v>21</v>
      </c>
      <c r="E345" t="s">
        <v>17</v>
      </c>
      <c r="F345">
        <v>109.65900000000001</v>
      </c>
      <c r="G345" t="s">
        <v>15</v>
      </c>
    </row>
    <row r="346" spans="1:7" x14ac:dyDescent="0.25">
      <c r="A346">
        <v>25</v>
      </c>
      <c r="B346" t="s">
        <v>147</v>
      </c>
      <c r="C346">
        <v>90</v>
      </c>
      <c r="D346" t="s">
        <v>123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147</v>
      </c>
      <c r="C347">
        <v>100</v>
      </c>
      <c r="D347" t="s">
        <v>25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147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147</v>
      </c>
      <c r="C349">
        <v>120</v>
      </c>
      <c r="D349" t="s">
        <v>27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147</v>
      </c>
      <c r="C350">
        <v>130</v>
      </c>
      <c r="D350" t="s">
        <v>116</v>
      </c>
      <c r="E350" t="s">
        <v>14</v>
      </c>
      <c r="F350">
        <v>1.2430000000000001</v>
      </c>
      <c r="G350" t="s">
        <v>15</v>
      </c>
    </row>
    <row r="351" spans="1:7" x14ac:dyDescent="0.25">
      <c r="A351">
        <v>25</v>
      </c>
      <c r="B351" t="s">
        <v>147</v>
      </c>
      <c r="C351">
        <v>140</v>
      </c>
      <c r="D351" t="s">
        <v>237</v>
      </c>
      <c r="E351" t="s">
        <v>11</v>
      </c>
      <c r="F351">
        <v>1</v>
      </c>
      <c r="G351" t="s">
        <v>18</v>
      </c>
    </row>
    <row r="352" spans="1:7" x14ac:dyDescent="0.25">
      <c r="A352">
        <v>26</v>
      </c>
      <c r="B352" t="s">
        <v>148</v>
      </c>
      <c r="C352">
        <v>10</v>
      </c>
      <c r="D352" t="s">
        <v>448</v>
      </c>
      <c r="E352" t="s">
        <v>11</v>
      </c>
      <c r="F352">
        <v>1</v>
      </c>
      <c r="G352" t="s">
        <v>18</v>
      </c>
    </row>
    <row r="353" spans="1:7" x14ac:dyDescent="0.25">
      <c r="A353">
        <v>26</v>
      </c>
      <c r="B353" t="s">
        <v>148</v>
      </c>
      <c r="C353">
        <v>20</v>
      </c>
      <c r="D353" t="s">
        <v>114</v>
      </c>
      <c r="E353" t="s">
        <v>17</v>
      </c>
      <c r="F353">
        <v>2.0569999999999999</v>
      </c>
      <c r="G353" t="s">
        <v>18</v>
      </c>
    </row>
    <row r="354" spans="1:7" x14ac:dyDescent="0.25">
      <c r="A354">
        <v>26</v>
      </c>
      <c r="B354" t="s">
        <v>148</v>
      </c>
      <c r="C354">
        <v>30</v>
      </c>
      <c r="D354" t="s">
        <v>238</v>
      </c>
      <c r="E354" t="s">
        <v>11</v>
      </c>
      <c r="F354">
        <v>1</v>
      </c>
      <c r="G354" t="s">
        <v>18</v>
      </c>
    </row>
    <row r="355" spans="1:7" x14ac:dyDescent="0.25">
      <c r="A355">
        <v>26</v>
      </c>
      <c r="B355" t="s">
        <v>148</v>
      </c>
      <c r="C355">
        <v>40</v>
      </c>
      <c r="D355" t="s">
        <v>239</v>
      </c>
      <c r="E355" t="s">
        <v>11</v>
      </c>
      <c r="F355">
        <v>1</v>
      </c>
      <c r="G355" t="s">
        <v>18</v>
      </c>
    </row>
    <row r="356" spans="1:7" x14ac:dyDescent="0.25">
      <c r="A356">
        <v>26</v>
      </c>
      <c r="B356" t="s">
        <v>148</v>
      </c>
      <c r="C356">
        <v>50</v>
      </c>
      <c r="D356" t="s">
        <v>115</v>
      </c>
      <c r="E356" t="s">
        <v>17</v>
      </c>
      <c r="F356">
        <v>2.0569999999999999</v>
      </c>
      <c r="G356" t="s">
        <v>18</v>
      </c>
    </row>
    <row r="357" spans="1:7" x14ac:dyDescent="0.25">
      <c r="A357">
        <v>26</v>
      </c>
      <c r="B357" t="s">
        <v>148</v>
      </c>
      <c r="C357">
        <v>60</v>
      </c>
      <c r="D357" t="s">
        <v>109</v>
      </c>
      <c r="E357" t="s">
        <v>110</v>
      </c>
      <c r="F357">
        <v>0.45600000000000002</v>
      </c>
      <c r="G357" t="s">
        <v>15</v>
      </c>
    </row>
    <row r="358" spans="1:7" x14ac:dyDescent="0.25">
      <c r="A358">
        <v>26</v>
      </c>
      <c r="B358" t="s">
        <v>148</v>
      </c>
      <c r="C358">
        <v>70</v>
      </c>
      <c r="D358" t="s">
        <v>111</v>
      </c>
      <c r="E358" t="s">
        <v>17</v>
      </c>
      <c r="F358">
        <v>18.745000000000001</v>
      </c>
      <c r="G358" t="s">
        <v>15</v>
      </c>
    </row>
    <row r="359" spans="1:7" x14ac:dyDescent="0.25">
      <c r="A359">
        <v>26</v>
      </c>
      <c r="B359" t="s">
        <v>148</v>
      </c>
      <c r="C359">
        <v>80</v>
      </c>
      <c r="D359" t="s">
        <v>21</v>
      </c>
      <c r="E359" t="s">
        <v>17</v>
      </c>
      <c r="F359">
        <v>115.283</v>
      </c>
      <c r="G359" t="s">
        <v>15</v>
      </c>
    </row>
    <row r="360" spans="1:7" x14ac:dyDescent="0.25">
      <c r="A360">
        <v>26</v>
      </c>
      <c r="B360" t="s">
        <v>148</v>
      </c>
      <c r="C360">
        <v>90</v>
      </c>
      <c r="D360" t="s">
        <v>123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148</v>
      </c>
      <c r="C361">
        <v>100</v>
      </c>
      <c r="D361" t="s">
        <v>25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148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148</v>
      </c>
      <c r="C363">
        <v>120</v>
      </c>
      <c r="D363" t="s">
        <v>27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148</v>
      </c>
      <c r="C364">
        <v>130</v>
      </c>
      <c r="D364" t="s">
        <v>116</v>
      </c>
      <c r="E364" t="s">
        <v>14</v>
      </c>
      <c r="F364">
        <v>1.2430000000000001</v>
      </c>
      <c r="G364" t="s">
        <v>15</v>
      </c>
    </row>
    <row r="365" spans="1:7" x14ac:dyDescent="0.25">
      <c r="A365">
        <v>26</v>
      </c>
      <c r="B365" t="s">
        <v>148</v>
      </c>
      <c r="C365">
        <v>140</v>
      </c>
      <c r="D365" t="s">
        <v>240</v>
      </c>
      <c r="E365" t="s">
        <v>11</v>
      </c>
      <c r="F365">
        <v>1</v>
      </c>
      <c r="G365" t="s">
        <v>18</v>
      </c>
    </row>
    <row r="366" spans="1:7" x14ac:dyDescent="0.25">
      <c r="A366">
        <v>27</v>
      </c>
      <c r="B366" t="s">
        <v>149</v>
      </c>
      <c r="C366">
        <v>10</v>
      </c>
      <c r="D366" t="s">
        <v>449</v>
      </c>
      <c r="E366" t="s">
        <v>11</v>
      </c>
      <c r="F366">
        <v>1</v>
      </c>
      <c r="G366" t="s">
        <v>18</v>
      </c>
    </row>
    <row r="367" spans="1:7" x14ac:dyDescent="0.25">
      <c r="A367">
        <v>27</v>
      </c>
      <c r="B367" t="s">
        <v>149</v>
      </c>
      <c r="C367">
        <v>20</v>
      </c>
      <c r="D367" t="s">
        <v>114</v>
      </c>
      <c r="E367" t="s">
        <v>17</v>
      </c>
      <c r="F367">
        <v>2.0569999999999999</v>
      </c>
      <c r="G367" t="s">
        <v>18</v>
      </c>
    </row>
    <row r="368" spans="1:7" x14ac:dyDescent="0.25">
      <c r="A368">
        <v>27</v>
      </c>
      <c r="B368" t="s">
        <v>149</v>
      </c>
      <c r="C368">
        <v>30</v>
      </c>
      <c r="D368" t="s">
        <v>241</v>
      </c>
      <c r="E368" t="s">
        <v>11</v>
      </c>
      <c r="F368">
        <v>1</v>
      </c>
      <c r="G368" t="s">
        <v>18</v>
      </c>
    </row>
    <row r="369" spans="1:7" x14ac:dyDescent="0.25">
      <c r="A369">
        <v>27</v>
      </c>
      <c r="B369" t="s">
        <v>149</v>
      </c>
      <c r="C369">
        <v>40</v>
      </c>
      <c r="D369" t="s">
        <v>242</v>
      </c>
      <c r="E369" t="s">
        <v>11</v>
      </c>
      <c r="F369">
        <v>1</v>
      </c>
      <c r="G369" t="s">
        <v>18</v>
      </c>
    </row>
    <row r="370" spans="1:7" x14ac:dyDescent="0.25">
      <c r="A370">
        <v>27</v>
      </c>
      <c r="B370" t="s">
        <v>149</v>
      </c>
      <c r="C370">
        <v>50</v>
      </c>
      <c r="D370" t="s">
        <v>115</v>
      </c>
      <c r="E370" t="s">
        <v>17</v>
      </c>
      <c r="F370">
        <v>2.0569999999999999</v>
      </c>
      <c r="G370" t="s">
        <v>18</v>
      </c>
    </row>
    <row r="371" spans="1:7" x14ac:dyDescent="0.25">
      <c r="A371">
        <v>27</v>
      </c>
      <c r="B371" t="s">
        <v>149</v>
      </c>
      <c r="C371">
        <v>60</v>
      </c>
      <c r="D371" t="s">
        <v>109</v>
      </c>
      <c r="E371" t="s">
        <v>110</v>
      </c>
      <c r="F371">
        <v>0.52800000000000002</v>
      </c>
      <c r="G371" t="s">
        <v>15</v>
      </c>
    </row>
    <row r="372" spans="1:7" x14ac:dyDescent="0.25">
      <c r="A372">
        <v>27</v>
      </c>
      <c r="B372" t="s">
        <v>149</v>
      </c>
      <c r="C372">
        <v>70</v>
      </c>
      <c r="D372" t="s">
        <v>111</v>
      </c>
      <c r="E372" t="s">
        <v>17</v>
      </c>
      <c r="F372">
        <v>19.66</v>
      </c>
      <c r="G372" t="s">
        <v>15</v>
      </c>
    </row>
    <row r="373" spans="1:7" x14ac:dyDescent="0.25">
      <c r="A373">
        <v>27</v>
      </c>
      <c r="B373" t="s">
        <v>149</v>
      </c>
      <c r="C373">
        <v>80</v>
      </c>
      <c r="D373" t="s">
        <v>21</v>
      </c>
      <c r="E373" t="s">
        <v>17</v>
      </c>
      <c r="F373">
        <v>120.907</v>
      </c>
      <c r="G373" t="s">
        <v>15</v>
      </c>
    </row>
    <row r="374" spans="1:7" x14ac:dyDescent="0.25">
      <c r="A374">
        <v>27</v>
      </c>
      <c r="B374" t="s">
        <v>149</v>
      </c>
      <c r="C374">
        <v>90</v>
      </c>
      <c r="D374" t="s">
        <v>123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149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149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149</v>
      </c>
      <c r="C377">
        <v>120</v>
      </c>
      <c r="D377" t="s">
        <v>27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149</v>
      </c>
      <c r="C378">
        <v>130</v>
      </c>
      <c r="D378" t="s">
        <v>116</v>
      </c>
      <c r="E378" t="s">
        <v>14</v>
      </c>
      <c r="F378">
        <v>1.2430000000000001</v>
      </c>
      <c r="G378" t="s">
        <v>15</v>
      </c>
    </row>
    <row r="379" spans="1:7" x14ac:dyDescent="0.25">
      <c r="A379">
        <v>27</v>
      </c>
      <c r="B379" t="s">
        <v>149</v>
      </c>
      <c r="C379">
        <v>140</v>
      </c>
      <c r="D379" t="s">
        <v>243</v>
      </c>
      <c r="E379" t="s">
        <v>11</v>
      </c>
      <c r="F379">
        <v>1</v>
      </c>
      <c r="G379" t="s">
        <v>18</v>
      </c>
    </row>
    <row r="380" spans="1:7" x14ac:dyDescent="0.25">
      <c r="A380">
        <v>28</v>
      </c>
      <c r="B380" t="s">
        <v>150</v>
      </c>
      <c r="C380">
        <v>10</v>
      </c>
      <c r="D380" t="s">
        <v>450</v>
      </c>
      <c r="E380" t="s">
        <v>11</v>
      </c>
      <c r="F380">
        <v>1</v>
      </c>
      <c r="G380" t="s">
        <v>18</v>
      </c>
    </row>
    <row r="381" spans="1:7" x14ac:dyDescent="0.25">
      <c r="A381">
        <v>28</v>
      </c>
      <c r="B381" t="s">
        <v>150</v>
      </c>
      <c r="C381">
        <v>20</v>
      </c>
      <c r="D381" t="s">
        <v>114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28</v>
      </c>
      <c r="B382" t="s">
        <v>150</v>
      </c>
      <c r="C382">
        <v>30</v>
      </c>
      <c r="D382" t="s">
        <v>244</v>
      </c>
      <c r="E382" t="s">
        <v>11</v>
      </c>
      <c r="F382">
        <v>1</v>
      </c>
      <c r="G382" t="s">
        <v>18</v>
      </c>
    </row>
    <row r="383" spans="1:7" x14ac:dyDescent="0.25">
      <c r="A383">
        <v>28</v>
      </c>
      <c r="B383" t="s">
        <v>150</v>
      </c>
      <c r="C383">
        <v>40</v>
      </c>
      <c r="D383" t="s">
        <v>245</v>
      </c>
      <c r="E383" t="s">
        <v>11</v>
      </c>
      <c r="F383">
        <v>1</v>
      </c>
      <c r="G383" t="s">
        <v>18</v>
      </c>
    </row>
    <row r="384" spans="1:7" x14ac:dyDescent="0.25">
      <c r="A384">
        <v>28</v>
      </c>
      <c r="B384" t="s">
        <v>150</v>
      </c>
      <c r="C384">
        <v>50</v>
      </c>
      <c r="D384" t="s">
        <v>115</v>
      </c>
      <c r="E384" t="s">
        <v>17</v>
      </c>
      <c r="F384">
        <v>2.0569999999999999</v>
      </c>
      <c r="G384" t="s">
        <v>18</v>
      </c>
    </row>
    <row r="385" spans="1:7" x14ac:dyDescent="0.25">
      <c r="A385">
        <v>28</v>
      </c>
      <c r="B385" t="s">
        <v>150</v>
      </c>
      <c r="C385">
        <v>60</v>
      </c>
      <c r="D385" t="s">
        <v>109</v>
      </c>
      <c r="E385" t="s">
        <v>110</v>
      </c>
      <c r="F385">
        <v>0.6</v>
      </c>
      <c r="G385" t="s">
        <v>15</v>
      </c>
    </row>
    <row r="386" spans="1:7" x14ac:dyDescent="0.25">
      <c r="A386">
        <v>28</v>
      </c>
      <c r="B386" t="s">
        <v>150</v>
      </c>
      <c r="C386">
        <v>70</v>
      </c>
      <c r="D386" t="s">
        <v>111</v>
      </c>
      <c r="E386" t="s">
        <v>17</v>
      </c>
      <c r="F386">
        <v>20.574000000000002</v>
      </c>
      <c r="G386" t="s">
        <v>15</v>
      </c>
    </row>
    <row r="387" spans="1:7" x14ac:dyDescent="0.25">
      <c r="A387">
        <v>28</v>
      </c>
      <c r="B387" t="s">
        <v>150</v>
      </c>
      <c r="C387">
        <v>80</v>
      </c>
      <c r="D387" t="s">
        <v>21</v>
      </c>
      <c r="E387" t="s">
        <v>17</v>
      </c>
      <c r="F387">
        <v>126.53</v>
      </c>
      <c r="G387" t="s">
        <v>15</v>
      </c>
    </row>
    <row r="388" spans="1:7" x14ac:dyDescent="0.25">
      <c r="A388">
        <v>28</v>
      </c>
      <c r="B388" t="s">
        <v>150</v>
      </c>
      <c r="C388">
        <v>90</v>
      </c>
      <c r="D388" t="s">
        <v>123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150</v>
      </c>
      <c r="C389">
        <v>100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150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150</v>
      </c>
      <c r="C391">
        <v>120</v>
      </c>
      <c r="D391" t="s">
        <v>27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150</v>
      </c>
      <c r="C392">
        <v>130</v>
      </c>
      <c r="D392" t="s">
        <v>116</v>
      </c>
      <c r="E392" t="s">
        <v>14</v>
      </c>
      <c r="F392">
        <v>1.2430000000000001</v>
      </c>
      <c r="G392" t="s">
        <v>15</v>
      </c>
    </row>
    <row r="393" spans="1:7" x14ac:dyDescent="0.25">
      <c r="A393">
        <v>28</v>
      </c>
      <c r="B393" t="s">
        <v>150</v>
      </c>
      <c r="C393">
        <v>140</v>
      </c>
      <c r="D393" t="s">
        <v>246</v>
      </c>
      <c r="E393" t="s">
        <v>11</v>
      </c>
      <c r="F393">
        <v>1</v>
      </c>
      <c r="G393" t="s">
        <v>18</v>
      </c>
    </row>
    <row r="394" spans="1:7" x14ac:dyDescent="0.25">
      <c r="A394">
        <v>29</v>
      </c>
      <c r="B394" t="s">
        <v>151</v>
      </c>
      <c r="C394">
        <v>10</v>
      </c>
      <c r="D394" t="s">
        <v>451</v>
      </c>
      <c r="E394" t="s">
        <v>11</v>
      </c>
      <c r="F394">
        <v>1</v>
      </c>
      <c r="G394" t="s">
        <v>18</v>
      </c>
    </row>
    <row r="395" spans="1:7" x14ac:dyDescent="0.25">
      <c r="A395">
        <v>29</v>
      </c>
      <c r="B395" t="s">
        <v>151</v>
      </c>
      <c r="C395">
        <v>20</v>
      </c>
      <c r="D395" t="s">
        <v>114</v>
      </c>
      <c r="E395" t="s">
        <v>17</v>
      </c>
      <c r="F395">
        <v>2.0569999999999999</v>
      </c>
      <c r="G395" t="s">
        <v>18</v>
      </c>
    </row>
    <row r="396" spans="1:7" x14ac:dyDescent="0.25">
      <c r="A396">
        <v>29</v>
      </c>
      <c r="B396" t="s">
        <v>151</v>
      </c>
      <c r="C396">
        <v>30</v>
      </c>
      <c r="D396" t="s">
        <v>247</v>
      </c>
      <c r="E396" t="s">
        <v>11</v>
      </c>
      <c r="F396">
        <v>1</v>
      </c>
      <c r="G396" t="s">
        <v>18</v>
      </c>
    </row>
    <row r="397" spans="1:7" x14ac:dyDescent="0.25">
      <c r="A397">
        <v>29</v>
      </c>
      <c r="B397" t="s">
        <v>151</v>
      </c>
      <c r="C397">
        <v>40</v>
      </c>
      <c r="D397" t="s">
        <v>248</v>
      </c>
      <c r="E397" t="s">
        <v>11</v>
      </c>
      <c r="F397">
        <v>1</v>
      </c>
      <c r="G397" t="s">
        <v>18</v>
      </c>
    </row>
    <row r="398" spans="1:7" x14ac:dyDescent="0.25">
      <c r="A398">
        <v>29</v>
      </c>
      <c r="B398" t="s">
        <v>151</v>
      </c>
      <c r="C398">
        <v>50</v>
      </c>
      <c r="D398" t="s">
        <v>115</v>
      </c>
      <c r="E398" t="s">
        <v>17</v>
      </c>
      <c r="F398">
        <v>2.0569999999999999</v>
      </c>
      <c r="G398" t="s">
        <v>18</v>
      </c>
    </row>
    <row r="399" spans="1:7" x14ac:dyDescent="0.25">
      <c r="A399">
        <v>29</v>
      </c>
      <c r="B399" t="s">
        <v>151</v>
      </c>
      <c r="C399">
        <v>60</v>
      </c>
      <c r="D399" t="s">
        <v>109</v>
      </c>
      <c r="E399" t="s">
        <v>110</v>
      </c>
      <c r="F399">
        <v>0.63600000000000001</v>
      </c>
      <c r="G399" t="s">
        <v>15</v>
      </c>
    </row>
    <row r="400" spans="1:7" x14ac:dyDescent="0.25">
      <c r="A400">
        <v>29</v>
      </c>
      <c r="B400" t="s">
        <v>151</v>
      </c>
      <c r="C400">
        <v>70</v>
      </c>
      <c r="D400" t="s">
        <v>111</v>
      </c>
      <c r="E400" t="s">
        <v>17</v>
      </c>
      <c r="F400">
        <v>21.030999999999999</v>
      </c>
      <c r="G400" t="s">
        <v>15</v>
      </c>
    </row>
    <row r="401" spans="1:7" x14ac:dyDescent="0.25">
      <c r="A401">
        <v>29</v>
      </c>
      <c r="B401" t="s">
        <v>151</v>
      </c>
      <c r="C401">
        <v>80</v>
      </c>
      <c r="D401" t="s">
        <v>21</v>
      </c>
      <c r="E401" t="s">
        <v>17</v>
      </c>
      <c r="F401">
        <v>129.34200000000001</v>
      </c>
      <c r="G401" t="s">
        <v>15</v>
      </c>
    </row>
    <row r="402" spans="1:7" x14ac:dyDescent="0.25">
      <c r="A402">
        <v>29</v>
      </c>
      <c r="B402" t="s">
        <v>151</v>
      </c>
      <c r="C402">
        <v>90</v>
      </c>
      <c r="D402" t="s">
        <v>123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151</v>
      </c>
      <c r="C403">
        <v>100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151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151</v>
      </c>
      <c r="C405">
        <v>120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151</v>
      </c>
      <c r="C406">
        <v>130</v>
      </c>
      <c r="D406" t="s">
        <v>116</v>
      </c>
      <c r="E406" t="s">
        <v>14</v>
      </c>
      <c r="F406">
        <v>1.2430000000000001</v>
      </c>
      <c r="G406" t="s">
        <v>15</v>
      </c>
    </row>
    <row r="407" spans="1:7" x14ac:dyDescent="0.25">
      <c r="A407">
        <v>29</v>
      </c>
      <c r="B407" t="s">
        <v>151</v>
      </c>
      <c r="C407">
        <v>140</v>
      </c>
      <c r="D407" t="s">
        <v>249</v>
      </c>
      <c r="E407" t="s">
        <v>11</v>
      </c>
      <c r="F407">
        <v>1</v>
      </c>
      <c r="G407" t="s">
        <v>18</v>
      </c>
    </row>
    <row r="408" spans="1:7" x14ac:dyDescent="0.25">
      <c r="A408">
        <v>30</v>
      </c>
      <c r="B408" t="s">
        <v>152</v>
      </c>
      <c r="C408">
        <v>10</v>
      </c>
      <c r="D408" t="s">
        <v>452</v>
      </c>
      <c r="E408" t="s">
        <v>11</v>
      </c>
      <c r="F408">
        <v>1</v>
      </c>
      <c r="G408" t="s">
        <v>18</v>
      </c>
    </row>
    <row r="409" spans="1:7" x14ac:dyDescent="0.25">
      <c r="A409">
        <v>30</v>
      </c>
      <c r="B409" t="s">
        <v>152</v>
      </c>
      <c r="C409">
        <v>20</v>
      </c>
      <c r="D409" t="s">
        <v>114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30</v>
      </c>
      <c r="B410" t="s">
        <v>152</v>
      </c>
      <c r="C410">
        <v>30</v>
      </c>
      <c r="D410" t="s">
        <v>250</v>
      </c>
      <c r="E410" t="s">
        <v>11</v>
      </c>
      <c r="F410">
        <v>1</v>
      </c>
      <c r="G410" t="s">
        <v>18</v>
      </c>
    </row>
    <row r="411" spans="1:7" x14ac:dyDescent="0.25">
      <c r="A411">
        <v>30</v>
      </c>
      <c r="B411" t="s">
        <v>152</v>
      </c>
      <c r="C411">
        <v>40</v>
      </c>
      <c r="D411" t="s">
        <v>251</v>
      </c>
      <c r="E411" t="s">
        <v>11</v>
      </c>
      <c r="F411">
        <v>1</v>
      </c>
      <c r="G411" t="s">
        <v>18</v>
      </c>
    </row>
    <row r="412" spans="1:7" x14ac:dyDescent="0.25">
      <c r="A412">
        <v>30</v>
      </c>
      <c r="B412" t="s">
        <v>152</v>
      </c>
      <c r="C412">
        <v>50</v>
      </c>
      <c r="D412" t="s">
        <v>115</v>
      </c>
      <c r="E412" t="s">
        <v>17</v>
      </c>
      <c r="F412">
        <v>2.0569999999999999</v>
      </c>
      <c r="G412" t="s">
        <v>18</v>
      </c>
    </row>
    <row r="413" spans="1:7" x14ac:dyDescent="0.25">
      <c r="A413">
        <v>30</v>
      </c>
      <c r="B413" t="s">
        <v>152</v>
      </c>
      <c r="C413">
        <v>60</v>
      </c>
      <c r="D413" t="s">
        <v>109</v>
      </c>
      <c r="E413" t="s">
        <v>110</v>
      </c>
      <c r="F413">
        <v>0.67200000000000004</v>
      </c>
      <c r="G413" t="s">
        <v>15</v>
      </c>
    </row>
    <row r="414" spans="1:7" x14ac:dyDescent="0.25">
      <c r="A414">
        <v>30</v>
      </c>
      <c r="B414" t="s">
        <v>152</v>
      </c>
      <c r="C414">
        <v>70</v>
      </c>
      <c r="D414" t="s">
        <v>111</v>
      </c>
      <c r="E414" t="s">
        <v>17</v>
      </c>
      <c r="F414">
        <v>21.488</v>
      </c>
      <c r="G414" t="s">
        <v>15</v>
      </c>
    </row>
    <row r="415" spans="1:7" x14ac:dyDescent="0.25">
      <c r="A415">
        <v>30</v>
      </c>
      <c r="B415" t="s">
        <v>152</v>
      </c>
      <c r="C415">
        <v>80</v>
      </c>
      <c r="D415" t="s">
        <v>21</v>
      </c>
      <c r="E415" t="s">
        <v>17</v>
      </c>
      <c r="F415">
        <v>132.154</v>
      </c>
      <c r="G415" t="s">
        <v>15</v>
      </c>
    </row>
    <row r="416" spans="1:7" x14ac:dyDescent="0.25">
      <c r="A416">
        <v>30</v>
      </c>
      <c r="B416" t="s">
        <v>152</v>
      </c>
      <c r="C416">
        <v>90</v>
      </c>
      <c r="D416" t="s">
        <v>123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152</v>
      </c>
      <c r="C417">
        <v>100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152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152</v>
      </c>
      <c r="C419">
        <v>120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152</v>
      </c>
      <c r="C420">
        <v>130</v>
      </c>
      <c r="D420" t="s">
        <v>116</v>
      </c>
      <c r="E420" t="s">
        <v>14</v>
      </c>
      <c r="F420">
        <v>1.2430000000000001</v>
      </c>
      <c r="G420" t="s">
        <v>15</v>
      </c>
    </row>
    <row r="421" spans="1:7" x14ac:dyDescent="0.25">
      <c r="A421">
        <v>30</v>
      </c>
      <c r="B421" t="s">
        <v>152</v>
      </c>
      <c r="C421">
        <v>140</v>
      </c>
      <c r="D421" t="s">
        <v>252</v>
      </c>
      <c r="E421" t="s">
        <v>11</v>
      </c>
      <c r="F421">
        <v>1</v>
      </c>
      <c r="G421" t="s">
        <v>18</v>
      </c>
    </row>
    <row r="422" spans="1:7" x14ac:dyDescent="0.25">
      <c r="A422">
        <v>31</v>
      </c>
      <c r="B422" t="s">
        <v>153</v>
      </c>
      <c r="C422">
        <v>10</v>
      </c>
      <c r="D422" t="s">
        <v>453</v>
      </c>
      <c r="E422" t="s">
        <v>11</v>
      </c>
      <c r="F422">
        <v>1</v>
      </c>
      <c r="G422" t="s">
        <v>18</v>
      </c>
    </row>
    <row r="423" spans="1:7" x14ac:dyDescent="0.25">
      <c r="A423">
        <v>31</v>
      </c>
      <c r="B423" t="s">
        <v>153</v>
      </c>
      <c r="C423">
        <v>20</v>
      </c>
      <c r="D423" t="s">
        <v>114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31</v>
      </c>
      <c r="B424" t="s">
        <v>153</v>
      </c>
      <c r="C424">
        <v>30</v>
      </c>
      <c r="D424" t="s">
        <v>253</v>
      </c>
      <c r="E424" t="s">
        <v>11</v>
      </c>
      <c r="F424">
        <v>1</v>
      </c>
      <c r="G424" t="s">
        <v>18</v>
      </c>
    </row>
    <row r="425" spans="1:7" x14ac:dyDescent="0.25">
      <c r="A425">
        <v>31</v>
      </c>
      <c r="B425" t="s">
        <v>153</v>
      </c>
      <c r="C425">
        <v>40</v>
      </c>
      <c r="D425" t="s">
        <v>254</v>
      </c>
      <c r="E425" t="s">
        <v>11</v>
      </c>
      <c r="F425">
        <v>1</v>
      </c>
      <c r="G425" t="s">
        <v>18</v>
      </c>
    </row>
    <row r="426" spans="1:7" x14ac:dyDescent="0.25">
      <c r="A426">
        <v>31</v>
      </c>
      <c r="B426" t="s">
        <v>153</v>
      </c>
      <c r="C426">
        <v>50</v>
      </c>
      <c r="D426" t="s">
        <v>115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31</v>
      </c>
      <c r="B427" t="s">
        <v>153</v>
      </c>
      <c r="C427">
        <v>60</v>
      </c>
      <c r="D427" t="s">
        <v>109</v>
      </c>
      <c r="E427" t="s">
        <v>110</v>
      </c>
      <c r="F427">
        <v>0.74399999999999999</v>
      </c>
      <c r="G427" t="s">
        <v>15</v>
      </c>
    </row>
    <row r="428" spans="1:7" x14ac:dyDescent="0.25">
      <c r="A428">
        <v>31</v>
      </c>
      <c r="B428" t="s">
        <v>153</v>
      </c>
      <c r="C428">
        <v>70</v>
      </c>
      <c r="D428" t="s">
        <v>111</v>
      </c>
      <c r="E428" t="s">
        <v>17</v>
      </c>
      <c r="F428">
        <v>22.402999999999999</v>
      </c>
      <c r="G428" t="s">
        <v>15</v>
      </c>
    </row>
    <row r="429" spans="1:7" x14ac:dyDescent="0.25">
      <c r="A429">
        <v>31</v>
      </c>
      <c r="B429" t="s">
        <v>153</v>
      </c>
      <c r="C429">
        <v>80</v>
      </c>
      <c r="D429" t="s">
        <v>21</v>
      </c>
      <c r="E429" t="s">
        <v>17</v>
      </c>
      <c r="F429">
        <v>137.77699999999999</v>
      </c>
      <c r="G429" t="s">
        <v>15</v>
      </c>
    </row>
    <row r="430" spans="1:7" x14ac:dyDescent="0.25">
      <c r="A430">
        <v>31</v>
      </c>
      <c r="B430" t="s">
        <v>153</v>
      </c>
      <c r="C430">
        <v>90</v>
      </c>
      <c r="D430" t="s">
        <v>123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153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153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153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153</v>
      </c>
      <c r="C434">
        <v>130</v>
      </c>
      <c r="D434" t="s">
        <v>116</v>
      </c>
      <c r="E434" t="s">
        <v>14</v>
      </c>
      <c r="F434">
        <v>1.2430000000000001</v>
      </c>
      <c r="G434" t="s">
        <v>15</v>
      </c>
    </row>
    <row r="435" spans="1:7" x14ac:dyDescent="0.25">
      <c r="A435">
        <v>31</v>
      </c>
      <c r="B435" t="s">
        <v>153</v>
      </c>
      <c r="C435">
        <v>140</v>
      </c>
      <c r="D435" t="s">
        <v>255</v>
      </c>
      <c r="E435" t="s">
        <v>11</v>
      </c>
      <c r="F435">
        <v>1</v>
      </c>
      <c r="G435" t="s">
        <v>18</v>
      </c>
    </row>
    <row r="436" spans="1:7" x14ac:dyDescent="0.25">
      <c r="A436">
        <v>32</v>
      </c>
      <c r="B436" t="s">
        <v>154</v>
      </c>
      <c r="C436">
        <v>10</v>
      </c>
      <c r="D436" t="s">
        <v>454</v>
      </c>
      <c r="E436" t="s">
        <v>11</v>
      </c>
      <c r="F436">
        <v>1</v>
      </c>
      <c r="G436" t="s">
        <v>18</v>
      </c>
    </row>
    <row r="437" spans="1:7" x14ac:dyDescent="0.25">
      <c r="A437">
        <v>32</v>
      </c>
      <c r="B437" t="s">
        <v>154</v>
      </c>
      <c r="C437">
        <v>20</v>
      </c>
      <c r="D437" t="s">
        <v>114</v>
      </c>
      <c r="E437" t="s">
        <v>17</v>
      </c>
      <c r="F437">
        <v>2.0569999999999999</v>
      </c>
      <c r="G437" t="s">
        <v>18</v>
      </c>
    </row>
    <row r="438" spans="1:7" x14ac:dyDescent="0.25">
      <c r="A438">
        <v>32</v>
      </c>
      <c r="B438" t="s">
        <v>154</v>
      </c>
      <c r="C438">
        <v>30</v>
      </c>
      <c r="D438" t="s">
        <v>256</v>
      </c>
      <c r="E438" t="s">
        <v>11</v>
      </c>
      <c r="F438">
        <v>1</v>
      </c>
      <c r="G438" t="s">
        <v>18</v>
      </c>
    </row>
    <row r="439" spans="1:7" x14ac:dyDescent="0.25">
      <c r="A439">
        <v>32</v>
      </c>
      <c r="B439" t="s">
        <v>154</v>
      </c>
      <c r="C439">
        <v>40</v>
      </c>
      <c r="D439" t="s">
        <v>257</v>
      </c>
      <c r="E439" t="s">
        <v>11</v>
      </c>
      <c r="F439">
        <v>1</v>
      </c>
      <c r="G439" t="s">
        <v>18</v>
      </c>
    </row>
    <row r="440" spans="1:7" x14ac:dyDescent="0.25">
      <c r="A440">
        <v>32</v>
      </c>
      <c r="B440" t="s">
        <v>154</v>
      </c>
      <c r="C440">
        <v>50</v>
      </c>
      <c r="D440" t="s">
        <v>115</v>
      </c>
      <c r="E440" t="s">
        <v>17</v>
      </c>
      <c r="F440">
        <v>2.0569999999999999</v>
      </c>
      <c r="G440" t="s">
        <v>18</v>
      </c>
    </row>
    <row r="441" spans="1:7" x14ac:dyDescent="0.25">
      <c r="A441">
        <v>32</v>
      </c>
      <c r="B441" t="s">
        <v>154</v>
      </c>
      <c r="C441">
        <v>60</v>
      </c>
      <c r="D441" t="s">
        <v>109</v>
      </c>
      <c r="E441" t="s">
        <v>110</v>
      </c>
      <c r="F441">
        <v>0.81599999999999995</v>
      </c>
      <c r="G441" t="s">
        <v>15</v>
      </c>
    </row>
    <row r="442" spans="1:7" x14ac:dyDescent="0.25">
      <c r="A442">
        <v>32</v>
      </c>
      <c r="B442" t="s">
        <v>154</v>
      </c>
      <c r="C442">
        <v>70</v>
      </c>
      <c r="D442" t="s">
        <v>111</v>
      </c>
      <c r="E442" t="s">
        <v>17</v>
      </c>
      <c r="F442">
        <v>23.317</v>
      </c>
      <c r="G442" t="s">
        <v>15</v>
      </c>
    </row>
    <row r="443" spans="1:7" x14ac:dyDescent="0.25">
      <c r="A443">
        <v>32</v>
      </c>
      <c r="B443" t="s">
        <v>154</v>
      </c>
      <c r="C443">
        <v>80</v>
      </c>
      <c r="D443" t="s">
        <v>21</v>
      </c>
      <c r="E443" t="s">
        <v>17</v>
      </c>
      <c r="F443">
        <v>143.40100000000001</v>
      </c>
      <c r="G443" t="s">
        <v>15</v>
      </c>
    </row>
    <row r="444" spans="1:7" x14ac:dyDescent="0.25">
      <c r="A444">
        <v>32</v>
      </c>
      <c r="B444" t="s">
        <v>154</v>
      </c>
      <c r="C444">
        <v>90</v>
      </c>
      <c r="D444" t="s">
        <v>123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154</v>
      </c>
      <c r="C445">
        <v>100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154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154</v>
      </c>
      <c r="C447">
        <v>120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154</v>
      </c>
      <c r="C448">
        <v>130</v>
      </c>
      <c r="D448" t="s">
        <v>116</v>
      </c>
      <c r="E448" t="s">
        <v>14</v>
      </c>
      <c r="F448">
        <v>1.2430000000000001</v>
      </c>
      <c r="G448" t="s">
        <v>15</v>
      </c>
    </row>
    <row r="449" spans="1:7" x14ac:dyDescent="0.25">
      <c r="A449">
        <v>32</v>
      </c>
      <c r="B449" t="s">
        <v>154</v>
      </c>
      <c r="C449">
        <v>140</v>
      </c>
      <c r="D449" t="s">
        <v>258</v>
      </c>
      <c r="E449" t="s">
        <v>11</v>
      </c>
      <c r="F449">
        <v>1</v>
      </c>
      <c r="G449" t="s">
        <v>18</v>
      </c>
    </row>
    <row r="450" spans="1:7" x14ac:dyDescent="0.25">
      <c r="A450">
        <v>33</v>
      </c>
      <c r="B450" t="s">
        <v>155</v>
      </c>
      <c r="C450">
        <v>10</v>
      </c>
      <c r="D450" t="s">
        <v>455</v>
      </c>
      <c r="E450" t="s">
        <v>11</v>
      </c>
      <c r="F450">
        <v>1</v>
      </c>
      <c r="G450" t="s">
        <v>18</v>
      </c>
    </row>
    <row r="451" spans="1:7" x14ac:dyDescent="0.25">
      <c r="A451">
        <v>33</v>
      </c>
      <c r="B451" t="s">
        <v>155</v>
      </c>
      <c r="C451">
        <v>20</v>
      </c>
      <c r="D451" t="s">
        <v>114</v>
      </c>
      <c r="E451" t="s">
        <v>17</v>
      </c>
      <c r="F451">
        <v>2.1589999999999998</v>
      </c>
      <c r="G451" t="s">
        <v>18</v>
      </c>
    </row>
    <row r="452" spans="1:7" x14ac:dyDescent="0.25">
      <c r="A452">
        <v>33</v>
      </c>
      <c r="B452" t="s">
        <v>155</v>
      </c>
      <c r="C452">
        <v>30</v>
      </c>
      <c r="D452" t="s">
        <v>259</v>
      </c>
      <c r="E452" t="s">
        <v>11</v>
      </c>
      <c r="F452">
        <v>1</v>
      </c>
      <c r="G452" t="s">
        <v>18</v>
      </c>
    </row>
    <row r="453" spans="1:7" x14ac:dyDescent="0.25">
      <c r="A453">
        <v>33</v>
      </c>
      <c r="B453" t="s">
        <v>155</v>
      </c>
      <c r="C453">
        <v>40</v>
      </c>
      <c r="D453" t="s">
        <v>260</v>
      </c>
      <c r="E453" t="s">
        <v>11</v>
      </c>
      <c r="F453">
        <v>1</v>
      </c>
      <c r="G453" t="s">
        <v>18</v>
      </c>
    </row>
    <row r="454" spans="1:7" x14ac:dyDescent="0.25">
      <c r="A454">
        <v>33</v>
      </c>
      <c r="B454" t="s">
        <v>155</v>
      </c>
      <c r="C454">
        <v>50</v>
      </c>
      <c r="D454" t="s">
        <v>115</v>
      </c>
      <c r="E454" t="s">
        <v>17</v>
      </c>
      <c r="F454">
        <v>2.1589999999999998</v>
      </c>
      <c r="G454" t="s">
        <v>18</v>
      </c>
    </row>
    <row r="455" spans="1:7" x14ac:dyDescent="0.25">
      <c r="A455">
        <v>33</v>
      </c>
      <c r="B455" t="s">
        <v>155</v>
      </c>
      <c r="C455">
        <v>60</v>
      </c>
      <c r="D455" t="s">
        <v>109</v>
      </c>
      <c r="E455" t="s">
        <v>110</v>
      </c>
      <c r="F455">
        <v>0.40300000000000002</v>
      </c>
      <c r="G455" t="s">
        <v>15</v>
      </c>
    </row>
    <row r="456" spans="1:7" x14ac:dyDescent="0.25">
      <c r="A456">
        <v>33</v>
      </c>
      <c r="B456" t="s">
        <v>155</v>
      </c>
      <c r="C456">
        <v>70</v>
      </c>
      <c r="D456" t="s">
        <v>111</v>
      </c>
      <c r="E456" t="s">
        <v>17</v>
      </c>
      <c r="F456">
        <v>18.440000000000001</v>
      </c>
      <c r="G456" t="s">
        <v>15</v>
      </c>
    </row>
    <row r="457" spans="1:7" x14ac:dyDescent="0.25">
      <c r="A457">
        <v>33</v>
      </c>
      <c r="B457" t="s">
        <v>155</v>
      </c>
      <c r="C457">
        <v>80</v>
      </c>
      <c r="D457" t="s">
        <v>21</v>
      </c>
      <c r="E457" t="s">
        <v>17</v>
      </c>
      <c r="F457">
        <v>113.408</v>
      </c>
      <c r="G457" t="s">
        <v>15</v>
      </c>
    </row>
    <row r="458" spans="1:7" x14ac:dyDescent="0.25">
      <c r="A458">
        <v>33</v>
      </c>
      <c r="B458" t="s">
        <v>155</v>
      </c>
      <c r="C458">
        <v>90</v>
      </c>
      <c r="D458" t="s">
        <v>123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155</v>
      </c>
      <c r="C459">
        <v>100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155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155</v>
      </c>
      <c r="C461">
        <v>120</v>
      </c>
      <c r="D461" t="s">
        <v>27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155</v>
      </c>
      <c r="C462">
        <v>130</v>
      </c>
      <c r="D462" t="s">
        <v>116</v>
      </c>
      <c r="E462" t="s">
        <v>14</v>
      </c>
      <c r="F462">
        <v>1.2969999999999999</v>
      </c>
      <c r="G462" t="s">
        <v>15</v>
      </c>
    </row>
    <row r="463" spans="1:7" x14ac:dyDescent="0.25">
      <c r="A463">
        <v>33</v>
      </c>
      <c r="B463" t="s">
        <v>155</v>
      </c>
      <c r="C463">
        <v>140</v>
      </c>
      <c r="D463" t="s">
        <v>261</v>
      </c>
      <c r="E463" t="s">
        <v>11</v>
      </c>
      <c r="F463">
        <v>1</v>
      </c>
      <c r="G463" t="s">
        <v>18</v>
      </c>
    </row>
    <row r="464" spans="1:7" x14ac:dyDescent="0.25">
      <c r="A464">
        <v>34</v>
      </c>
      <c r="B464" t="s">
        <v>156</v>
      </c>
      <c r="C464">
        <v>10</v>
      </c>
      <c r="D464" t="s">
        <v>456</v>
      </c>
      <c r="E464" t="s">
        <v>11</v>
      </c>
      <c r="F464">
        <v>1</v>
      </c>
      <c r="G464" t="s">
        <v>18</v>
      </c>
    </row>
    <row r="465" spans="1:7" x14ac:dyDescent="0.25">
      <c r="A465">
        <v>34</v>
      </c>
      <c r="B465" t="s">
        <v>156</v>
      </c>
      <c r="C465">
        <v>20</v>
      </c>
      <c r="D465" t="s">
        <v>114</v>
      </c>
      <c r="E465" t="s">
        <v>17</v>
      </c>
      <c r="F465">
        <v>2.1589999999999998</v>
      </c>
      <c r="G465" t="s">
        <v>18</v>
      </c>
    </row>
    <row r="466" spans="1:7" x14ac:dyDescent="0.25">
      <c r="A466">
        <v>34</v>
      </c>
      <c r="B466" t="s">
        <v>156</v>
      </c>
      <c r="C466">
        <v>30</v>
      </c>
      <c r="D466" t="s">
        <v>262</v>
      </c>
      <c r="E466" t="s">
        <v>11</v>
      </c>
      <c r="F466">
        <v>1</v>
      </c>
      <c r="G466" t="s">
        <v>18</v>
      </c>
    </row>
    <row r="467" spans="1:7" x14ac:dyDescent="0.25">
      <c r="A467">
        <v>34</v>
      </c>
      <c r="B467" t="s">
        <v>156</v>
      </c>
      <c r="C467">
        <v>40</v>
      </c>
      <c r="D467" t="s">
        <v>263</v>
      </c>
      <c r="E467" t="s">
        <v>11</v>
      </c>
      <c r="F467">
        <v>1</v>
      </c>
      <c r="G467" t="s">
        <v>18</v>
      </c>
    </row>
    <row r="468" spans="1:7" x14ac:dyDescent="0.25">
      <c r="A468">
        <v>34</v>
      </c>
      <c r="B468" t="s">
        <v>156</v>
      </c>
      <c r="C468">
        <v>50</v>
      </c>
      <c r="D468" t="s">
        <v>115</v>
      </c>
      <c r="E468" t="s">
        <v>17</v>
      </c>
      <c r="F468">
        <v>2.1589999999999998</v>
      </c>
      <c r="G468" t="s">
        <v>18</v>
      </c>
    </row>
    <row r="469" spans="1:7" x14ac:dyDescent="0.25">
      <c r="A469">
        <v>34</v>
      </c>
      <c r="B469" t="s">
        <v>156</v>
      </c>
      <c r="C469">
        <v>60</v>
      </c>
      <c r="D469" t="s">
        <v>109</v>
      </c>
      <c r="E469" t="s">
        <v>110</v>
      </c>
      <c r="F469">
        <v>0.47899999999999998</v>
      </c>
      <c r="G469" t="s">
        <v>15</v>
      </c>
    </row>
    <row r="470" spans="1:7" x14ac:dyDescent="0.25">
      <c r="A470">
        <v>34</v>
      </c>
      <c r="B470" t="s">
        <v>156</v>
      </c>
      <c r="C470">
        <v>70</v>
      </c>
      <c r="D470" t="s">
        <v>111</v>
      </c>
      <c r="E470" t="s">
        <v>17</v>
      </c>
      <c r="F470">
        <v>19.355</v>
      </c>
      <c r="G470" t="s">
        <v>15</v>
      </c>
    </row>
    <row r="471" spans="1:7" x14ac:dyDescent="0.25">
      <c r="A471">
        <v>34</v>
      </c>
      <c r="B471" t="s">
        <v>156</v>
      </c>
      <c r="C471">
        <v>80</v>
      </c>
      <c r="D471" t="s">
        <v>21</v>
      </c>
      <c r="E471" t="s">
        <v>17</v>
      </c>
      <c r="F471">
        <v>119.032</v>
      </c>
      <c r="G471" t="s">
        <v>15</v>
      </c>
    </row>
    <row r="472" spans="1:7" x14ac:dyDescent="0.25">
      <c r="A472">
        <v>34</v>
      </c>
      <c r="B472" t="s">
        <v>156</v>
      </c>
      <c r="C472">
        <v>90</v>
      </c>
      <c r="D472" t="s">
        <v>123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156</v>
      </c>
      <c r="C473">
        <v>100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156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156</v>
      </c>
      <c r="C475">
        <v>120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156</v>
      </c>
      <c r="C476">
        <v>130</v>
      </c>
      <c r="D476" t="s">
        <v>116</v>
      </c>
      <c r="E476" t="s">
        <v>14</v>
      </c>
      <c r="F476">
        <v>1.2969999999999999</v>
      </c>
      <c r="G476" t="s">
        <v>15</v>
      </c>
    </row>
    <row r="477" spans="1:7" x14ac:dyDescent="0.25">
      <c r="A477">
        <v>34</v>
      </c>
      <c r="B477" t="s">
        <v>156</v>
      </c>
      <c r="C477">
        <v>140</v>
      </c>
      <c r="D477" t="s">
        <v>264</v>
      </c>
      <c r="E477" t="s">
        <v>11</v>
      </c>
      <c r="F477">
        <v>1</v>
      </c>
      <c r="G477" t="s">
        <v>18</v>
      </c>
    </row>
    <row r="478" spans="1:7" x14ac:dyDescent="0.25">
      <c r="A478">
        <v>35</v>
      </c>
      <c r="B478" t="s">
        <v>157</v>
      </c>
      <c r="C478">
        <v>10</v>
      </c>
      <c r="D478" t="s">
        <v>457</v>
      </c>
      <c r="E478" t="s">
        <v>11</v>
      </c>
      <c r="F478">
        <v>1</v>
      </c>
      <c r="G478" t="s">
        <v>18</v>
      </c>
    </row>
    <row r="479" spans="1:7" x14ac:dyDescent="0.25">
      <c r="A479">
        <v>35</v>
      </c>
      <c r="B479" t="s">
        <v>157</v>
      </c>
      <c r="C479">
        <v>20</v>
      </c>
      <c r="D479" t="s">
        <v>114</v>
      </c>
      <c r="E479" t="s">
        <v>17</v>
      </c>
      <c r="F479">
        <v>2.1589999999999998</v>
      </c>
      <c r="G479" t="s">
        <v>18</v>
      </c>
    </row>
    <row r="480" spans="1:7" x14ac:dyDescent="0.25">
      <c r="A480">
        <v>35</v>
      </c>
      <c r="B480" t="s">
        <v>157</v>
      </c>
      <c r="C480">
        <v>30</v>
      </c>
      <c r="D480" t="s">
        <v>265</v>
      </c>
      <c r="E480" t="s">
        <v>11</v>
      </c>
      <c r="F480">
        <v>1</v>
      </c>
      <c r="G480" t="s">
        <v>18</v>
      </c>
    </row>
    <row r="481" spans="1:7" x14ac:dyDescent="0.25">
      <c r="A481">
        <v>35</v>
      </c>
      <c r="B481" t="s">
        <v>157</v>
      </c>
      <c r="C481">
        <v>40</v>
      </c>
      <c r="D481" t="s">
        <v>266</v>
      </c>
      <c r="E481" t="s">
        <v>11</v>
      </c>
      <c r="F481">
        <v>1</v>
      </c>
      <c r="G481" t="s">
        <v>18</v>
      </c>
    </row>
    <row r="482" spans="1:7" x14ac:dyDescent="0.25">
      <c r="A482">
        <v>35</v>
      </c>
      <c r="B482" t="s">
        <v>157</v>
      </c>
      <c r="C482">
        <v>50</v>
      </c>
      <c r="D482" t="s">
        <v>115</v>
      </c>
      <c r="E482" t="s">
        <v>17</v>
      </c>
      <c r="F482">
        <v>2.1589999999999998</v>
      </c>
      <c r="G482" t="s">
        <v>18</v>
      </c>
    </row>
    <row r="483" spans="1:7" x14ac:dyDescent="0.25">
      <c r="A483">
        <v>35</v>
      </c>
      <c r="B483" t="s">
        <v>157</v>
      </c>
      <c r="C483">
        <v>60</v>
      </c>
      <c r="D483" t="s">
        <v>109</v>
      </c>
      <c r="E483" t="s">
        <v>110</v>
      </c>
      <c r="F483">
        <v>0.55500000000000005</v>
      </c>
      <c r="G483" t="s">
        <v>15</v>
      </c>
    </row>
    <row r="484" spans="1:7" x14ac:dyDescent="0.25">
      <c r="A484">
        <v>35</v>
      </c>
      <c r="B484" t="s">
        <v>157</v>
      </c>
      <c r="C484">
        <v>70</v>
      </c>
      <c r="D484" t="s">
        <v>111</v>
      </c>
      <c r="E484" t="s">
        <v>17</v>
      </c>
      <c r="F484">
        <v>20.268999999999998</v>
      </c>
      <c r="G484" t="s">
        <v>15</v>
      </c>
    </row>
    <row r="485" spans="1:7" x14ac:dyDescent="0.25">
      <c r="A485">
        <v>35</v>
      </c>
      <c r="B485" t="s">
        <v>157</v>
      </c>
      <c r="C485">
        <v>80</v>
      </c>
      <c r="D485" t="s">
        <v>21</v>
      </c>
      <c r="E485" t="s">
        <v>17</v>
      </c>
      <c r="F485">
        <v>124.65600000000001</v>
      </c>
      <c r="G485" t="s">
        <v>15</v>
      </c>
    </row>
    <row r="486" spans="1:7" x14ac:dyDescent="0.25">
      <c r="A486">
        <v>35</v>
      </c>
      <c r="B486" t="s">
        <v>157</v>
      </c>
      <c r="C486">
        <v>90</v>
      </c>
      <c r="D486" t="s">
        <v>123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157</v>
      </c>
      <c r="C487">
        <v>100</v>
      </c>
      <c r="D487" t="s">
        <v>25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157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157</v>
      </c>
      <c r="C489">
        <v>120</v>
      </c>
      <c r="D489" t="s">
        <v>27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157</v>
      </c>
      <c r="C490">
        <v>130</v>
      </c>
      <c r="D490" t="s">
        <v>116</v>
      </c>
      <c r="E490" t="s">
        <v>14</v>
      </c>
      <c r="F490">
        <v>1.2969999999999999</v>
      </c>
      <c r="G490" t="s">
        <v>15</v>
      </c>
    </row>
    <row r="491" spans="1:7" x14ac:dyDescent="0.25">
      <c r="A491">
        <v>35</v>
      </c>
      <c r="B491" t="s">
        <v>157</v>
      </c>
      <c r="C491">
        <v>140</v>
      </c>
      <c r="D491" t="s">
        <v>267</v>
      </c>
      <c r="E491" t="s">
        <v>11</v>
      </c>
      <c r="F491">
        <v>1</v>
      </c>
      <c r="G491" t="s">
        <v>18</v>
      </c>
    </row>
    <row r="492" spans="1:7" x14ac:dyDescent="0.25">
      <c r="A492">
        <v>36</v>
      </c>
      <c r="B492" t="s">
        <v>158</v>
      </c>
      <c r="C492">
        <v>10</v>
      </c>
      <c r="D492" t="s">
        <v>458</v>
      </c>
      <c r="E492" t="s">
        <v>11</v>
      </c>
      <c r="F492">
        <v>1</v>
      </c>
      <c r="G492" t="s">
        <v>18</v>
      </c>
    </row>
    <row r="493" spans="1:7" x14ac:dyDescent="0.25">
      <c r="A493">
        <v>36</v>
      </c>
      <c r="B493" t="s">
        <v>158</v>
      </c>
      <c r="C493">
        <v>20</v>
      </c>
      <c r="D493" t="s">
        <v>114</v>
      </c>
      <c r="E493" t="s">
        <v>17</v>
      </c>
      <c r="F493">
        <v>2.1589999999999998</v>
      </c>
      <c r="G493" t="s">
        <v>18</v>
      </c>
    </row>
    <row r="494" spans="1:7" x14ac:dyDescent="0.25">
      <c r="A494">
        <v>36</v>
      </c>
      <c r="B494" t="s">
        <v>158</v>
      </c>
      <c r="C494">
        <v>30</v>
      </c>
      <c r="D494" t="s">
        <v>268</v>
      </c>
      <c r="E494" t="s">
        <v>11</v>
      </c>
      <c r="F494">
        <v>1</v>
      </c>
      <c r="G494" t="s">
        <v>18</v>
      </c>
    </row>
    <row r="495" spans="1:7" x14ac:dyDescent="0.25">
      <c r="A495">
        <v>36</v>
      </c>
      <c r="B495" t="s">
        <v>158</v>
      </c>
      <c r="C495">
        <v>40</v>
      </c>
      <c r="D495" t="s">
        <v>269</v>
      </c>
      <c r="E495" t="s">
        <v>11</v>
      </c>
      <c r="F495">
        <v>1</v>
      </c>
      <c r="G495" t="s">
        <v>18</v>
      </c>
    </row>
    <row r="496" spans="1:7" x14ac:dyDescent="0.25">
      <c r="A496">
        <v>36</v>
      </c>
      <c r="B496" t="s">
        <v>158</v>
      </c>
      <c r="C496">
        <v>50</v>
      </c>
      <c r="D496" t="s">
        <v>115</v>
      </c>
      <c r="E496" t="s">
        <v>17</v>
      </c>
      <c r="F496">
        <v>2.1589999999999998</v>
      </c>
      <c r="G496" t="s">
        <v>18</v>
      </c>
    </row>
    <row r="497" spans="1:7" x14ac:dyDescent="0.25">
      <c r="A497">
        <v>36</v>
      </c>
      <c r="B497" t="s">
        <v>158</v>
      </c>
      <c r="C497">
        <v>60</v>
      </c>
      <c r="D497" t="s">
        <v>109</v>
      </c>
      <c r="E497" t="s">
        <v>110</v>
      </c>
      <c r="F497">
        <v>0.63</v>
      </c>
      <c r="G497" t="s">
        <v>15</v>
      </c>
    </row>
    <row r="498" spans="1:7" x14ac:dyDescent="0.25">
      <c r="A498">
        <v>36</v>
      </c>
      <c r="B498" t="s">
        <v>158</v>
      </c>
      <c r="C498">
        <v>70</v>
      </c>
      <c r="D498" t="s">
        <v>111</v>
      </c>
      <c r="E498" t="s">
        <v>17</v>
      </c>
      <c r="F498">
        <v>21.184000000000001</v>
      </c>
      <c r="G498" t="s">
        <v>15</v>
      </c>
    </row>
    <row r="499" spans="1:7" x14ac:dyDescent="0.25">
      <c r="A499">
        <v>36</v>
      </c>
      <c r="B499" t="s">
        <v>158</v>
      </c>
      <c r="C499">
        <v>80</v>
      </c>
      <c r="D499" t="s">
        <v>21</v>
      </c>
      <c r="E499" t="s">
        <v>17</v>
      </c>
      <c r="F499">
        <v>130.279</v>
      </c>
      <c r="G499" t="s">
        <v>15</v>
      </c>
    </row>
    <row r="500" spans="1:7" x14ac:dyDescent="0.25">
      <c r="A500">
        <v>36</v>
      </c>
      <c r="B500" t="s">
        <v>158</v>
      </c>
      <c r="C500">
        <v>90</v>
      </c>
      <c r="D500" t="s">
        <v>123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158</v>
      </c>
      <c r="C501">
        <v>100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158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158</v>
      </c>
      <c r="C503">
        <v>120</v>
      </c>
      <c r="D503" t="s">
        <v>27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158</v>
      </c>
      <c r="C504">
        <v>130</v>
      </c>
      <c r="D504" t="s">
        <v>116</v>
      </c>
      <c r="E504" t="s">
        <v>14</v>
      </c>
      <c r="F504">
        <v>1.2969999999999999</v>
      </c>
      <c r="G504" t="s">
        <v>15</v>
      </c>
    </row>
    <row r="505" spans="1:7" x14ac:dyDescent="0.25">
      <c r="A505">
        <v>36</v>
      </c>
      <c r="B505" t="s">
        <v>158</v>
      </c>
      <c r="C505">
        <v>140</v>
      </c>
      <c r="D505" t="s">
        <v>270</v>
      </c>
      <c r="E505" t="s">
        <v>11</v>
      </c>
      <c r="F505">
        <v>1</v>
      </c>
      <c r="G505" t="s">
        <v>18</v>
      </c>
    </row>
    <row r="506" spans="1:7" x14ac:dyDescent="0.25">
      <c r="A506">
        <v>37</v>
      </c>
      <c r="B506" t="s">
        <v>159</v>
      </c>
      <c r="C506">
        <v>10</v>
      </c>
      <c r="D506" t="s">
        <v>459</v>
      </c>
      <c r="E506" t="s">
        <v>11</v>
      </c>
      <c r="F506">
        <v>1</v>
      </c>
      <c r="G506" t="s">
        <v>18</v>
      </c>
    </row>
    <row r="507" spans="1:7" x14ac:dyDescent="0.25">
      <c r="A507">
        <v>37</v>
      </c>
      <c r="B507" t="s">
        <v>159</v>
      </c>
      <c r="C507">
        <v>20</v>
      </c>
      <c r="D507" t="s">
        <v>114</v>
      </c>
      <c r="E507" t="s">
        <v>17</v>
      </c>
      <c r="F507">
        <v>2.1589999999999998</v>
      </c>
      <c r="G507" t="s">
        <v>18</v>
      </c>
    </row>
    <row r="508" spans="1:7" x14ac:dyDescent="0.25">
      <c r="A508">
        <v>37</v>
      </c>
      <c r="B508" t="s">
        <v>159</v>
      </c>
      <c r="C508">
        <v>30</v>
      </c>
      <c r="D508" t="s">
        <v>271</v>
      </c>
      <c r="E508" t="s">
        <v>11</v>
      </c>
      <c r="F508">
        <v>1</v>
      </c>
      <c r="G508" t="s">
        <v>18</v>
      </c>
    </row>
    <row r="509" spans="1:7" x14ac:dyDescent="0.25">
      <c r="A509">
        <v>37</v>
      </c>
      <c r="B509" t="s">
        <v>159</v>
      </c>
      <c r="C509">
        <v>40</v>
      </c>
      <c r="D509" t="s">
        <v>272</v>
      </c>
      <c r="E509" t="s">
        <v>11</v>
      </c>
      <c r="F509">
        <v>1</v>
      </c>
      <c r="G509" t="s">
        <v>18</v>
      </c>
    </row>
    <row r="510" spans="1:7" x14ac:dyDescent="0.25">
      <c r="A510">
        <v>37</v>
      </c>
      <c r="B510" t="s">
        <v>159</v>
      </c>
      <c r="C510">
        <v>50</v>
      </c>
      <c r="D510" t="s">
        <v>115</v>
      </c>
      <c r="E510" t="s">
        <v>17</v>
      </c>
      <c r="F510">
        <v>2.1589999999999998</v>
      </c>
      <c r="G510" t="s">
        <v>18</v>
      </c>
    </row>
    <row r="511" spans="1:7" x14ac:dyDescent="0.25">
      <c r="A511">
        <v>37</v>
      </c>
      <c r="B511" t="s">
        <v>159</v>
      </c>
      <c r="C511">
        <v>60</v>
      </c>
      <c r="D511" t="s">
        <v>109</v>
      </c>
      <c r="E511" t="s">
        <v>110</v>
      </c>
      <c r="F511">
        <v>0.66800000000000004</v>
      </c>
      <c r="G511" t="s">
        <v>15</v>
      </c>
    </row>
    <row r="512" spans="1:7" x14ac:dyDescent="0.25">
      <c r="A512">
        <v>37</v>
      </c>
      <c r="B512" t="s">
        <v>159</v>
      </c>
      <c r="C512">
        <v>70</v>
      </c>
      <c r="D512" t="s">
        <v>111</v>
      </c>
      <c r="E512" t="s">
        <v>17</v>
      </c>
      <c r="F512">
        <v>21.640999999999998</v>
      </c>
      <c r="G512" t="s">
        <v>15</v>
      </c>
    </row>
    <row r="513" spans="1:7" x14ac:dyDescent="0.25">
      <c r="A513">
        <v>37</v>
      </c>
      <c r="B513" t="s">
        <v>159</v>
      </c>
      <c r="C513">
        <v>80</v>
      </c>
      <c r="D513" t="s">
        <v>21</v>
      </c>
      <c r="E513" t="s">
        <v>17</v>
      </c>
      <c r="F513">
        <v>133.09100000000001</v>
      </c>
      <c r="G513" t="s">
        <v>15</v>
      </c>
    </row>
    <row r="514" spans="1:7" x14ac:dyDescent="0.25">
      <c r="A514">
        <v>37</v>
      </c>
      <c r="B514" t="s">
        <v>159</v>
      </c>
      <c r="C514">
        <v>90</v>
      </c>
      <c r="D514" t="s">
        <v>123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159</v>
      </c>
      <c r="C515">
        <v>100</v>
      </c>
      <c r="D515" t="s">
        <v>25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159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159</v>
      </c>
      <c r="C517">
        <v>120</v>
      </c>
      <c r="D517" t="s">
        <v>27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159</v>
      </c>
      <c r="C518">
        <v>130</v>
      </c>
      <c r="D518" t="s">
        <v>116</v>
      </c>
      <c r="E518" t="s">
        <v>14</v>
      </c>
      <c r="F518">
        <v>1.2969999999999999</v>
      </c>
      <c r="G518" t="s">
        <v>15</v>
      </c>
    </row>
    <row r="519" spans="1:7" x14ac:dyDescent="0.25">
      <c r="A519">
        <v>37</v>
      </c>
      <c r="B519" t="s">
        <v>159</v>
      </c>
      <c r="C519">
        <v>140</v>
      </c>
      <c r="D519" t="s">
        <v>273</v>
      </c>
      <c r="E519" t="s">
        <v>11</v>
      </c>
      <c r="F519">
        <v>1</v>
      </c>
      <c r="G519" t="s">
        <v>18</v>
      </c>
    </row>
    <row r="520" spans="1:7" x14ac:dyDescent="0.25">
      <c r="A520">
        <v>38</v>
      </c>
      <c r="B520" t="s">
        <v>160</v>
      </c>
      <c r="C520">
        <v>10</v>
      </c>
      <c r="D520" t="s">
        <v>460</v>
      </c>
      <c r="E520" t="s">
        <v>11</v>
      </c>
      <c r="F520">
        <v>1</v>
      </c>
      <c r="G520" t="s">
        <v>18</v>
      </c>
    </row>
    <row r="521" spans="1:7" x14ac:dyDescent="0.25">
      <c r="A521">
        <v>38</v>
      </c>
      <c r="B521" t="s">
        <v>160</v>
      </c>
      <c r="C521">
        <v>20</v>
      </c>
      <c r="D521" t="s">
        <v>114</v>
      </c>
      <c r="E521" t="s">
        <v>17</v>
      </c>
      <c r="F521">
        <v>2.1589999999999998</v>
      </c>
      <c r="G521" t="s">
        <v>18</v>
      </c>
    </row>
    <row r="522" spans="1:7" x14ac:dyDescent="0.25">
      <c r="A522">
        <v>38</v>
      </c>
      <c r="B522" t="s">
        <v>160</v>
      </c>
      <c r="C522">
        <v>30</v>
      </c>
      <c r="D522" t="s">
        <v>274</v>
      </c>
      <c r="E522" t="s">
        <v>11</v>
      </c>
      <c r="F522">
        <v>1</v>
      </c>
      <c r="G522" t="s">
        <v>18</v>
      </c>
    </row>
    <row r="523" spans="1:7" x14ac:dyDescent="0.25">
      <c r="A523">
        <v>38</v>
      </c>
      <c r="B523" t="s">
        <v>160</v>
      </c>
      <c r="C523">
        <v>40</v>
      </c>
      <c r="D523" t="s">
        <v>275</v>
      </c>
      <c r="E523" t="s">
        <v>11</v>
      </c>
      <c r="F523">
        <v>1</v>
      </c>
      <c r="G523" t="s">
        <v>18</v>
      </c>
    </row>
    <row r="524" spans="1:7" x14ac:dyDescent="0.25">
      <c r="A524">
        <v>38</v>
      </c>
      <c r="B524" t="s">
        <v>160</v>
      </c>
      <c r="C524">
        <v>50</v>
      </c>
      <c r="D524" t="s">
        <v>115</v>
      </c>
      <c r="E524" t="s">
        <v>17</v>
      </c>
      <c r="F524">
        <v>2.1589999999999998</v>
      </c>
      <c r="G524" t="s">
        <v>18</v>
      </c>
    </row>
    <row r="525" spans="1:7" x14ac:dyDescent="0.25">
      <c r="A525">
        <v>38</v>
      </c>
      <c r="B525" t="s">
        <v>160</v>
      </c>
      <c r="C525">
        <v>60</v>
      </c>
      <c r="D525" t="s">
        <v>109</v>
      </c>
      <c r="E525" t="s">
        <v>110</v>
      </c>
      <c r="F525">
        <v>0.70599999999999996</v>
      </c>
      <c r="G525" t="s">
        <v>15</v>
      </c>
    </row>
    <row r="526" spans="1:7" x14ac:dyDescent="0.25">
      <c r="A526">
        <v>38</v>
      </c>
      <c r="B526" t="s">
        <v>160</v>
      </c>
      <c r="C526">
        <v>70</v>
      </c>
      <c r="D526" t="s">
        <v>111</v>
      </c>
      <c r="E526" t="s">
        <v>17</v>
      </c>
      <c r="F526">
        <v>22.097999999999999</v>
      </c>
      <c r="G526" t="s">
        <v>15</v>
      </c>
    </row>
    <row r="527" spans="1:7" x14ac:dyDescent="0.25">
      <c r="A527">
        <v>38</v>
      </c>
      <c r="B527" t="s">
        <v>160</v>
      </c>
      <c r="C527">
        <v>80</v>
      </c>
      <c r="D527" t="s">
        <v>21</v>
      </c>
      <c r="E527" t="s">
        <v>17</v>
      </c>
      <c r="F527">
        <v>135.90299999999999</v>
      </c>
      <c r="G527" t="s">
        <v>15</v>
      </c>
    </row>
    <row r="528" spans="1:7" x14ac:dyDescent="0.25">
      <c r="A528">
        <v>38</v>
      </c>
      <c r="B528" t="s">
        <v>160</v>
      </c>
      <c r="C528">
        <v>90</v>
      </c>
      <c r="D528" t="s">
        <v>123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160</v>
      </c>
      <c r="C529">
        <v>100</v>
      </c>
      <c r="D529" t="s">
        <v>25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160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160</v>
      </c>
      <c r="C531">
        <v>120</v>
      </c>
      <c r="D531" t="s">
        <v>27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160</v>
      </c>
      <c r="C532">
        <v>130</v>
      </c>
      <c r="D532" t="s">
        <v>116</v>
      </c>
      <c r="E532" t="s">
        <v>14</v>
      </c>
      <c r="F532">
        <v>1.2969999999999999</v>
      </c>
      <c r="G532" t="s">
        <v>15</v>
      </c>
    </row>
    <row r="533" spans="1:7" x14ac:dyDescent="0.25">
      <c r="A533">
        <v>38</v>
      </c>
      <c r="B533" t="s">
        <v>160</v>
      </c>
      <c r="C533">
        <v>140</v>
      </c>
      <c r="D533" t="s">
        <v>276</v>
      </c>
      <c r="E533" t="s">
        <v>11</v>
      </c>
      <c r="F533">
        <v>1</v>
      </c>
      <c r="G533" t="s">
        <v>18</v>
      </c>
    </row>
    <row r="534" spans="1:7" x14ac:dyDescent="0.25">
      <c r="A534">
        <v>39</v>
      </c>
      <c r="B534" t="s">
        <v>161</v>
      </c>
      <c r="C534">
        <v>10</v>
      </c>
      <c r="D534" t="s">
        <v>461</v>
      </c>
      <c r="E534" t="s">
        <v>11</v>
      </c>
      <c r="F534">
        <v>1</v>
      </c>
      <c r="G534" t="s">
        <v>18</v>
      </c>
    </row>
    <row r="535" spans="1:7" x14ac:dyDescent="0.25">
      <c r="A535">
        <v>39</v>
      </c>
      <c r="B535" t="s">
        <v>161</v>
      </c>
      <c r="C535">
        <v>20</v>
      </c>
      <c r="D535" t="s">
        <v>114</v>
      </c>
      <c r="E535" t="s">
        <v>17</v>
      </c>
      <c r="F535">
        <v>2.1589999999999998</v>
      </c>
      <c r="G535" t="s">
        <v>18</v>
      </c>
    </row>
    <row r="536" spans="1:7" x14ac:dyDescent="0.25">
      <c r="A536">
        <v>39</v>
      </c>
      <c r="B536" t="s">
        <v>161</v>
      </c>
      <c r="C536">
        <v>30</v>
      </c>
      <c r="D536" t="s">
        <v>277</v>
      </c>
      <c r="E536" t="s">
        <v>11</v>
      </c>
      <c r="F536">
        <v>1</v>
      </c>
      <c r="G536" t="s">
        <v>18</v>
      </c>
    </row>
    <row r="537" spans="1:7" x14ac:dyDescent="0.25">
      <c r="A537">
        <v>39</v>
      </c>
      <c r="B537" t="s">
        <v>161</v>
      </c>
      <c r="C537">
        <v>40</v>
      </c>
      <c r="D537" t="s">
        <v>278</v>
      </c>
      <c r="E537" t="s">
        <v>11</v>
      </c>
      <c r="F537">
        <v>1</v>
      </c>
      <c r="G537" t="s">
        <v>18</v>
      </c>
    </row>
    <row r="538" spans="1:7" x14ac:dyDescent="0.25">
      <c r="A538">
        <v>39</v>
      </c>
      <c r="B538" t="s">
        <v>161</v>
      </c>
      <c r="C538">
        <v>50</v>
      </c>
      <c r="D538" t="s">
        <v>115</v>
      </c>
      <c r="E538" t="s">
        <v>17</v>
      </c>
      <c r="F538">
        <v>2.1589999999999998</v>
      </c>
      <c r="G538" t="s">
        <v>18</v>
      </c>
    </row>
    <row r="539" spans="1:7" x14ac:dyDescent="0.25">
      <c r="A539">
        <v>39</v>
      </c>
      <c r="B539" t="s">
        <v>161</v>
      </c>
      <c r="C539">
        <v>60</v>
      </c>
      <c r="D539" t="s">
        <v>109</v>
      </c>
      <c r="E539" t="s">
        <v>110</v>
      </c>
      <c r="F539">
        <v>0.78200000000000003</v>
      </c>
      <c r="G539" t="s">
        <v>15</v>
      </c>
    </row>
    <row r="540" spans="1:7" x14ac:dyDescent="0.25">
      <c r="A540">
        <v>39</v>
      </c>
      <c r="B540" t="s">
        <v>161</v>
      </c>
      <c r="C540">
        <v>70</v>
      </c>
      <c r="D540" t="s">
        <v>111</v>
      </c>
      <c r="E540" t="s">
        <v>17</v>
      </c>
      <c r="F540">
        <v>23.012</v>
      </c>
      <c r="G540" t="s">
        <v>15</v>
      </c>
    </row>
    <row r="541" spans="1:7" x14ac:dyDescent="0.25">
      <c r="A541">
        <v>39</v>
      </c>
      <c r="B541" t="s">
        <v>161</v>
      </c>
      <c r="C541">
        <v>80</v>
      </c>
      <c r="D541" t="s">
        <v>21</v>
      </c>
      <c r="E541" t="s">
        <v>17</v>
      </c>
      <c r="F541">
        <v>141.52600000000001</v>
      </c>
      <c r="G541" t="s">
        <v>15</v>
      </c>
    </row>
    <row r="542" spans="1:7" x14ac:dyDescent="0.25">
      <c r="A542">
        <v>39</v>
      </c>
      <c r="B542" t="s">
        <v>161</v>
      </c>
      <c r="C542">
        <v>90</v>
      </c>
      <c r="D542" t="s">
        <v>123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161</v>
      </c>
      <c r="C543">
        <v>100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161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161</v>
      </c>
      <c r="C545">
        <v>120</v>
      </c>
      <c r="D545" t="s">
        <v>27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161</v>
      </c>
      <c r="C546">
        <v>130</v>
      </c>
      <c r="D546" t="s">
        <v>116</v>
      </c>
      <c r="E546" t="s">
        <v>14</v>
      </c>
      <c r="F546">
        <v>1.2969999999999999</v>
      </c>
      <c r="G546" t="s">
        <v>15</v>
      </c>
    </row>
    <row r="547" spans="1:7" x14ac:dyDescent="0.25">
      <c r="A547">
        <v>39</v>
      </c>
      <c r="B547" t="s">
        <v>161</v>
      </c>
      <c r="C547">
        <v>140</v>
      </c>
      <c r="D547" t="s">
        <v>279</v>
      </c>
      <c r="E547" t="s">
        <v>11</v>
      </c>
      <c r="F547">
        <v>1</v>
      </c>
      <c r="G547" t="s">
        <v>18</v>
      </c>
    </row>
    <row r="548" spans="1:7" x14ac:dyDescent="0.25">
      <c r="A548">
        <v>40</v>
      </c>
      <c r="B548" t="s">
        <v>162</v>
      </c>
      <c r="C548">
        <v>10</v>
      </c>
      <c r="D548" t="s">
        <v>462</v>
      </c>
      <c r="E548" t="s">
        <v>11</v>
      </c>
      <c r="F548">
        <v>1</v>
      </c>
      <c r="G548" t="s">
        <v>18</v>
      </c>
    </row>
    <row r="549" spans="1:7" x14ac:dyDescent="0.25">
      <c r="A549">
        <v>40</v>
      </c>
      <c r="B549" t="s">
        <v>162</v>
      </c>
      <c r="C549">
        <v>20</v>
      </c>
      <c r="D549" t="s">
        <v>114</v>
      </c>
      <c r="E549" t="s">
        <v>17</v>
      </c>
      <c r="F549">
        <v>2.1589999999999998</v>
      </c>
      <c r="G549" t="s">
        <v>18</v>
      </c>
    </row>
    <row r="550" spans="1:7" x14ac:dyDescent="0.25">
      <c r="A550">
        <v>40</v>
      </c>
      <c r="B550" t="s">
        <v>162</v>
      </c>
      <c r="C550">
        <v>30</v>
      </c>
      <c r="D550" t="s">
        <v>280</v>
      </c>
      <c r="E550" t="s">
        <v>11</v>
      </c>
      <c r="F550">
        <v>1</v>
      </c>
      <c r="G550" t="s">
        <v>18</v>
      </c>
    </row>
    <row r="551" spans="1:7" x14ac:dyDescent="0.25">
      <c r="A551">
        <v>40</v>
      </c>
      <c r="B551" t="s">
        <v>162</v>
      </c>
      <c r="C551">
        <v>40</v>
      </c>
      <c r="D551" t="s">
        <v>281</v>
      </c>
      <c r="E551" t="s">
        <v>11</v>
      </c>
      <c r="F551">
        <v>1</v>
      </c>
      <c r="G551" t="s">
        <v>18</v>
      </c>
    </row>
    <row r="552" spans="1:7" x14ac:dyDescent="0.25">
      <c r="A552">
        <v>40</v>
      </c>
      <c r="B552" t="s">
        <v>162</v>
      </c>
      <c r="C552">
        <v>50</v>
      </c>
      <c r="D552" t="s">
        <v>115</v>
      </c>
      <c r="E552" t="s">
        <v>17</v>
      </c>
      <c r="F552">
        <v>2.1589999999999998</v>
      </c>
      <c r="G552" t="s">
        <v>18</v>
      </c>
    </row>
    <row r="553" spans="1:7" x14ac:dyDescent="0.25">
      <c r="A553">
        <v>40</v>
      </c>
      <c r="B553" t="s">
        <v>162</v>
      </c>
      <c r="C553">
        <v>60</v>
      </c>
      <c r="D553" t="s">
        <v>109</v>
      </c>
      <c r="E553" t="s">
        <v>110</v>
      </c>
      <c r="F553">
        <v>0.85699999999999998</v>
      </c>
      <c r="G553" t="s">
        <v>15</v>
      </c>
    </row>
    <row r="554" spans="1:7" x14ac:dyDescent="0.25">
      <c r="A554">
        <v>40</v>
      </c>
      <c r="B554" t="s">
        <v>162</v>
      </c>
      <c r="C554">
        <v>70</v>
      </c>
      <c r="D554" t="s">
        <v>111</v>
      </c>
      <c r="E554" t="s">
        <v>17</v>
      </c>
      <c r="F554">
        <v>23.927</v>
      </c>
      <c r="G554" t="s">
        <v>15</v>
      </c>
    </row>
    <row r="555" spans="1:7" x14ac:dyDescent="0.25">
      <c r="A555">
        <v>40</v>
      </c>
      <c r="B555" t="s">
        <v>162</v>
      </c>
      <c r="C555">
        <v>80</v>
      </c>
      <c r="D555" t="s">
        <v>21</v>
      </c>
      <c r="E555" t="s">
        <v>17</v>
      </c>
      <c r="F555">
        <v>147.15</v>
      </c>
      <c r="G555" t="s">
        <v>15</v>
      </c>
    </row>
    <row r="556" spans="1:7" x14ac:dyDescent="0.25">
      <c r="A556">
        <v>40</v>
      </c>
      <c r="B556" t="s">
        <v>162</v>
      </c>
      <c r="C556">
        <v>90</v>
      </c>
      <c r="D556" t="s">
        <v>123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162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162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162</v>
      </c>
      <c r="C559">
        <v>120</v>
      </c>
      <c r="D559" t="s">
        <v>27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162</v>
      </c>
      <c r="C560">
        <v>130</v>
      </c>
      <c r="D560" t="s">
        <v>116</v>
      </c>
      <c r="E560" t="s">
        <v>14</v>
      </c>
      <c r="F560">
        <v>1.2969999999999999</v>
      </c>
      <c r="G560" t="s">
        <v>15</v>
      </c>
    </row>
    <row r="561" spans="1:7" x14ac:dyDescent="0.25">
      <c r="A561">
        <v>40</v>
      </c>
      <c r="B561" t="s">
        <v>162</v>
      </c>
      <c r="C561">
        <v>140</v>
      </c>
      <c r="D561" t="s">
        <v>282</v>
      </c>
      <c r="E561" t="s">
        <v>11</v>
      </c>
      <c r="F561">
        <v>1</v>
      </c>
      <c r="G561" t="s">
        <v>18</v>
      </c>
    </row>
    <row r="562" spans="1:7" x14ac:dyDescent="0.25">
      <c r="A562">
        <v>41</v>
      </c>
      <c r="B562" t="s">
        <v>283</v>
      </c>
      <c r="C562">
        <v>10</v>
      </c>
      <c r="D562" t="s">
        <v>463</v>
      </c>
      <c r="E562" t="s">
        <v>11</v>
      </c>
      <c r="F562">
        <v>1</v>
      </c>
      <c r="G562" t="s">
        <v>18</v>
      </c>
    </row>
    <row r="563" spans="1:7" x14ac:dyDescent="0.25">
      <c r="A563">
        <v>41</v>
      </c>
      <c r="B563" t="s">
        <v>283</v>
      </c>
      <c r="C563">
        <v>20</v>
      </c>
      <c r="D563" t="s">
        <v>114</v>
      </c>
      <c r="E563" t="s">
        <v>17</v>
      </c>
      <c r="F563">
        <v>0.78700000000000003</v>
      </c>
      <c r="G563" t="s">
        <v>18</v>
      </c>
    </row>
    <row r="564" spans="1:7" x14ac:dyDescent="0.25">
      <c r="A564">
        <v>41</v>
      </c>
      <c r="B564" t="s">
        <v>283</v>
      </c>
      <c r="C564">
        <v>30</v>
      </c>
      <c r="D564" t="s">
        <v>284</v>
      </c>
      <c r="E564" t="s">
        <v>11</v>
      </c>
      <c r="F564">
        <v>1</v>
      </c>
      <c r="G564" t="s">
        <v>18</v>
      </c>
    </row>
    <row r="565" spans="1:7" x14ac:dyDescent="0.25">
      <c r="A565">
        <v>41</v>
      </c>
      <c r="B565" t="s">
        <v>283</v>
      </c>
      <c r="C565">
        <v>40</v>
      </c>
      <c r="D565" t="s">
        <v>285</v>
      </c>
      <c r="E565" t="s">
        <v>11</v>
      </c>
      <c r="F565">
        <v>1</v>
      </c>
      <c r="G565" t="s">
        <v>18</v>
      </c>
    </row>
    <row r="566" spans="1:7" x14ac:dyDescent="0.25">
      <c r="A566">
        <v>41</v>
      </c>
      <c r="B566" t="s">
        <v>283</v>
      </c>
      <c r="C566">
        <v>50</v>
      </c>
      <c r="D566" t="s">
        <v>115</v>
      </c>
      <c r="E566" t="s">
        <v>17</v>
      </c>
      <c r="F566">
        <v>0.78700000000000003</v>
      </c>
      <c r="G566" t="s">
        <v>18</v>
      </c>
    </row>
    <row r="567" spans="1:7" x14ac:dyDescent="0.25">
      <c r="A567">
        <v>41</v>
      </c>
      <c r="B567" t="s">
        <v>283</v>
      </c>
      <c r="C567">
        <v>60</v>
      </c>
      <c r="D567" t="s">
        <v>109</v>
      </c>
      <c r="E567" t="s">
        <v>110</v>
      </c>
      <c r="F567">
        <v>0.313</v>
      </c>
      <c r="G567" t="s">
        <v>15</v>
      </c>
    </row>
    <row r="568" spans="1:7" x14ac:dyDescent="0.25">
      <c r="A568">
        <v>41</v>
      </c>
      <c r="B568" t="s">
        <v>283</v>
      </c>
      <c r="C568">
        <v>70</v>
      </c>
      <c r="D568" t="s">
        <v>111</v>
      </c>
      <c r="E568" t="s">
        <v>17</v>
      </c>
      <c r="F568">
        <v>16.154</v>
      </c>
      <c r="G568" t="s">
        <v>15</v>
      </c>
    </row>
    <row r="569" spans="1:7" x14ac:dyDescent="0.25">
      <c r="A569">
        <v>41</v>
      </c>
      <c r="B569" t="s">
        <v>283</v>
      </c>
      <c r="C569">
        <v>80</v>
      </c>
      <c r="D569" t="s">
        <v>21</v>
      </c>
      <c r="E569" t="s">
        <v>17</v>
      </c>
      <c r="F569">
        <v>99.35</v>
      </c>
      <c r="G569" t="s">
        <v>15</v>
      </c>
    </row>
    <row r="570" spans="1:7" x14ac:dyDescent="0.25">
      <c r="A570">
        <v>41</v>
      </c>
      <c r="B570" t="s">
        <v>283</v>
      </c>
      <c r="C570">
        <v>90</v>
      </c>
      <c r="D570" t="s">
        <v>123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283</v>
      </c>
      <c r="C571">
        <v>100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283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283</v>
      </c>
      <c r="C573">
        <v>120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283</v>
      </c>
      <c r="C574">
        <v>130</v>
      </c>
      <c r="D574" t="s">
        <v>116</v>
      </c>
      <c r="E574" t="s">
        <v>14</v>
      </c>
      <c r="F574">
        <v>0.56699999999999995</v>
      </c>
      <c r="G574" t="s">
        <v>15</v>
      </c>
    </row>
    <row r="575" spans="1:7" x14ac:dyDescent="0.25">
      <c r="A575">
        <v>41</v>
      </c>
      <c r="B575" t="s">
        <v>283</v>
      </c>
      <c r="C575">
        <v>140</v>
      </c>
      <c r="D575" t="s">
        <v>286</v>
      </c>
      <c r="E575" t="s">
        <v>11</v>
      </c>
      <c r="F575">
        <v>1</v>
      </c>
      <c r="G575" t="s">
        <v>18</v>
      </c>
    </row>
    <row r="576" spans="1:7" x14ac:dyDescent="0.25">
      <c r="A576">
        <v>42</v>
      </c>
      <c r="B576" t="s">
        <v>287</v>
      </c>
      <c r="C576">
        <v>10</v>
      </c>
      <c r="D576" t="s">
        <v>464</v>
      </c>
      <c r="E576" t="s">
        <v>11</v>
      </c>
      <c r="F576">
        <v>1</v>
      </c>
      <c r="G576" t="s">
        <v>18</v>
      </c>
    </row>
    <row r="577" spans="1:7" x14ac:dyDescent="0.25">
      <c r="A577">
        <v>42</v>
      </c>
      <c r="B577" t="s">
        <v>287</v>
      </c>
      <c r="C577">
        <v>20</v>
      </c>
      <c r="D577" t="s">
        <v>114</v>
      </c>
      <c r="E577" t="s">
        <v>17</v>
      </c>
      <c r="F577">
        <v>0.94</v>
      </c>
      <c r="G577" t="s">
        <v>18</v>
      </c>
    </row>
    <row r="578" spans="1:7" x14ac:dyDescent="0.25">
      <c r="A578">
        <v>42</v>
      </c>
      <c r="B578" t="s">
        <v>287</v>
      </c>
      <c r="C578">
        <v>30</v>
      </c>
      <c r="D578" t="s">
        <v>288</v>
      </c>
      <c r="E578" t="s">
        <v>11</v>
      </c>
      <c r="F578">
        <v>1</v>
      </c>
      <c r="G578" t="s">
        <v>18</v>
      </c>
    </row>
    <row r="579" spans="1:7" x14ac:dyDescent="0.25">
      <c r="A579">
        <v>42</v>
      </c>
      <c r="B579" t="s">
        <v>287</v>
      </c>
      <c r="C579">
        <v>40</v>
      </c>
      <c r="D579" t="s">
        <v>289</v>
      </c>
      <c r="E579" t="s">
        <v>11</v>
      </c>
      <c r="F579">
        <v>1</v>
      </c>
      <c r="G579" t="s">
        <v>18</v>
      </c>
    </row>
    <row r="580" spans="1:7" x14ac:dyDescent="0.25">
      <c r="A580">
        <v>42</v>
      </c>
      <c r="B580" t="s">
        <v>287</v>
      </c>
      <c r="C580">
        <v>50</v>
      </c>
      <c r="D580" t="s">
        <v>115</v>
      </c>
      <c r="E580" t="s">
        <v>17</v>
      </c>
      <c r="F580">
        <v>0.94</v>
      </c>
      <c r="G580" t="s">
        <v>18</v>
      </c>
    </row>
    <row r="581" spans="1:7" x14ac:dyDescent="0.25">
      <c r="A581">
        <v>42</v>
      </c>
      <c r="B581" t="s">
        <v>287</v>
      </c>
      <c r="C581">
        <v>60</v>
      </c>
      <c r="D581" t="s">
        <v>109</v>
      </c>
      <c r="E581" t="s">
        <v>110</v>
      </c>
      <c r="F581">
        <v>0.377</v>
      </c>
      <c r="G581" t="s">
        <v>15</v>
      </c>
    </row>
    <row r="582" spans="1:7" x14ac:dyDescent="0.25">
      <c r="A582">
        <v>42</v>
      </c>
      <c r="B582" t="s">
        <v>287</v>
      </c>
      <c r="C582">
        <v>70</v>
      </c>
      <c r="D582" t="s">
        <v>111</v>
      </c>
      <c r="E582" t="s">
        <v>17</v>
      </c>
      <c r="F582">
        <v>17.068999999999999</v>
      </c>
      <c r="G582" t="s">
        <v>15</v>
      </c>
    </row>
    <row r="583" spans="1:7" x14ac:dyDescent="0.25">
      <c r="A583">
        <v>42</v>
      </c>
      <c r="B583" t="s">
        <v>287</v>
      </c>
      <c r="C583">
        <v>80</v>
      </c>
      <c r="D583" t="s">
        <v>21</v>
      </c>
      <c r="E583" t="s">
        <v>17</v>
      </c>
      <c r="F583">
        <v>104.973</v>
      </c>
      <c r="G583" t="s">
        <v>15</v>
      </c>
    </row>
    <row r="584" spans="1:7" x14ac:dyDescent="0.25">
      <c r="A584">
        <v>42</v>
      </c>
      <c r="B584" t="s">
        <v>287</v>
      </c>
      <c r="C584">
        <v>90</v>
      </c>
      <c r="D584" t="s">
        <v>123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287</v>
      </c>
      <c r="C585">
        <v>100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287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287</v>
      </c>
      <c r="C587">
        <v>120</v>
      </c>
      <c r="D587" t="s">
        <v>27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287</v>
      </c>
      <c r="C588">
        <v>130</v>
      </c>
      <c r="D588" t="s">
        <v>116</v>
      </c>
      <c r="E588" t="s">
        <v>14</v>
      </c>
      <c r="F588">
        <v>0.64900000000000002</v>
      </c>
      <c r="G588" t="s">
        <v>15</v>
      </c>
    </row>
    <row r="589" spans="1:7" x14ac:dyDescent="0.25">
      <c r="A589">
        <v>42</v>
      </c>
      <c r="B589" t="s">
        <v>287</v>
      </c>
      <c r="C589">
        <v>140</v>
      </c>
      <c r="D589" t="s">
        <v>290</v>
      </c>
      <c r="E589" t="s">
        <v>11</v>
      </c>
      <c r="F589">
        <v>1</v>
      </c>
      <c r="G589" t="s">
        <v>18</v>
      </c>
    </row>
    <row r="590" spans="1:7" x14ac:dyDescent="0.25">
      <c r="A590">
        <v>43</v>
      </c>
      <c r="B590" t="s">
        <v>291</v>
      </c>
      <c r="C590">
        <v>10</v>
      </c>
      <c r="D590" t="s">
        <v>465</v>
      </c>
      <c r="E590" t="s">
        <v>11</v>
      </c>
      <c r="F590">
        <v>1</v>
      </c>
      <c r="G590" t="s">
        <v>18</v>
      </c>
    </row>
    <row r="591" spans="1:7" x14ac:dyDescent="0.25">
      <c r="A591">
        <v>43</v>
      </c>
      <c r="B591" t="s">
        <v>291</v>
      </c>
      <c r="C591">
        <v>20</v>
      </c>
      <c r="D591" t="s">
        <v>114</v>
      </c>
      <c r="E591" t="s">
        <v>17</v>
      </c>
      <c r="F591">
        <v>1.0920000000000001</v>
      </c>
      <c r="G591" t="s">
        <v>18</v>
      </c>
    </row>
    <row r="592" spans="1:7" x14ac:dyDescent="0.25">
      <c r="A592">
        <v>43</v>
      </c>
      <c r="B592" t="s">
        <v>291</v>
      </c>
      <c r="C592">
        <v>30</v>
      </c>
      <c r="D592" t="s">
        <v>292</v>
      </c>
      <c r="E592" t="s">
        <v>11</v>
      </c>
      <c r="F592">
        <v>1</v>
      </c>
      <c r="G592" t="s">
        <v>18</v>
      </c>
    </row>
    <row r="593" spans="1:7" x14ac:dyDescent="0.25">
      <c r="A593">
        <v>43</v>
      </c>
      <c r="B593" t="s">
        <v>291</v>
      </c>
      <c r="C593">
        <v>40</v>
      </c>
      <c r="D593" t="s">
        <v>293</v>
      </c>
      <c r="E593" t="s">
        <v>11</v>
      </c>
      <c r="F593">
        <v>1</v>
      </c>
      <c r="G593" t="s">
        <v>18</v>
      </c>
    </row>
    <row r="594" spans="1:7" x14ac:dyDescent="0.25">
      <c r="A594">
        <v>43</v>
      </c>
      <c r="B594" t="s">
        <v>291</v>
      </c>
      <c r="C594">
        <v>50</v>
      </c>
      <c r="D594" t="s">
        <v>115</v>
      </c>
      <c r="E594" t="s">
        <v>17</v>
      </c>
      <c r="F594">
        <v>1.0920000000000001</v>
      </c>
      <c r="G594" t="s">
        <v>18</v>
      </c>
    </row>
    <row r="595" spans="1:7" x14ac:dyDescent="0.25">
      <c r="A595">
        <v>43</v>
      </c>
      <c r="B595" t="s">
        <v>291</v>
      </c>
      <c r="C595">
        <v>60</v>
      </c>
      <c r="D595" t="s">
        <v>109</v>
      </c>
      <c r="E595" t="s">
        <v>110</v>
      </c>
      <c r="F595">
        <v>0.442</v>
      </c>
      <c r="G595" t="s">
        <v>15</v>
      </c>
    </row>
    <row r="596" spans="1:7" x14ac:dyDescent="0.25">
      <c r="A596">
        <v>43</v>
      </c>
      <c r="B596" t="s">
        <v>291</v>
      </c>
      <c r="C596">
        <v>70</v>
      </c>
      <c r="D596" t="s">
        <v>111</v>
      </c>
      <c r="E596" t="s">
        <v>17</v>
      </c>
      <c r="F596">
        <v>17.983000000000001</v>
      </c>
      <c r="G596" t="s">
        <v>15</v>
      </c>
    </row>
    <row r="597" spans="1:7" x14ac:dyDescent="0.25">
      <c r="A597">
        <v>43</v>
      </c>
      <c r="B597" t="s">
        <v>291</v>
      </c>
      <c r="C597">
        <v>80</v>
      </c>
      <c r="D597" t="s">
        <v>21</v>
      </c>
      <c r="E597" t="s">
        <v>17</v>
      </c>
      <c r="F597">
        <v>110.59699999999999</v>
      </c>
      <c r="G597" t="s">
        <v>15</v>
      </c>
    </row>
    <row r="598" spans="1:7" x14ac:dyDescent="0.25">
      <c r="A598">
        <v>43</v>
      </c>
      <c r="B598" t="s">
        <v>291</v>
      </c>
      <c r="C598">
        <v>90</v>
      </c>
      <c r="D598" t="s">
        <v>123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291</v>
      </c>
      <c r="C599">
        <v>100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291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291</v>
      </c>
      <c r="C601">
        <v>120</v>
      </c>
      <c r="D601" t="s">
        <v>27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291</v>
      </c>
      <c r="C602">
        <v>130</v>
      </c>
      <c r="D602" t="s">
        <v>116</v>
      </c>
      <c r="E602" t="s">
        <v>14</v>
      </c>
      <c r="F602">
        <v>0.73</v>
      </c>
      <c r="G602" t="s">
        <v>15</v>
      </c>
    </row>
    <row r="603" spans="1:7" x14ac:dyDescent="0.25">
      <c r="A603">
        <v>43</v>
      </c>
      <c r="B603" t="s">
        <v>291</v>
      </c>
      <c r="C603">
        <v>140</v>
      </c>
      <c r="D603" t="s">
        <v>294</v>
      </c>
      <c r="E603" t="s">
        <v>11</v>
      </c>
      <c r="F603">
        <v>1</v>
      </c>
      <c r="G603" t="s">
        <v>18</v>
      </c>
    </row>
    <row r="604" spans="1:7" x14ac:dyDescent="0.25">
      <c r="A604">
        <v>44</v>
      </c>
      <c r="B604" t="s">
        <v>295</v>
      </c>
      <c r="C604">
        <v>10</v>
      </c>
      <c r="D604" t="s">
        <v>466</v>
      </c>
      <c r="E604" t="s">
        <v>11</v>
      </c>
      <c r="F604">
        <v>1</v>
      </c>
      <c r="G604" t="s">
        <v>18</v>
      </c>
    </row>
    <row r="605" spans="1:7" x14ac:dyDescent="0.25">
      <c r="A605">
        <v>44</v>
      </c>
      <c r="B605" t="s">
        <v>295</v>
      </c>
      <c r="C605">
        <v>20</v>
      </c>
      <c r="D605" t="s">
        <v>114</v>
      </c>
      <c r="E605" t="s">
        <v>17</v>
      </c>
      <c r="F605">
        <v>1.2450000000000001</v>
      </c>
      <c r="G605" t="s">
        <v>18</v>
      </c>
    </row>
    <row r="606" spans="1:7" x14ac:dyDescent="0.25">
      <c r="A606">
        <v>44</v>
      </c>
      <c r="B606" t="s">
        <v>295</v>
      </c>
      <c r="C606">
        <v>30</v>
      </c>
      <c r="D606" t="s">
        <v>296</v>
      </c>
      <c r="E606" t="s">
        <v>11</v>
      </c>
      <c r="F606">
        <v>1</v>
      </c>
      <c r="G606" t="s">
        <v>18</v>
      </c>
    </row>
    <row r="607" spans="1:7" x14ac:dyDescent="0.25">
      <c r="A607">
        <v>44</v>
      </c>
      <c r="B607" t="s">
        <v>295</v>
      </c>
      <c r="C607">
        <v>40</v>
      </c>
      <c r="D607" t="s">
        <v>297</v>
      </c>
      <c r="E607" t="s">
        <v>11</v>
      </c>
      <c r="F607">
        <v>1</v>
      </c>
      <c r="G607" t="s">
        <v>18</v>
      </c>
    </row>
    <row r="608" spans="1:7" x14ac:dyDescent="0.25">
      <c r="A608">
        <v>44</v>
      </c>
      <c r="B608" t="s">
        <v>295</v>
      </c>
      <c r="C608">
        <v>50</v>
      </c>
      <c r="D608" t="s">
        <v>115</v>
      </c>
      <c r="E608" t="s">
        <v>17</v>
      </c>
      <c r="F608">
        <v>1.2450000000000001</v>
      </c>
      <c r="G608" t="s">
        <v>18</v>
      </c>
    </row>
    <row r="609" spans="1:7" x14ac:dyDescent="0.25">
      <c r="A609">
        <v>44</v>
      </c>
      <c r="B609" t="s">
        <v>295</v>
      </c>
      <c r="C609">
        <v>60</v>
      </c>
      <c r="D609" t="s">
        <v>109</v>
      </c>
      <c r="E609" t="s">
        <v>110</v>
      </c>
      <c r="F609">
        <v>0.50700000000000001</v>
      </c>
      <c r="G609" t="s">
        <v>15</v>
      </c>
    </row>
    <row r="610" spans="1:7" x14ac:dyDescent="0.25">
      <c r="A610">
        <v>44</v>
      </c>
      <c r="B610" t="s">
        <v>295</v>
      </c>
      <c r="C610">
        <v>70</v>
      </c>
      <c r="D610" t="s">
        <v>111</v>
      </c>
      <c r="E610" t="s">
        <v>17</v>
      </c>
      <c r="F610">
        <v>18.898</v>
      </c>
      <c r="G610" t="s">
        <v>15</v>
      </c>
    </row>
    <row r="611" spans="1:7" x14ac:dyDescent="0.25">
      <c r="A611">
        <v>44</v>
      </c>
      <c r="B611" t="s">
        <v>295</v>
      </c>
      <c r="C611">
        <v>80</v>
      </c>
      <c r="D611" t="s">
        <v>21</v>
      </c>
      <c r="E611" t="s">
        <v>17</v>
      </c>
      <c r="F611">
        <v>116.22</v>
      </c>
      <c r="G611" t="s">
        <v>15</v>
      </c>
    </row>
    <row r="612" spans="1:7" x14ac:dyDescent="0.25">
      <c r="A612">
        <v>44</v>
      </c>
      <c r="B612" t="s">
        <v>295</v>
      </c>
      <c r="C612">
        <v>90</v>
      </c>
      <c r="D612" t="s">
        <v>123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295</v>
      </c>
      <c r="C613">
        <v>100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295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295</v>
      </c>
      <c r="C615">
        <v>120</v>
      </c>
      <c r="D615" t="s">
        <v>27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295</v>
      </c>
      <c r="C616">
        <v>130</v>
      </c>
      <c r="D616" t="s">
        <v>116</v>
      </c>
      <c r="E616" t="s">
        <v>14</v>
      </c>
      <c r="F616">
        <v>0.81100000000000005</v>
      </c>
      <c r="G616" t="s">
        <v>15</v>
      </c>
    </row>
    <row r="617" spans="1:7" x14ac:dyDescent="0.25">
      <c r="A617">
        <v>44</v>
      </c>
      <c r="B617" t="s">
        <v>295</v>
      </c>
      <c r="C617">
        <v>140</v>
      </c>
      <c r="D617" t="s">
        <v>298</v>
      </c>
      <c r="E617" t="s">
        <v>11</v>
      </c>
      <c r="F617">
        <v>1</v>
      </c>
      <c r="G617" t="s">
        <v>18</v>
      </c>
    </row>
    <row r="618" spans="1:7" x14ac:dyDescent="0.25">
      <c r="A618">
        <v>45</v>
      </c>
      <c r="B618" t="s">
        <v>299</v>
      </c>
      <c r="C618">
        <v>10</v>
      </c>
      <c r="D618" t="s">
        <v>467</v>
      </c>
      <c r="E618" t="s">
        <v>11</v>
      </c>
      <c r="F618">
        <v>1</v>
      </c>
      <c r="G618" t="s">
        <v>18</v>
      </c>
    </row>
    <row r="619" spans="1:7" x14ac:dyDescent="0.25">
      <c r="A619">
        <v>45</v>
      </c>
      <c r="B619" t="s">
        <v>299</v>
      </c>
      <c r="C619">
        <v>20</v>
      </c>
      <c r="D619" t="s">
        <v>114</v>
      </c>
      <c r="E619" t="s">
        <v>17</v>
      </c>
      <c r="F619">
        <v>1.5489999999999999</v>
      </c>
      <c r="G619" t="s">
        <v>18</v>
      </c>
    </row>
    <row r="620" spans="1:7" x14ac:dyDescent="0.25">
      <c r="A620">
        <v>45</v>
      </c>
      <c r="B620" t="s">
        <v>299</v>
      </c>
      <c r="C620">
        <v>30</v>
      </c>
      <c r="D620" t="s">
        <v>300</v>
      </c>
      <c r="E620" t="s">
        <v>11</v>
      </c>
      <c r="F620">
        <v>1</v>
      </c>
      <c r="G620" t="s">
        <v>18</v>
      </c>
    </row>
    <row r="621" spans="1:7" x14ac:dyDescent="0.25">
      <c r="A621">
        <v>45</v>
      </c>
      <c r="B621" t="s">
        <v>299</v>
      </c>
      <c r="C621">
        <v>40</v>
      </c>
      <c r="D621" t="s">
        <v>301</v>
      </c>
      <c r="E621" t="s">
        <v>11</v>
      </c>
      <c r="F621">
        <v>1</v>
      </c>
      <c r="G621" t="s">
        <v>18</v>
      </c>
    </row>
    <row r="622" spans="1:7" x14ac:dyDescent="0.25">
      <c r="A622">
        <v>45</v>
      </c>
      <c r="B622" t="s">
        <v>299</v>
      </c>
      <c r="C622">
        <v>50</v>
      </c>
      <c r="D622" t="s">
        <v>115</v>
      </c>
      <c r="E622" t="s">
        <v>17</v>
      </c>
      <c r="F622">
        <v>1.5489999999999999</v>
      </c>
      <c r="G622" t="s">
        <v>18</v>
      </c>
    </row>
    <row r="623" spans="1:7" x14ac:dyDescent="0.25">
      <c r="A623">
        <v>45</v>
      </c>
      <c r="B623" t="s">
        <v>299</v>
      </c>
      <c r="C623">
        <v>60</v>
      </c>
      <c r="D623" t="s">
        <v>109</v>
      </c>
      <c r="E623" t="s">
        <v>110</v>
      </c>
      <c r="F623">
        <v>0.63600000000000001</v>
      </c>
      <c r="G623" t="s">
        <v>15</v>
      </c>
    </row>
    <row r="624" spans="1:7" x14ac:dyDescent="0.25">
      <c r="A624">
        <v>45</v>
      </c>
      <c r="B624" t="s">
        <v>299</v>
      </c>
      <c r="C624">
        <v>70</v>
      </c>
      <c r="D624" t="s">
        <v>111</v>
      </c>
      <c r="E624" t="s">
        <v>17</v>
      </c>
      <c r="F624">
        <v>20.725999999999999</v>
      </c>
      <c r="G624" t="s">
        <v>15</v>
      </c>
    </row>
    <row r="625" spans="1:7" x14ac:dyDescent="0.25">
      <c r="A625">
        <v>45</v>
      </c>
      <c r="B625" t="s">
        <v>299</v>
      </c>
      <c r="C625">
        <v>80</v>
      </c>
      <c r="D625" t="s">
        <v>21</v>
      </c>
      <c r="E625" t="s">
        <v>17</v>
      </c>
      <c r="F625">
        <v>127.467</v>
      </c>
      <c r="G625" t="s">
        <v>15</v>
      </c>
    </row>
    <row r="626" spans="1:7" x14ac:dyDescent="0.25">
      <c r="A626">
        <v>45</v>
      </c>
      <c r="B626" t="s">
        <v>299</v>
      </c>
      <c r="C626">
        <v>90</v>
      </c>
      <c r="D626" t="s">
        <v>123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299</v>
      </c>
      <c r="C627">
        <v>100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299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299</v>
      </c>
      <c r="C629">
        <v>120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299</v>
      </c>
      <c r="C630">
        <v>130</v>
      </c>
      <c r="D630" t="s">
        <v>116</v>
      </c>
      <c r="E630" t="s">
        <v>14</v>
      </c>
      <c r="F630">
        <v>0.97299999999999998</v>
      </c>
      <c r="G630" t="s">
        <v>15</v>
      </c>
    </row>
    <row r="631" spans="1:7" x14ac:dyDescent="0.25">
      <c r="A631">
        <v>45</v>
      </c>
      <c r="B631" t="s">
        <v>299</v>
      </c>
      <c r="C631">
        <v>140</v>
      </c>
      <c r="D631" t="s">
        <v>302</v>
      </c>
      <c r="E631" t="s">
        <v>11</v>
      </c>
      <c r="F631">
        <v>1</v>
      </c>
      <c r="G631" t="s">
        <v>18</v>
      </c>
    </row>
    <row r="632" spans="1:7" x14ac:dyDescent="0.25">
      <c r="A632">
        <v>46</v>
      </c>
      <c r="B632" t="s">
        <v>303</v>
      </c>
      <c r="C632">
        <v>10</v>
      </c>
      <c r="D632" t="s">
        <v>468</v>
      </c>
      <c r="E632" t="s">
        <v>11</v>
      </c>
      <c r="F632">
        <v>1</v>
      </c>
      <c r="G632" t="s">
        <v>18</v>
      </c>
    </row>
    <row r="633" spans="1:7" x14ac:dyDescent="0.25">
      <c r="A633">
        <v>46</v>
      </c>
      <c r="B633" t="s">
        <v>303</v>
      </c>
      <c r="C633">
        <v>20</v>
      </c>
      <c r="D633" t="s">
        <v>114</v>
      </c>
      <c r="E633" t="s">
        <v>17</v>
      </c>
      <c r="F633">
        <v>1.702</v>
      </c>
      <c r="G633" t="s">
        <v>18</v>
      </c>
    </row>
    <row r="634" spans="1:7" x14ac:dyDescent="0.25">
      <c r="A634">
        <v>46</v>
      </c>
      <c r="B634" t="s">
        <v>303</v>
      </c>
      <c r="C634">
        <v>30</v>
      </c>
      <c r="D634" t="s">
        <v>304</v>
      </c>
      <c r="E634" t="s">
        <v>11</v>
      </c>
      <c r="F634">
        <v>1</v>
      </c>
      <c r="G634" t="s">
        <v>18</v>
      </c>
    </row>
    <row r="635" spans="1:7" x14ac:dyDescent="0.25">
      <c r="A635">
        <v>46</v>
      </c>
      <c r="B635" t="s">
        <v>303</v>
      </c>
      <c r="C635">
        <v>40</v>
      </c>
      <c r="D635" t="s">
        <v>305</v>
      </c>
      <c r="E635" t="s">
        <v>11</v>
      </c>
      <c r="F635">
        <v>1</v>
      </c>
      <c r="G635" t="s">
        <v>18</v>
      </c>
    </row>
    <row r="636" spans="1:7" x14ac:dyDescent="0.25">
      <c r="A636">
        <v>46</v>
      </c>
      <c r="B636" t="s">
        <v>303</v>
      </c>
      <c r="C636">
        <v>50</v>
      </c>
      <c r="D636" t="s">
        <v>115</v>
      </c>
      <c r="E636" t="s">
        <v>17</v>
      </c>
      <c r="F636">
        <v>1.702</v>
      </c>
      <c r="G636" t="s">
        <v>18</v>
      </c>
    </row>
    <row r="637" spans="1:7" x14ac:dyDescent="0.25">
      <c r="A637">
        <v>46</v>
      </c>
      <c r="B637" t="s">
        <v>303</v>
      </c>
      <c r="C637">
        <v>60</v>
      </c>
      <c r="D637" t="s">
        <v>109</v>
      </c>
      <c r="E637" t="s">
        <v>110</v>
      </c>
      <c r="F637">
        <v>0.70099999999999996</v>
      </c>
      <c r="G637" t="s">
        <v>15</v>
      </c>
    </row>
    <row r="638" spans="1:7" x14ac:dyDescent="0.25">
      <c r="A638">
        <v>46</v>
      </c>
      <c r="B638" t="s">
        <v>303</v>
      </c>
      <c r="C638">
        <v>70</v>
      </c>
      <c r="D638" t="s">
        <v>111</v>
      </c>
      <c r="E638" t="s">
        <v>17</v>
      </c>
      <c r="F638">
        <v>21.640999999999998</v>
      </c>
      <c r="G638" t="s">
        <v>15</v>
      </c>
    </row>
    <row r="639" spans="1:7" x14ac:dyDescent="0.25">
      <c r="A639">
        <v>46</v>
      </c>
      <c r="B639" t="s">
        <v>303</v>
      </c>
      <c r="C639">
        <v>80</v>
      </c>
      <c r="D639" t="s">
        <v>21</v>
      </c>
      <c r="E639" t="s">
        <v>17</v>
      </c>
      <c r="F639">
        <v>133.09100000000001</v>
      </c>
      <c r="G639" t="s">
        <v>15</v>
      </c>
    </row>
    <row r="640" spans="1:7" x14ac:dyDescent="0.25">
      <c r="A640">
        <v>46</v>
      </c>
      <c r="B640" t="s">
        <v>303</v>
      </c>
      <c r="C640">
        <v>90</v>
      </c>
      <c r="D640" t="s">
        <v>123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303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303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303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303</v>
      </c>
      <c r="C644">
        <v>130</v>
      </c>
      <c r="D644" t="s">
        <v>116</v>
      </c>
      <c r="E644" t="s">
        <v>14</v>
      </c>
      <c r="F644">
        <v>1.054</v>
      </c>
      <c r="G644" t="s">
        <v>15</v>
      </c>
    </row>
    <row r="645" spans="1:7" x14ac:dyDescent="0.25">
      <c r="A645">
        <v>46</v>
      </c>
      <c r="B645" t="s">
        <v>303</v>
      </c>
      <c r="C645">
        <v>140</v>
      </c>
      <c r="D645" t="s">
        <v>306</v>
      </c>
      <c r="E645" t="s">
        <v>11</v>
      </c>
      <c r="F645">
        <v>1</v>
      </c>
      <c r="G645" t="s">
        <v>18</v>
      </c>
    </row>
    <row r="646" spans="1:7" x14ac:dyDescent="0.25">
      <c r="A646">
        <v>47</v>
      </c>
      <c r="B646" t="s">
        <v>307</v>
      </c>
      <c r="C646">
        <v>10</v>
      </c>
      <c r="D646" t="s">
        <v>469</v>
      </c>
      <c r="E646" t="s">
        <v>11</v>
      </c>
      <c r="F646">
        <v>1</v>
      </c>
      <c r="G646" t="s">
        <v>18</v>
      </c>
    </row>
    <row r="647" spans="1:7" x14ac:dyDescent="0.25">
      <c r="A647">
        <v>47</v>
      </c>
      <c r="B647" t="s">
        <v>307</v>
      </c>
      <c r="C647">
        <v>20</v>
      </c>
      <c r="D647" t="s">
        <v>114</v>
      </c>
      <c r="E647" t="s">
        <v>17</v>
      </c>
      <c r="F647">
        <v>1.8540000000000001</v>
      </c>
      <c r="G647" t="s">
        <v>18</v>
      </c>
    </row>
    <row r="648" spans="1:7" x14ac:dyDescent="0.25">
      <c r="A648">
        <v>47</v>
      </c>
      <c r="B648" t="s">
        <v>307</v>
      </c>
      <c r="C648">
        <v>30</v>
      </c>
      <c r="D648" t="s">
        <v>308</v>
      </c>
      <c r="E648" t="s">
        <v>11</v>
      </c>
      <c r="F648">
        <v>1</v>
      </c>
      <c r="G648" t="s">
        <v>18</v>
      </c>
    </row>
    <row r="649" spans="1:7" x14ac:dyDescent="0.25">
      <c r="A649">
        <v>47</v>
      </c>
      <c r="B649" t="s">
        <v>307</v>
      </c>
      <c r="C649">
        <v>40</v>
      </c>
      <c r="D649" t="s">
        <v>309</v>
      </c>
      <c r="E649" t="s">
        <v>11</v>
      </c>
      <c r="F649">
        <v>1</v>
      </c>
      <c r="G649" t="s">
        <v>18</v>
      </c>
    </row>
    <row r="650" spans="1:7" x14ac:dyDescent="0.25">
      <c r="A650">
        <v>47</v>
      </c>
      <c r="B650" t="s">
        <v>307</v>
      </c>
      <c r="C650">
        <v>50</v>
      </c>
      <c r="D650" t="s">
        <v>115</v>
      </c>
      <c r="E650" t="s">
        <v>17</v>
      </c>
      <c r="F650">
        <v>1.8540000000000001</v>
      </c>
      <c r="G650" t="s">
        <v>18</v>
      </c>
    </row>
    <row r="651" spans="1:7" x14ac:dyDescent="0.25">
      <c r="A651">
        <v>47</v>
      </c>
      <c r="B651" t="s">
        <v>307</v>
      </c>
      <c r="C651">
        <v>60</v>
      </c>
      <c r="D651" t="s">
        <v>109</v>
      </c>
      <c r="E651" t="s">
        <v>110</v>
      </c>
      <c r="F651">
        <v>0.76600000000000001</v>
      </c>
      <c r="G651" t="s">
        <v>15</v>
      </c>
    </row>
    <row r="652" spans="1:7" x14ac:dyDescent="0.25">
      <c r="A652">
        <v>47</v>
      </c>
      <c r="B652" t="s">
        <v>307</v>
      </c>
      <c r="C652">
        <v>70</v>
      </c>
      <c r="D652" t="s">
        <v>111</v>
      </c>
      <c r="E652" t="s">
        <v>17</v>
      </c>
      <c r="F652">
        <v>22.555</v>
      </c>
      <c r="G652" t="s">
        <v>15</v>
      </c>
    </row>
    <row r="653" spans="1:7" x14ac:dyDescent="0.25">
      <c r="A653">
        <v>47</v>
      </c>
      <c r="B653" t="s">
        <v>307</v>
      </c>
      <c r="C653">
        <v>80</v>
      </c>
      <c r="D653" t="s">
        <v>21</v>
      </c>
      <c r="E653" t="s">
        <v>17</v>
      </c>
      <c r="F653">
        <v>138.714</v>
      </c>
      <c r="G653" t="s">
        <v>15</v>
      </c>
    </row>
    <row r="654" spans="1:7" x14ac:dyDescent="0.25">
      <c r="A654">
        <v>47</v>
      </c>
      <c r="B654" t="s">
        <v>307</v>
      </c>
      <c r="C654">
        <v>90</v>
      </c>
      <c r="D654" t="s">
        <v>123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307</v>
      </c>
      <c r="C655">
        <v>100</v>
      </c>
      <c r="D655" t="s">
        <v>25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307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307</v>
      </c>
      <c r="C657">
        <v>120</v>
      </c>
      <c r="D657" t="s">
        <v>27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307</v>
      </c>
      <c r="C658">
        <v>130</v>
      </c>
      <c r="D658" t="s">
        <v>116</v>
      </c>
      <c r="E658" t="s">
        <v>14</v>
      </c>
      <c r="F658">
        <v>1.135</v>
      </c>
      <c r="G658" t="s">
        <v>15</v>
      </c>
    </row>
    <row r="659" spans="1:7" x14ac:dyDescent="0.25">
      <c r="A659">
        <v>47</v>
      </c>
      <c r="B659" t="s">
        <v>307</v>
      </c>
      <c r="C659">
        <v>140</v>
      </c>
      <c r="D659" t="s">
        <v>310</v>
      </c>
      <c r="E659" t="s">
        <v>11</v>
      </c>
      <c r="F659">
        <v>1</v>
      </c>
      <c r="G659" t="s">
        <v>18</v>
      </c>
    </row>
    <row r="660" spans="1:7" x14ac:dyDescent="0.25">
      <c r="A660">
        <v>48</v>
      </c>
      <c r="B660" t="s">
        <v>311</v>
      </c>
      <c r="C660">
        <v>10</v>
      </c>
      <c r="D660" t="s">
        <v>470</v>
      </c>
      <c r="E660" t="s">
        <v>11</v>
      </c>
      <c r="F660">
        <v>1</v>
      </c>
      <c r="G660" t="s">
        <v>18</v>
      </c>
    </row>
    <row r="661" spans="1:7" x14ac:dyDescent="0.25">
      <c r="A661">
        <v>48</v>
      </c>
      <c r="B661" t="s">
        <v>311</v>
      </c>
      <c r="C661">
        <v>20</v>
      </c>
      <c r="D661" t="s">
        <v>114</v>
      </c>
      <c r="E661" t="s">
        <v>17</v>
      </c>
      <c r="F661">
        <v>0.78700000000000003</v>
      </c>
      <c r="G661" t="s">
        <v>18</v>
      </c>
    </row>
    <row r="662" spans="1:7" x14ac:dyDescent="0.25">
      <c r="A662">
        <v>48</v>
      </c>
      <c r="B662" t="s">
        <v>311</v>
      </c>
      <c r="C662">
        <v>30</v>
      </c>
      <c r="D662" t="s">
        <v>312</v>
      </c>
      <c r="E662" t="s">
        <v>11</v>
      </c>
      <c r="F662">
        <v>1</v>
      </c>
      <c r="G662" t="s">
        <v>18</v>
      </c>
    </row>
    <row r="663" spans="1:7" x14ac:dyDescent="0.25">
      <c r="A663">
        <v>48</v>
      </c>
      <c r="B663" t="s">
        <v>311</v>
      </c>
      <c r="C663">
        <v>40</v>
      </c>
      <c r="D663" t="s">
        <v>313</v>
      </c>
      <c r="E663" t="s">
        <v>11</v>
      </c>
      <c r="F663">
        <v>1</v>
      </c>
      <c r="G663" t="s">
        <v>18</v>
      </c>
    </row>
    <row r="664" spans="1:7" x14ac:dyDescent="0.25">
      <c r="A664">
        <v>48</v>
      </c>
      <c r="B664" t="s">
        <v>311</v>
      </c>
      <c r="C664">
        <v>50</v>
      </c>
      <c r="D664" t="s">
        <v>115</v>
      </c>
      <c r="E664" t="s">
        <v>17</v>
      </c>
      <c r="F664">
        <v>0.78700000000000003</v>
      </c>
      <c r="G664" t="s">
        <v>18</v>
      </c>
    </row>
    <row r="665" spans="1:7" x14ac:dyDescent="0.25">
      <c r="A665">
        <v>48</v>
      </c>
      <c r="B665" t="s">
        <v>311</v>
      </c>
      <c r="C665">
        <v>60</v>
      </c>
      <c r="D665" t="s">
        <v>109</v>
      </c>
      <c r="E665" t="s">
        <v>110</v>
      </c>
      <c r="F665">
        <v>0.32600000000000001</v>
      </c>
      <c r="G665" t="s">
        <v>15</v>
      </c>
    </row>
    <row r="666" spans="1:7" x14ac:dyDescent="0.25">
      <c r="A666">
        <v>48</v>
      </c>
      <c r="B666" t="s">
        <v>311</v>
      </c>
      <c r="C666">
        <v>70</v>
      </c>
      <c r="D666" t="s">
        <v>111</v>
      </c>
      <c r="E666" t="s">
        <v>17</v>
      </c>
      <c r="F666">
        <v>16.611999999999998</v>
      </c>
      <c r="G666" t="s">
        <v>15</v>
      </c>
    </row>
    <row r="667" spans="1:7" x14ac:dyDescent="0.25">
      <c r="A667">
        <v>48</v>
      </c>
      <c r="B667" t="s">
        <v>311</v>
      </c>
      <c r="C667">
        <v>80</v>
      </c>
      <c r="D667" t="s">
        <v>21</v>
      </c>
      <c r="E667" t="s">
        <v>17</v>
      </c>
      <c r="F667">
        <v>102.161</v>
      </c>
      <c r="G667" t="s">
        <v>15</v>
      </c>
    </row>
    <row r="668" spans="1:7" x14ac:dyDescent="0.25">
      <c r="A668">
        <v>48</v>
      </c>
      <c r="B668" t="s">
        <v>311</v>
      </c>
      <c r="C668">
        <v>90</v>
      </c>
      <c r="D668" t="s">
        <v>123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311</v>
      </c>
      <c r="C669">
        <v>100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311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311</v>
      </c>
      <c r="C671">
        <v>120</v>
      </c>
      <c r="D671" t="s">
        <v>27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311</v>
      </c>
      <c r="C672">
        <v>130</v>
      </c>
      <c r="D672" t="s">
        <v>116</v>
      </c>
      <c r="E672" t="s">
        <v>14</v>
      </c>
      <c r="F672">
        <v>0.56699999999999995</v>
      </c>
      <c r="G672" t="s">
        <v>15</v>
      </c>
    </row>
    <row r="673" spans="1:7" x14ac:dyDescent="0.25">
      <c r="A673">
        <v>48</v>
      </c>
      <c r="B673" t="s">
        <v>311</v>
      </c>
      <c r="C673">
        <v>140</v>
      </c>
      <c r="D673" t="s">
        <v>314</v>
      </c>
      <c r="E673" t="s">
        <v>11</v>
      </c>
      <c r="F673">
        <v>1</v>
      </c>
      <c r="G673" t="s">
        <v>18</v>
      </c>
    </row>
    <row r="674" spans="1:7" x14ac:dyDescent="0.25">
      <c r="A674">
        <v>49</v>
      </c>
      <c r="B674" t="s">
        <v>315</v>
      </c>
      <c r="C674">
        <v>10</v>
      </c>
      <c r="D674" t="s">
        <v>471</v>
      </c>
      <c r="E674" t="s">
        <v>11</v>
      </c>
      <c r="F674">
        <v>1</v>
      </c>
      <c r="G674" t="s">
        <v>18</v>
      </c>
    </row>
    <row r="675" spans="1:7" x14ac:dyDescent="0.25">
      <c r="A675">
        <v>49</v>
      </c>
      <c r="B675" t="s">
        <v>315</v>
      </c>
      <c r="C675">
        <v>20</v>
      </c>
      <c r="D675" t="s">
        <v>114</v>
      </c>
      <c r="E675" t="s">
        <v>17</v>
      </c>
      <c r="F675">
        <v>0.94</v>
      </c>
      <c r="G675" t="s">
        <v>18</v>
      </c>
    </row>
    <row r="676" spans="1:7" x14ac:dyDescent="0.25">
      <c r="A676">
        <v>49</v>
      </c>
      <c r="B676" t="s">
        <v>315</v>
      </c>
      <c r="C676">
        <v>30</v>
      </c>
      <c r="D676" t="s">
        <v>316</v>
      </c>
      <c r="E676" t="s">
        <v>11</v>
      </c>
      <c r="F676">
        <v>1</v>
      </c>
      <c r="G676" t="s">
        <v>18</v>
      </c>
    </row>
    <row r="677" spans="1:7" x14ac:dyDescent="0.25">
      <c r="A677">
        <v>49</v>
      </c>
      <c r="B677" t="s">
        <v>315</v>
      </c>
      <c r="C677">
        <v>40</v>
      </c>
      <c r="D677" t="s">
        <v>317</v>
      </c>
      <c r="E677" t="s">
        <v>11</v>
      </c>
      <c r="F677">
        <v>1</v>
      </c>
      <c r="G677" t="s">
        <v>18</v>
      </c>
    </row>
    <row r="678" spans="1:7" x14ac:dyDescent="0.25">
      <c r="A678">
        <v>49</v>
      </c>
      <c r="B678" t="s">
        <v>315</v>
      </c>
      <c r="C678">
        <v>50</v>
      </c>
      <c r="D678" t="s">
        <v>115</v>
      </c>
      <c r="E678" t="s">
        <v>17</v>
      </c>
      <c r="F678">
        <v>0.94</v>
      </c>
      <c r="G678" t="s">
        <v>18</v>
      </c>
    </row>
    <row r="679" spans="1:7" x14ac:dyDescent="0.25">
      <c r="A679">
        <v>49</v>
      </c>
      <c r="B679" t="s">
        <v>315</v>
      </c>
      <c r="C679">
        <v>60</v>
      </c>
      <c r="D679" t="s">
        <v>109</v>
      </c>
      <c r="E679" t="s">
        <v>110</v>
      </c>
      <c r="F679">
        <v>0.39300000000000002</v>
      </c>
      <c r="G679" t="s">
        <v>15</v>
      </c>
    </row>
    <row r="680" spans="1:7" x14ac:dyDescent="0.25">
      <c r="A680">
        <v>49</v>
      </c>
      <c r="B680" t="s">
        <v>315</v>
      </c>
      <c r="C680">
        <v>70</v>
      </c>
      <c r="D680" t="s">
        <v>111</v>
      </c>
      <c r="E680" t="s">
        <v>17</v>
      </c>
      <c r="F680">
        <v>17.526</v>
      </c>
      <c r="G680" t="s">
        <v>15</v>
      </c>
    </row>
    <row r="681" spans="1:7" x14ac:dyDescent="0.25">
      <c r="A681">
        <v>49</v>
      </c>
      <c r="B681" t="s">
        <v>315</v>
      </c>
      <c r="C681">
        <v>80</v>
      </c>
      <c r="D681" t="s">
        <v>21</v>
      </c>
      <c r="E681" t="s">
        <v>17</v>
      </c>
      <c r="F681">
        <v>107.785</v>
      </c>
      <c r="G681" t="s">
        <v>15</v>
      </c>
    </row>
    <row r="682" spans="1:7" x14ac:dyDescent="0.25">
      <c r="A682">
        <v>49</v>
      </c>
      <c r="B682" t="s">
        <v>315</v>
      </c>
      <c r="C682">
        <v>90</v>
      </c>
      <c r="D682" t="s">
        <v>123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315</v>
      </c>
      <c r="C683">
        <v>100</v>
      </c>
      <c r="D683" t="s">
        <v>25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315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315</v>
      </c>
      <c r="C685">
        <v>120</v>
      </c>
      <c r="D685" t="s">
        <v>27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315</v>
      </c>
      <c r="C686">
        <v>130</v>
      </c>
      <c r="D686" t="s">
        <v>116</v>
      </c>
      <c r="E686" t="s">
        <v>14</v>
      </c>
      <c r="F686">
        <v>0.64900000000000002</v>
      </c>
      <c r="G686" t="s">
        <v>15</v>
      </c>
    </row>
    <row r="687" spans="1:7" x14ac:dyDescent="0.25">
      <c r="A687">
        <v>49</v>
      </c>
      <c r="B687" t="s">
        <v>315</v>
      </c>
      <c r="C687">
        <v>140</v>
      </c>
      <c r="D687" t="s">
        <v>318</v>
      </c>
      <c r="E687" t="s">
        <v>11</v>
      </c>
      <c r="F687">
        <v>1</v>
      </c>
      <c r="G687" t="s">
        <v>18</v>
      </c>
    </row>
    <row r="688" spans="1:7" x14ac:dyDescent="0.25">
      <c r="A688">
        <v>50</v>
      </c>
      <c r="B688" t="s">
        <v>319</v>
      </c>
      <c r="C688">
        <v>10</v>
      </c>
      <c r="D688" t="s">
        <v>472</v>
      </c>
      <c r="E688" t="s">
        <v>11</v>
      </c>
      <c r="F688">
        <v>1</v>
      </c>
      <c r="G688" t="s">
        <v>18</v>
      </c>
    </row>
    <row r="689" spans="1:7" x14ac:dyDescent="0.25">
      <c r="A689">
        <v>50</v>
      </c>
      <c r="B689" t="s">
        <v>319</v>
      </c>
      <c r="C689">
        <v>20</v>
      </c>
      <c r="D689" t="s">
        <v>114</v>
      </c>
      <c r="E689" t="s">
        <v>17</v>
      </c>
      <c r="F689">
        <v>1.0920000000000001</v>
      </c>
      <c r="G689" t="s">
        <v>18</v>
      </c>
    </row>
    <row r="690" spans="1:7" x14ac:dyDescent="0.25">
      <c r="A690">
        <v>50</v>
      </c>
      <c r="B690" t="s">
        <v>319</v>
      </c>
      <c r="C690">
        <v>30</v>
      </c>
      <c r="D690" t="s">
        <v>320</v>
      </c>
      <c r="E690" t="s">
        <v>11</v>
      </c>
      <c r="F690">
        <v>1</v>
      </c>
      <c r="G690" t="s">
        <v>18</v>
      </c>
    </row>
    <row r="691" spans="1:7" x14ac:dyDescent="0.25">
      <c r="A691">
        <v>50</v>
      </c>
      <c r="B691" t="s">
        <v>319</v>
      </c>
      <c r="C691">
        <v>40</v>
      </c>
      <c r="D691" t="s">
        <v>321</v>
      </c>
      <c r="E691" t="s">
        <v>11</v>
      </c>
      <c r="F691">
        <v>1</v>
      </c>
      <c r="G691" t="s">
        <v>18</v>
      </c>
    </row>
    <row r="692" spans="1:7" x14ac:dyDescent="0.25">
      <c r="A692">
        <v>50</v>
      </c>
      <c r="B692" t="s">
        <v>319</v>
      </c>
      <c r="C692">
        <v>50</v>
      </c>
      <c r="D692" t="s">
        <v>115</v>
      </c>
      <c r="E692" t="s">
        <v>17</v>
      </c>
      <c r="F692">
        <v>1.0920000000000001</v>
      </c>
      <c r="G692" t="s">
        <v>18</v>
      </c>
    </row>
    <row r="693" spans="1:7" x14ac:dyDescent="0.25">
      <c r="A693">
        <v>50</v>
      </c>
      <c r="B693" t="s">
        <v>319</v>
      </c>
      <c r="C693">
        <v>60</v>
      </c>
      <c r="D693" t="s">
        <v>109</v>
      </c>
      <c r="E693" t="s">
        <v>110</v>
      </c>
      <c r="F693">
        <v>0.46100000000000002</v>
      </c>
      <c r="G693" t="s">
        <v>15</v>
      </c>
    </row>
    <row r="694" spans="1:7" x14ac:dyDescent="0.25">
      <c r="A694">
        <v>50</v>
      </c>
      <c r="B694" t="s">
        <v>319</v>
      </c>
      <c r="C694">
        <v>70</v>
      </c>
      <c r="D694" t="s">
        <v>111</v>
      </c>
      <c r="E694" t="s">
        <v>17</v>
      </c>
      <c r="F694">
        <v>18.440000000000001</v>
      </c>
      <c r="G694" t="s">
        <v>15</v>
      </c>
    </row>
    <row r="695" spans="1:7" x14ac:dyDescent="0.25">
      <c r="A695">
        <v>50</v>
      </c>
      <c r="B695" t="s">
        <v>319</v>
      </c>
      <c r="C695">
        <v>80</v>
      </c>
      <c r="D695" t="s">
        <v>21</v>
      </c>
      <c r="E695" t="s">
        <v>17</v>
      </c>
      <c r="F695">
        <v>113.408</v>
      </c>
      <c r="G695" t="s">
        <v>15</v>
      </c>
    </row>
    <row r="696" spans="1:7" x14ac:dyDescent="0.25">
      <c r="A696">
        <v>50</v>
      </c>
      <c r="B696" t="s">
        <v>319</v>
      </c>
      <c r="C696">
        <v>90</v>
      </c>
      <c r="D696" t="s">
        <v>123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319</v>
      </c>
      <c r="C697">
        <v>100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319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319</v>
      </c>
      <c r="C699">
        <v>120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319</v>
      </c>
      <c r="C700">
        <v>130</v>
      </c>
      <c r="D700" t="s">
        <v>116</v>
      </c>
      <c r="E700" t="s">
        <v>14</v>
      </c>
      <c r="F700">
        <v>0.73</v>
      </c>
      <c r="G700" t="s">
        <v>15</v>
      </c>
    </row>
    <row r="701" spans="1:7" x14ac:dyDescent="0.25">
      <c r="A701">
        <v>50</v>
      </c>
      <c r="B701" t="s">
        <v>319</v>
      </c>
      <c r="C701">
        <v>140</v>
      </c>
      <c r="D701" t="s">
        <v>322</v>
      </c>
      <c r="E701" t="s">
        <v>11</v>
      </c>
      <c r="F701">
        <v>1</v>
      </c>
      <c r="G701" t="s">
        <v>18</v>
      </c>
    </row>
    <row r="702" spans="1:7" x14ac:dyDescent="0.25">
      <c r="A702">
        <v>51</v>
      </c>
      <c r="B702" t="s">
        <v>323</v>
      </c>
      <c r="C702">
        <v>10</v>
      </c>
      <c r="D702" t="s">
        <v>473</v>
      </c>
      <c r="E702" t="s">
        <v>11</v>
      </c>
      <c r="F702">
        <v>1</v>
      </c>
      <c r="G702" t="s">
        <v>18</v>
      </c>
    </row>
    <row r="703" spans="1:7" x14ac:dyDescent="0.25">
      <c r="A703">
        <v>51</v>
      </c>
      <c r="B703" t="s">
        <v>323</v>
      </c>
      <c r="C703">
        <v>20</v>
      </c>
      <c r="D703" t="s">
        <v>114</v>
      </c>
      <c r="E703" t="s">
        <v>17</v>
      </c>
      <c r="F703">
        <v>1.2450000000000001</v>
      </c>
      <c r="G703" t="s">
        <v>18</v>
      </c>
    </row>
    <row r="704" spans="1:7" x14ac:dyDescent="0.25">
      <c r="A704">
        <v>51</v>
      </c>
      <c r="B704" t="s">
        <v>323</v>
      </c>
      <c r="C704">
        <v>30</v>
      </c>
      <c r="D704" t="s">
        <v>324</v>
      </c>
      <c r="E704" t="s">
        <v>11</v>
      </c>
      <c r="F704">
        <v>1</v>
      </c>
      <c r="G704" t="s">
        <v>18</v>
      </c>
    </row>
    <row r="705" spans="1:7" x14ac:dyDescent="0.25">
      <c r="A705">
        <v>51</v>
      </c>
      <c r="B705" t="s">
        <v>323</v>
      </c>
      <c r="C705">
        <v>40</v>
      </c>
      <c r="D705" t="s">
        <v>325</v>
      </c>
      <c r="E705" t="s">
        <v>11</v>
      </c>
      <c r="F705">
        <v>1</v>
      </c>
      <c r="G705" t="s">
        <v>18</v>
      </c>
    </row>
    <row r="706" spans="1:7" x14ac:dyDescent="0.25">
      <c r="A706">
        <v>51</v>
      </c>
      <c r="B706" t="s">
        <v>323</v>
      </c>
      <c r="C706">
        <v>50</v>
      </c>
      <c r="D706" t="s">
        <v>115</v>
      </c>
      <c r="E706" t="s">
        <v>17</v>
      </c>
      <c r="F706">
        <v>1.2450000000000001</v>
      </c>
      <c r="G706" t="s">
        <v>18</v>
      </c>
    </row>
    <row r="707" spans="1:7" x14ac:dyDescent="0.25">
      <c r="A707">
        <v>51</v>
      </c>
      <c r="B707" t="s">
        <v>323</v>
      </c>
      <c r="C707">
        <v>60</v>
      </c>
      <c r="D707" t="s">
        <v>109</v>
      </c>
      <c r="E707" t="s">
        <v>110</v>
      </c>
      <c r="F707">
        <v>0.52800000000000002</v>
      </c>
      <c r="G707" t="s">
        <v>15</v>
      </c>
    </row>
    <row r="708" spans="1:7" x14ac:dyDescent="0.25">
      <c r="A708">
        <v>51</v>
      </c>
      <c r="B708" t="s">
        <v>323</v>
      </c>
      <c r="C708">
        <v>70</v>
      </c>
      <c r="D708" t="s">
        <v>111</v>
      </c>
      <c r="E708" t="s">
        <v>17</v>
      </c>
      <c r="F708">
        <v>19.355</v>
      </c>
      <c r="G708" t="s">
        <v>15</v>
      </c>
    </row>
    <row r="709" spans="1:7" x14ac:dyDescent="0.25">
      <c r="A709">
        <v>51</v>
      </c>
      <c r="B709" t="s">
        <v>323</v>
      </c>
      <c r="C709">
        <v>80</v>
      </c>
      <c r="D709" t="s">
        <v>21</v>
      </c>
      <c r="E709" t="s">
        <v>17</v>
      </c>
      <c r="F709">
        <v>119.032</v>
      </c>
      <c r="G709" t="s">
        <v>15</v>
      </c>
    </row>
    <row r="710" spans="1:7" x14ac:dyDescent="0.25">
      <c r="A710">
        <v>51</v>
      </c>
      <c r="B710" t="s">
        <v>323</v>
      </c>
      <c r="C710">
        <v>90</v>
      </c>
      <c r="D710" t="s">
        <v>123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323</v>
      </c>
      <c r="C711">
        <v>100</v>
      </c>
      <c r="D711" t="s">
        <v>25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323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323</v>
      </c>
      <c r="C713">
        <v>120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323</v>
      </c>
      <c r="C714">
        <v>130</v>
      </c>
      <c r="D714" t="s">
        <v>116</v>
      </c>
      <c r="E714" t="s">
        <v>14</v>
      </c>
      <c r="F714">
        <v>0.81100000000000005</v>
      </c>
      <c r="G714" t="s">
        <v>15</v>
      </c>
    </row>
    <row r="715" spans="1:7" x14ac:dyDescent="0.25">
      <c r="A715">
        <v>51</v>
      </c>
      <c r="B715" t="s">
        <v>323</v>
      </c>
      <c r="C715">
        <v>140</v>
      </c>
      <c r="D715" t="s">
        <v>326</v>
      </c>
      <c r="E715" t="s">
        <v>11</v>
      </c>
      <c r="F715">
        <v>1</v>
      </c>
      <c r="G715" t="s">
        <v>18</v>
      </c>
    </row>
    <row r="716" spans="1:7" x14ac:dyDescent="0.25">
      <c r="A716">
        <v>52</v>
      </c>
      <c r="B716" t="s">
        <v>327</v>
      </c>
      <c r="C716">
        <v>10</v>
      </c>
      <c r="D716" t="s">
        <v>474</v>
      </c>
      <c r="E716" t="s">
        <v>11</v>
      </c>
      <c r="F716">
        <v>1</v>
      </c>
      <c r="G716" t="s">
        <v>18</v>
      </c>
    </row>
    <row r="717" spans="1:7" x14ac:dyDescent="0.25">
      <c r="A717">
        <v>52</v>
      </c>
      <c r="B717" t="s">
        <v>327</v>
      </c>
      <c r="C717">
        <v>20</v>
      </c>
      <c r="D717" t="s">
        <v>114</v>
      </c>
      <c r="E717" t="s">
        <v>17</v>
      </c>
      <c r="F717">
        <v>1.5489999999999999</v>
      </c>
      <c r="G717" t="s">
        <v>18</v>
      </c>
    </row>
    <row r="718" spans="1:7" x14ac:dyDescent="0.25">
      <c r="A718">
        <v>52</v>
      </c>
      <c r="B718" t="s">
        <v>327</v>
      </c>
      <c r="C718">
        <v>30</v>
      </c>
      <c r="D718" t="s">
        <v>328</v>
      </c>
      <c r="E718" t="s">
        <v>11</v>
      </c>
      <c r="F718">
        <v>1</v>
      </c>
      <c r="G718" t="s">
        <v>18</v>
      </c>
    </row>
    <row r="719" spans="1:7" x14ac:dyDescent="0.25">
      <c r="A719">
        <v>52</v>
      </c>
      <c r="B719" t="s">
        <v>327</v>
      </c>
      <c r="C719">
        <v>40</v>
      </c>
      <c r="D719" t="s">
        <v>329</v>
      </c>
      <c r="E719" t="s">
        <v>11</v>
      </c>
      <c r="F719">
        <v>1</v>
      </c>
      <c r="G719" t="s">
        <v>18</v>
      </c>
    </row>
    <row r="720" spans="1:7" x14ac:dyDescent="0.25">
      <c r="A720">
        <v>52</v>
      </c>
      <c r="B720" t="s">
        <v>327</v>
      </c>
      <c r="C720">
        <v>50</v>
      </c>
      <c r="D720" t="s">
        <v>115</v>
      </c>
      <c r="E720" t="s">
        <v>17</v>
      </c>
      <c r="F720">
        <v>1.5489999999999999</v>
      </c>
      <c r="G720" t="s">
        <v>18</v>
      </c>
    </row>
    <row r="721" spans="1:7" x14ac:dyDescent="0.25">
      <c r="A721">
        <v>52</v>
      </c>
      <c r="B721" t="s">
        <v>327</v>
      </c>
      <c r="C721">
        <v>60</v>
      </c>
      <c r="D721" t="s">
        <v>109</v>
      </c>
      <c r="E721" t="s">
        <v>110</v>
      </c>
      <c r="F721">
        <v>0.66300000000000003</v>
      </c>
      <c r="G721" t="s">
        <v>15</v>
      </c>
    </row>
    <row r="722" spans="1:7" x14ac:dyDescent="0.25">
      <c r="A722">
        <v>52</v>
      </c>
      <c r="B722" t="s">
        <v>327</v>
      </c>
      <c r="C722">
        <v>70</v>
      </c>
      <c r="D722" t="s">
        <v>111</v>
      </c>
      <c r="E722" t="s">
        <v>17</v>
      </c>
      <c r="F722">
        <v>21.184000000000001</v>
      </c>
      <c r="G722" t="s">
        <v>15</v>
      </c>
    </row>
    <row r="723" spans="1:7" x14ac:dyDescent="0.25">
      <c r="A723">
        <v>52</v>
      </c>
      <c r="B723" t="s">
        <v>327</v>
      </c>
      <c r="C723">
        <v>80</v>
      </c>
      <c r="D723" t="s">
        <v>21</v>
      </c>
      <c r="E723" t="s">
        <v>17</v>
      </c>
      <c r="F723">
        <v>130.279</v>
      </c>
      <c r="G723" t="s">
        <v>15</v>
      </c>
    </row>
    <row r="724" spans="1:7" x14ac:dyDescent="0.25">
      <c r="A724">
        <v>52</v>
      </c>
      <c r="B724" t="s">
        <v>327</v>
      </c>
      <c r="C724">
        <v>90</v>
      </c>
      <c r="D724" t="s">
        <v>123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327</v>
      </c>
      <c r="C725">
        <v>100</v>
      </c>
      <c r="D725" t="s">
        <v>25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327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327</v>
      </c>
      <c r="C727">
        <v>120</v>
      </c>
      <c r="D727" t="s">
        <v>27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327</v>
      </c>
      <c r="C728">
        <v>130</v>
      </c>
      <c r="D728" t="s">
        <v>116</v>
      </c>
      <c r="E728" t="s">
        <v>14</v>
      </c>
      <c r="F728">
        <v>0.97299999999999998</v>
      </c>
      <c r="G728" t="s">
        <v>15</v>
      </c>
    </row>
    <row r="729" spans="1:7" x14ac:dyDescent="0.25">
      <c r="A729">
        <v>52</v>
      </c>
      <c r="B729" t="s">
        <v>327</v>
      </c>
      <c r="C729">
        <v>140</v>
      </c>
      <c r="D729" t="s">
        <v>330</v>
      </c>
      <c r="E729" t="s">
        <v>11</v>
      </c>
      <c r="F729">
        <v>1</v>
      </c>
      <c r="G729" t="s">
        <v>18</v>
      </c>
    </row>
    <row r="730" spans="1:7" x14ac:dyDescent="0.25">
      <c r="A730">
        <v>53</v>
      </c>
      <c r="B730" t="s">
        <v>331</v>
      </c>
      <c r="C730">
        <v>10</v>
      </c>
      <c r="D730" t="s">
        <v>475</v>
      </c>
      <c r="E730" t="s">
        <v>11</v>
      </c>
      <c r="F730">
        <v>1</v>
      </c>
      <c r="G730" t="s">
        <v>18</v>
      </c>
    </row>
    <row r="731" spans="1:7" x14ac:dyDescent="0.25">
      <c r="A731">
        <v>53</v>
      </c>
      <c r="B731" t="s">
        <v>331</v>
      </c>
      <c r="C731">
        <v>20</v>
      </c>
      <c r="D731" t="s">
        <v>114</v>
      </c>
      <c r="E731" t="s">
        <v>17</v>
      </c>
      <c r="F731">
        <v>1.702</v>
      </c>
      <c r="G731" t="s">
        <v>18</v>
      </c>
    </row>
    <row r="732" spans="1:7" x14ac:dyDescent="0.25">
      <c r="A732">
        <v>53</v>
      </c>
      <c r="B732" t="s">
        <v>331</v>
      </c>
      <c r="C732">
        <v>30</v>
      </c>
      <c r="D732" t="s">
        <v>332</v>
      </c>
      <c r="E732" t="s">
        <v>11</v>
      </c>
      <c r="F732">
        <v>1</v>
      </c>
      <c r="G732" t="s">
        <v>18</v>
      </c>
    </row>
    <row r="733" spans="1:7" x14ac:dyDescent="0.25">
      <c r="A733">
        <v>53</v>
      </c>
      <c r="B733" t="s">
        <v>331</v>
      </c>
      <c r="C733">
        <v>40</v>
      </c>
      <c r="D733" t="s">
        <v>333</v>
      </c>
      <c r="E733" t="s">
        <v>11</v>
      </c>
      <c r="F733">
        <v>1</v>
      </c>
      <c r="G733" t="s">
        <v>18</v>
      </c>
    </row>
    <row r="734" spans="1:7" x14ac:dyDescent="0.25">
      <c r="A734">
        <v>53</v>
      </c>
      <c r="B734" t="s">
        <v>331</v>
      </c>
      <c r="C734">
        <v>50</v>
      </c>
      <c r="D734" t="s">
        <v>115</v>
      </c>
      <c r="E734" t="s">
        <v>17</v>
      </c>
      <c r="F734">
        <v>1.702</v>
      </c>
      <c r="G734" t="s">
        <v>18</v>
      </c>
    </row>
    <row r="735" spans="1:7" x14ac:dyDescent="0.25">
      <c r="A735">
        <v>53</v>
      </c>
      <c r="B735" t="s">
        <v>331</v>
      </c>
      <c r="C735">
        <v>60</v>
      </c>
      <c r="D735" t="s">
        <v>109</v>
      </c>
      <c r="E735" t="s">
        <v>110</v>
      </c>
      <c r="F735">
        <v>0.73099999999999998</v>
      </c>
      <c r="G735" t="s">
        <v>15</v>
      </c>
    </row>
    <row r="736" spans="1:7" x14ac:dyDescent="0.25">
      <c r="A736">
        <v>53</v>
      </c>
      <c r="B736" t="s">
        <v>331</v>
      </c>
      <c r="C736">
        <v>70</v>
      </c>
      <c r="D736" t="s">
        <v>111</v>
      </c>
      <c r="E736" t="s">
        <v>17</v>
      </c>
      <c r="F736">
        <v>22.097999999999999</v>
      </c>
      <c r="G736" t="s">
        <v>15</v>
      </c>
    </row>
    <row r="737" spans="1:7" x14ac:dyDescent="0.25">
      <c r="A737">
        <v>53</v>
      </c>
      <c r="B737" t="s">
        <v>331</v>
      </c>
      <c r="C737">
        <v>80</v>
      </c>
      <c r="D737" t="s">
        <v>21</v>
      </c>
      <c r="E737" t="s">
        <v>17</v>
      </c>
      <c r="F737">
        <v>135.90299999999999</v>
      </c>
      <c r="G737" t="s">
        <v>15</v>
      </c>
    </row>
    <row r="738" spans="1:7" x14ac:dyDescent="0.25">
      <c r="A738">
        <v>53</v>
      </c>
      <c r="B738" t="s">
        <v>331</v>
      </c>
      <c r="C738">
        <v>90</v>
      </c>
      <c r="D738" t="s">
        <v>123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331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331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331</v>
      </c>
      <c r="C741">
        <v>120</v>
      </c>
      <c r="D741" t="s">
        <v>27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331</v>
      </c>
      <c r="C742">
        <v>130</v>
      </c>
      <c r="D742" t="s">
        <v>116</v>
      </c>
      <c r="E742" t="s">
        <v>14</v>
      </c>
      <c r="F742">
        <v>1.054</v>
      </c>
      <c r="G742" t="s">
        <v>15</v>
      </c>
    </row>
    <row r="743" spans="1:7" x14ac:dyDescent="0.25">
      <c r="A743">
        <v>53</v>
      </c>
      <c r="B743" t="s">
        <v>331</v>
      </c>
      <c r="C743">
        <v>140</v>
      </c>
      <c r="D743" t="s">
        <v>334</v>
      </c>
      <c r="E743" t="s">
        <v>11</v>
      </c>
      <c r="F743">
        <v>1</v>
      </c>
      <c r="G743" t="s">
        <v>18</v>
      </c>
    </row>
    <row r="744" spans="1:7" x14ac:dyDescent="0.25">
      <c r="A744">
        <v>54</v>
      </c>
      <c r="B744" t="s">
        <v>335</v>
      </c>
      <c r="C744">
        <v>10</v>
      </c>
      <c r="D744" t="s">
        <v>476</v>
      </c>
      <c r="E744" t="s">
        <v>11</v>
      </c>
      <c r="F744">
        <v>1</v>
      </c>
      <c r="G744" t="s">
        <v>18</v>
      </c>
    </row>
    <row r="745" spans="1:7" x14ac:dyDescent="0.25">
      <c r="A745">
        <v>54</v>
      </c>
      <c r="B745" t="s">
        <v>335</v>
      </c>
      <c r="C745">
        <v>20</v>
      </c>
      <c r="D745" t="s">
        <v>114</v>
      </c>
      <c r="E745" t="s">
        <v>17</v>
      </c>
      <c r="F745">
        <v>1.8540000000000001</v>
      </c>
      <c r="G745" t="s">
        <v>18</v>
      </c>
    </row>
    <row r="746" spans="1:7" x14ac:dyDescent="0.25">
      <c r="A746">
        <v>54</v>
      </c>
      <c r="B746" t="s">
        <v>335</v>
      </c>
      <c r="C746">
        <v>30</v>
      </c>
      <c r="D746" t="s">
        <v>336</v>
      </c>
      <c r="E746" t="s">
        <v>11</v>
      </c>
      <c r="F746">
        <v>1</v>
      </c>
      <c r="G746" t="s">
        <v>18</v>
      </c>
    </row>
    <row r="747" spans="1:7" x14ac:dyDescent="0.25">
      <c r="A747">
        <v>54</v>
      </c>
      <c r="B747" t="s">
        <v>335</v>
      </c>
      <c r="C747">
        <v>40</v>
      </c>
      <c r="D747" t="s">
        <v>337</v>
      </c>
      <c r="E747" t="s">
        <v>11</v>
      </c>
      <c r="F747">
        <v>1</v>
      </c>
      <c r="G747" t="s">
        <v>18</v>
      </c>
    </row>
    <row r="748" spans="1:7" x14ac:dyDescent="0.25">
      <c r="A748">
        <v>54</v>
      </c>
      <c r="B748" t="s">
        <v>335</v>
      </c>
      <c r="C748">
        <v>50</v>
      </c>
      <c r="D748" t="s">
        <v>115</v>
      </c>
      <c r="E748" t="s">
        <v>17</v>
      </c>
      <c r="F748">
        <v>1.8540000000000001</v>
      </c>
      <c r="G748" t="s">
        <v>18</v>
      </c>
    </row>
    <row r="749" spans="1:7" x14ac:dyDescent="0.25">
      <c r="A749">
        <v>54</v>
      </c>
      <c r="B749" t="s">
        <v>335</v>
      </c>
      <c r="C749">
        <v>60</v>
      </c>
      <c r="D749" t="s">
        <v>109</v>
      </c>
      <c r="E749" t="s">
        <v>110</v>
      </c>
      <c r="F749">
        <v>0.79800000000000004</v>
      </c>
      <c r="G749" t="s">
        <v>15</v>
      </c>
    </row>
    <row r="750" spans="1:7" x14ac:dyDescent="0.25">
      <c r="A750">
        <v>54</v>
      </c>
      <c r="B750" t="s">
        <v>335</v>
      </c>
      <c r="C750">
        <v>70</v>
      </c>
      <c r="D750" t="s">
        <v>111</v>
      </c>
      <c r="E750" t="s">
        <v>17</v>
      </c>
      <c r="F750">
        <v>23.012</v>
      </c>
      <c r="G750" t="s">
        <v>15</v>
      </c>
    </row>
    <row r="751" spans="1:7" x14ac:dyDescent="0.25">
      <c r="A751">
        <v>54</v>
      </c>
      <c r="B751" t="s">
        <v>335</v>
      </c>
      <c r="C751">
        <v>80</v>
      </c>
      <c r="D751" t="s">
        <v>21</v>
      </c>
      <c r="E751" t="s">
        <v>17</v>
      </c>
      <c r="F751">
        <v>141.52600000000001</v>
      </c>
      <c r="G751" t="s">
        <v>15</v>
      </c>
    </row>
    <row r="752" spans="1:7" x14ac:dyDescent="0.25">
      <c r="A752">
        <v>54</v>
      </c>
      <c r="B752" t="s">
        <v>335</v>
      </c>
      <c r="C752">
        <v>90</v>
      </c>
      <c r="D752" t="s">
        <v>123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335</v>
      </c>
      <c r="C753">
        <v>100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335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335</v>
      </c>
      <c r="C755">
        <v>120</v>
      </c>
      <c r="D755" t="s">
        <v>27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335</v>
      </c>
      <c r="C756">
        <v>130</v>
      </c>
      <c r="D756" t="s">
        <v>116</v>
      </c>
      <c r="E756" t="s">
        <v>14</v>
      </c>
      <c r="F756">
        <v>1.135</v>
      </c>
      <c r="G756" t="s">
        <v>15</v>
      </c>
    </row>
    <row r="757" spans="1:7" x14ac:dyDescent="0.25">
      <c r="A757">
        <v>54</v>
      </c>
      <c r="B757" t="s">
        <v>335</v>
      </c>
      <c r="C757">
        <v>140</v>
      </c>
      <c r="D757" t="s">
        <v>338</v>
      </c>
      <c r="E757" t="s">
        <v>11</v>
      </c>
      <c r="F757">
        <v>1</v>
      </c>
      <c r="G757" t="s">
        <v>18</v>
      </c>
    </row>
    <row r="758" spans="1:7" x14ac:dyDescent="0.25">
      <c r="A758">
        <v>55</v>
      </c>
      <c r="B758" t="s">
        <v>339</v>
      </c>
      <c r="C758">
        <v>10</v>
      </c>
      <c r="D758" t="s">
        <v>477</v>
      </c>
      <c r="E758" t="s">
        <v>11</v>
      </c>
      <c r="F758">
        <v>1</v>
      </c>
      <c r="G758" t="s">
        <v>18</v>
      </c>
    </row>
    <row r="759" spans="1:7" x14ac:dyDescent="0.25">
      <c r="A759">
        <v>55</v>
      </c>
      <c r="B759" t="s">
        <v>339</v>
      </c>
      <c r="C759">
        <v>20</v>
      </c>
      <c r="D759" t="s">
        <v>114</v>
      </c>
      <c r="E759" t="s">
        <v>17</v>
      </c>
      <c r="F759">
        <v>0.78700000000000003</v>
      </c>
      <c r="G759" t="s">
        <v>18</v>
      </c>
    </row>
    <row r="760" spans="1:7" x14ac:dyDescent="0.25">
      <c r="A760">
        <v>55</v>
      </c>
      <c r="B760" t="s">
        <v>339</v>
      </c>
      <c r="C760">
        <v>30</v>
      </c>
      <c r="D760" t="s">
        <v>340</v>
      </c>
      <c r="E760" t="s">
        <v>11</v>
      </c>
      <c r="F760">
        <v>1</v>
      </c>
      <c r="G760" t="s">
        <v>18</v>
      </c>
    </row>
    <row r="761" spans="1:7" x14ac:dyDescent="0.25">
      <c r="A761">
        <v>55</v>
      </c>
      <c r="B761" t="s">
        <v>339</v>
      </c>
      <c r="C761">
        <v>40</v>
      </c>
      <c r="D761" t="s">
        <v>341</v>
      </c>
      <c r="E761" t="s">
        <v>11</v>
      </c>
      <c r="F761">
        <v>1</v>
      </c>
      <c r="G761" t="s">
        <v>18</v>
      </c>
    </row>
    <row r="762" spans="1:7" x14ac:dyDescent="0.25">
      <c r="A762">
        <v>55</v>
      </c>
      <c r="B762" t="s">
        <v>339</v>
      </c>
      <c r="C762">
        <v>50</v>
      </c>
      <c r="D762" t="s">
        <v>115</v>
      </c>
      <c r="E762" t="s">
        <v>17</v>
      </c>
      <c r="F762">
        <v>0.78700000000000003</v>
      </c>
      <c r="G762" t="s">
        <v>18</v>
      </c>
    </row>
    <row r="763" spans="1:7" x14ac:dyDescent="0.25">
      <c r="A763">
        <v>55</v>
      </c>
      <c r="B763" t="s">
        <v>339</v>
      </c>
      <c r="C763">
        <v>60</v>
      </c>
      <c r="D763" t="s">
        <v>109</v>
      </c>
      <c r="E763" t="s">
        <v>110</v>
      </c>
      <c r="F763">
        <v>0.33900000000000002</v>
      </c>
      <c r="G763" t="s">
        <v>15</v>
      </c>
    </row>
    <row r="764" spans="1:7" x14ac:dyDescent="0.25">
      <c r="A764">
        <v>55</v>
      </c>
      <c r="B764" t="s">
        <v>339</v>
      </c>
      <c r="C764">
        <v>70</v>
      </c>
      <c r="D764" t="s">
        <v>111</v>
      </c>
      <c r="E764" t="s">
        <v>17</v>
      </c>
      <c r="F764">
        <v>17.068999999999999</v>
      </c>
      <c r="G764" t="s">
        <v>15</v>
      </c>
    </row>
    <row r="765" spans="1:7" x14ac:dyDescent="0.25">
      <c r="A765">
        <v>55</v>
      </c>
      <c r="B765" t="s">
        <v>339</v>
      </c>
      <c r="C765">
        <v>80</v>
      </c>
      <c r="D765" t="s">
        <v>21</v>
      </c>
      <c r="E765" t="s">
        <v>17</v>
      </c>
      <c r="F765">
        <v>104.973</v>
      </c>
      <c r="G765" t="s">
        <v>15</v>
      </c>
    </row>
    <row r="766" spans="1:7" x14ac:dyDescent="0.25">
      <c r="A766">
        <v>55</v>
      </c>
      <c r="B766" t="s">
        <v>339</v>
      </c>
      <c r="C766">
        <v>90</v>
      </c>
      <c r="D766" t="s">
        <v>123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339</v>
      </c>
      <c r="C767">
        <v>100</v>
      </c>
      <c r="D767" t="s">
        <v>25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339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339</v>
      </c>
      <c r="C769">
        <v>120</v>
      </c>
      <c r="D769" t="s">
        <v>27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339</v>
      </c>
      <c r="C770">
        <v>130</v>
      </c>
      <c r="D770" t="s">
        <v>116</v>
      </c>
      <c r="E770" t="s">
        <v>14</v>
      </c>
      <c r="F770">
        <v>1.216</v>
      </c>
      <c r="G770" t="s">
        <v>15</v>
      </c>
    </row>
    <row r="771" spans="1:7" x14ac:dyDescent="0.25">
      <c r="A771">
        <v>55</v>
      </c>
      <c r="B771" t="s">
        <v>339</v>
      </c>
      <c r="C771">
        <v>140</v>
      </c>
      <c r="D771" t="s">
        <v>342</v>
      </c>
      <c r="E771" t="s">
        <v>11</v>
      </c>
      <c r="F771">
        <v>1</v>
      </c>
      <c r="G771" t="s">
        <v>18</v>
      </c>
    </row>
    <row r="772" spans="1:7" x14ac:dyDescent="0.25">
      <c r="A772">
        <v>56</v>
      </c>
      <c r="B772" t="s">
        <v>343</v>
      </c>
      <c r="C772">
        <v>10</v>
      </c>
      <c r="D772" t="s">
        <v>478</v>
      </c>
      <c r="E772" t="s">
        <v>11</v>
      </c>
      <c r="F772">
        <v>1</v>
      </c>
      <c r="G772" t="s">
        <v>18</v>
      </c>
    </row>
    <row r="773" spans="1:7" x14ac:dyDescent="0.25">
      <c r="A773">
        <v>56</v>
      </c>
      <c r="B773" t="s">
        <v>343</v>
      </c>
      <c r="C773">
        <v>20</v>
      </c>
      <c r="D773" t="s">
        <v>114</v>
      </c>
      <c r="E773" t="s">
        <v>17</v>
      </c>
      <c r="F773">
        <v>0.94</v>
      </c>
      <c r="G773" t="s">
        <v>18</v>
      </c>
    </row>
    <row r="774" spans="1:7" x14ac:dyDescent="0.25">
      <c r="A774">
        <v>56</v>
      </c>
      <c r="B774" t="s">
        <v>343</v>
      </c>
      <c r="C774">
        <v>30</v>
      </c>
      <c r="D774" t="s">
        <v>344</v>
      </c>
      <c r="E774" t="s">
        <v>11</v>
      </c>
      <c r="F774">
        <v>1</v>
      </c>
      <c r="G774" t="s">
        <v>18</v>
      </c>
    </row>
    <row r="775" spans="1:7" x14ac:dyDescent="0.25">
      <c r="A775">
        <v>56</v>
      </c>
      <c r="B775" t="s">
        <v>343</v>
      </c>
      <c r="C775">
        <v>40</v>
      </c>
      <c r="D775" t="s">
        <v>345</v>
      </c>
      <c r="E775" t="s">
        <v>11</v>
      </c>
      <c r="F775">
        <v>1</v>
      </c>
      <c r="G775" t="s">
        <v>18</v>
      </c>
    </row>
    <row r="776" spans="1:7" x14ac:dyDescent="0.25">
      <c r="A776">
        <v>56</v>
      </c>
      <c r="B776" t="s">
        <v>343</v>
      </c>
      <c r="C776">
        <v>50</v>
      </c>
      <c r="D776" t="s">
        <v>115</v>
      </c>
      <c r="E776" t="s">
        <v>17</v>
      </c>
      <c r="F776">
        <v>0.94</v>
      </c>
      <c r="G776" t="s">
        <v>18</v>
      </c>
    </row>
    <row r="777" spans="1:7" x14ac:dyDescent="0.25">
      <c r="A777">
        <v>56</v>
      </c>
      <c r="B777" t="s">
        <v>343</v>
      </c>
      <c r="C777">
        <v>60</v>
      </c>
      <c r="D777" t="s">
        <v>109</v>
      </c>
      <c r="E777" t="s">
        <v>110</v>
      </c>
      <c r="F777">
        <v>0.40899999999999997</v>
      </c>
      <c r="G777" t="s">
        <v>15</v>
      </c>
    </row>
    <row r="778" spans="1:7" x14ac:dyDescent="0.25">
      <c r="A778">
        <v>56</v>
      </c>
      <c r="B778" t="s">
        <v>343</v>
      </c>
      <c r="C778">
        <v>70</v>
      </c>
      <c r="D778" t="s">
        <v>111</v>
      </c>
      <c r="E778" t="s">
        <v>17</v>
      </c>
      <c r="F778">
        <v>17.983000000000001</v>
      </c>
      <c r="G778" t="s">
        <v>15</v>
      </c>
    </row>
    <row r="779" spans="1:7" x14ac:dyDescent="0.25">
      <c r="A779">
        <v>56</v>
      </c>
      <c r="B779" t="s">
        <v>343</v>
      </c>
      <c r="C779">
        <v>80</v>
      </c>
      <c r="D779" t="s">
        <v>21</v>
      </c>
      <c r="E779" t="s">
        <v>17</v>
      </c>
      <c r="F779">
        <v>110.59699999999999</v>
      </c>
      <c r="G779" t="s">
        <v>15</v>
      </c>
    </row>
    <row r="780" spans="1:7" x14ac:dyDescent="0.25">
      <c r="A780">
        <v>56</v>
      </c>
      <c r="B780" t="s">
        <v>343</v>
      </c>
      <c r="C780">
        <v>90</v>
      </c>
      <c r="D780" t="s">
        <v>123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343</v>
      </c>
      <c r="C781">
        <v>100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343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343</v>
      </c>
      <c r="C783">
        <v>120</v>
      </c>
      <c r="D783" t="s">
        <v>27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343</v>
      </c>
      <c r="C784">
        <v>130</v>
      </c>
      <c r="D784" t="s">
        <v>116</v>
      </c>
      <c r="E784" t="s">
        <v>14</v>
      </c>
      <c r="F784">
        <v>1.216</v>
      </c>
      <c r="G784" t="s">
        <v>15</v>
      </c>
    </row>
    <row r="785" spans="1:7" x14ac:dyDescent="0.25">
      <c r="A785">
        <v>56</v>
      </c>
      <c r="B785" t="s">
        <v>343</v>
      </c>
      <c r="C785">
        <v>140</v>
      </c>
      <c r="D785" t="s">
        <v>346</v>
      </c>
      <c r="E785" t="s">
        <v>11</v>
      </c>
      <c r="F785">
        <v>1</v>
      </c>
      <c r="G785" t="s">
        <v>18</v>
      </c>
    </row>
    <row r="786" spans="1:7" x14ac:dyDescent="0.25">
      <c r="A786">
        <v>57</v>
      </c>
      <c r="B786" t="s">
        <v>347</v>
      </c>
      <c r="C786">
        <v>10</v>
      </c>
      <c r="D786" t="s">
        <v>479</v>
      </c>
      <c r="E786" t="s">
        <v>11</v>
      </c>
      <c r="F786">
        <v>1</v>
      </c>
      <c r="G786" t="s">
        <v>18</v>
      </c>
    </row>
    <row r="787" spans="1:7" x14ac:dyDescent="0.25">
      <c r="A787">
        <v>57</v>
      </c>
      <c r="B787" t="s">
        <v>347</v>
      </c>
      <c r="C787">
        <v>20</v>
      </c>
      <c r="D787" t="s">
        <v>114</v>
      </c>
      <c r="E787" t="s">
        <v>17</v>
      </c>
      <c r="F787">
        <v>1.0920000000000001</v>
      </c>
      <c r="G787" t="s">
        <v>18</v>
      </c>
    </row>
    <row r="788" spans="1:7" x14ac:dyDescent="0.25">
      <c r="A788">
        <v>57</v>
      </c>
      <c r="B788" t="s">
        <v>347</v>
      </c>
      <c r="C788">
        <v>30</v>
      </c>
      <c r="D788" t="s">
        <v>348</v>
      </c>
      <c r="E788" t="s">
        <v>11</v>
      </c>
      <c r="F788">
        <v>1</v>
      </c>
      <c r="G788" t="s">
        <v>18</v>
      </c>
    </row>
    <row r="789" spans="1:7" x14ac:dyDescent="0.25">
      <c r="A789">
        <v>57</v>
      </c>
      <c r="B789" t="s">
        <v>347</v>
      </c>
      <c r="C789">
        <v>40</v>
      </c>
      <c r="D789" t="s">
        <v>349</v>
      </c>
      <c r="E789" t="s">
        <v>11</v>
      </c>
      <c r="F789">
        <v>1</v>
      </c>
      <c r="G789" t="s">
        <v>18</v>
      </c>
    </row>
    <row r="790" spans="1:7" x14ac:dyDescent="0.25">
      <c r="A790">
        <v>57</v>
      </c>
      <c r="B790" t="s">
        <v>347</v>
      </c>
      <c r="C790">
        <v>50</v>
      </c>
      <c r="D790" t="s">
        <v>115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57</v>
      </c>
      <c r="B791" t="s">
        <v>347</v>
      </c>
      <c r="C791">
        <v>60</v>
      </c>
      <c r="D791" t="s">
        <v>109</v>
      </c>
      <c r="E791" t="s">
        <v>110</v>
      </c>
      <c r="F791">
        <v>0.47899999999999998</v>
      </c>
      <c r="G791" t="s">
        <v>15</v>
      </c>
    </row>
    <row r="792" spans="1:7" x14ac:dyDescent="0.25">
      <c r="A792">
        <v>57</v>
      </c>
      <c r="B792" t="s">
        <v>347</v>
      </c>
      <c r="C792">
        <v>70</v>
      </c>
      <c r="D792" t="s">
        <v>111</v>
      </c>
      <c r="E792" t="s">
        <v>17</v>
      </c>
      <c r="F792">
        <v>18.898</v>
      </c>
      <c r="G792" t="s">
        <v>15</v>
      </c>
    </row>
    <row r="793" spans="1:7" x14ac:dyDescent="0.25">
      <c r="A793">
        <v>57</v>
      </c>
      <c r="B793" t="s">
        <v>347</v>
      </c>
      <c r="C793">
        <v>80</v>
      </c>
      <c r="D793" t="s">
        <v>21</v>
      </c>
      <c r="E793" t="s">
        <v>17</v>
      </c>
      <c r="F793">
        <v>116.22</v>
      </c>
      <c r="G793" t="s">
        <v>15</v>
      </c>
    </row>
    <row r="794" spans="1:7" x14ac:dyDescent="0.25">
      <c r="A794">
        <v>57</v>
      </c>
      <c r="B794" t="s">
        <v>347</v>
      </c>
      <c r="C794">
        <v>90</v>
      </c>
      <c r="D794" t="s">
        <v>123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347</v>
      </c>
      <c r="C795">
        <v>100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347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347</v>
      </c>
      <c r="C797">
        <v>120</v>
      </c>
      <c r="D797" t="s">
        <v>27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347</v>
      </c>
      <c r="C798">
        <v>130</v>
      </c>
      <c r="D798" t="s">
        <v>116</v>
      </c>
      <c r="E798" t="s">
        <v>14</v>
      </c>
      <c r="F798">
        <v>1.216</v>
      </c>
      <c r="G798" t="s">
        <v>15</v>
      </c>
    </row>
    <row r="799" spans="1:7" x14ac:dyDescent="0.25">
      <c r="A799">
        <v>57</v>
      </c>
      <c r="B799" t="s">
        <v>347</v>
      </c>
      <c r="C799">
        <v>140</v>
      </c>
      <c r="D799" t="s">
        <v>350</v>
      </c>
      <c r="E799" t="s">
        <v>11</v>
      </c>
      <c r="F799">
        <v>1</v>
      </c>
      <c r="G799" t="s">
        <v>18</v>
      </c>
    </row>
    <row r="800" spans="1:7" x14ac:dyDescent="0.25">
      <c r="A800">
        <v>58</v>
      </c>
      <c r="B800" t="s">
        <v>351</v>
      </c>
      <c r="C800">
        <v>10</v>
      </c>
      <c r="D800" t="s">
        <v>480</v>
      </c>
      <c r="E800" t="s">
        <v>11</v>
      </c>
      <c r="F800">
        <v>1</v>
      </c>
      <c r="G800" t="s">
        <v>18</v>
      </c>
    </row>
    <row r="801" spans="1:7" x14ac:dyDescent="0.25">
      <c r="A801">
        <v>58</v>
      </c>
      <c r="B801" t="s">
        <v>351</v>
      </c>
      <c r="C801">
        <v>20</v>
      </c>
      <c r="D801" t="s">
        <v>114</v>
      </c>
      <c r="E801" t="s">
        <v>17</v>
      </c>
      <c r="F801">
        <v>1.2450000000000001</v>
      </c>
      <c r="G801" t="s">
        <v>18</v>
      </c>
    </row>
    <row r="802" spans="1:7" x14ac:dyDescent="0.25">
      <c r="A802">
        <v>58</v>
      </c>
      <c r="B802" t="s">
        <v>351</v>
      </c>
      <c r="C802">
        <v>30</v>
      </c>
      <c r="D802" t="s">
        <v>352</v>
      </c>
      <c r="E802" t="s">
        <v>11</v>
      </c>
      <c r="F802">
        <v>1</v>
      </c>
      <c r="G802" t="s">
        <v>18</v>
      </c>
    </row>
    <row r="803" spans="1:7" x14ac:dyDescent="0.25">
      <c r="A803">
        <v>58</v>
      </c>
      <c r="B803" t="s">
        <v>351</v>
      </c>
      <c r="C803">
        <v>40</v>
      </c>
      <c r="D803" t="s">
        <v>353</v>
      </c>
      <c r="E803" t="s">
        <v>11</v>
      </c>
      <c r="F803">
        <v>1</v>
      </c>
      <c r="G803" t="s">
        <v>18</v>
      </c>
    </row>
    <row r="804" spans="1:7" x14ac:dyDescent="0.25">
      <c r="A804">
        <v>58</v>
      </c>
      <c r="B804" t="s">
        <v>351</v>
      </c>
      <c r="C804">
        <v>50</v>
      </c>
      <c r="D804" t="s">
        <v>115</v>
      </c>
      <c r="E804" t="s">
        <v>17</v>
      </c>
      <c r="F804">
        <v>1.2450000000000001</v>
      </c>
      <c r="G804" t="s">
        <v>18</v>
      </c>
    </row>
    <row r="805" spans="1:7" x14ac:dyDescent="0.25">
      <c r="A805">
        <v>58</v>
      </c>
      <c r="B805" t="s">
        <v>351</v>
      </c>
      <c r="C805">
        <v>60</v>
      </c>
      <c r="D805" t="s">
        <v>109</v>
      </c>
      <c r="E805" t="s">
        <v>110</v>
      </c>
      <c r="F805">
        <v>0.55000000000000004</v>
      </c>
      <c r="G805" t="s">
        <v>15</v>
      </c>
    </row>
    <row r="806" spans="1:7" x14ac:dyDescent="0.25">
      <c r="A806">
        <v>58</v>
      </c>
      <c r="B806" t="s">
        <v>351</v>
      </c>
      <c r="C806">
        <v>70</v>
      </c>
      <c r="D806" t="s">
        <v>111</v>
      </c>
      <c r="E806" t="s">
        <v>17</v>
      </c>
      <c r="F806">
        <v>19.812000000000001</v>
      </c>
      <c r="G806" t="s">
        <v>15</v>
      </c>
    </row>
    <row r="807" spans="1:7" x14ac:dyDescent="0.25">
      <c r="A807">
        <v>58</v>
      </c>
      <c r="B807" t="s">
        <v>351</v>
      </c>
      <c r="C807">
        <v>80</v>
      </c>
      <c r="D807" t="s">
        <v>21</v>
      </c>
      <c r="E807" t="s">
        <v>17</v>
      </c>
      <c r="F807">
        <v>121.84399999999999</v>
      </c>
      <c r="G807" t="s">
        <v>15</v>
      </c>
    </row>
    <row r="808" spans="1:7" x14ac:dyDescent="0.25">
      <c r="A808">
        <v>58</v>
      </c>
      <c r="B808" t="s">
        <v>351</v>
      </c>
      <c r="C808">
        <v>90</v>
      </c>
      <c r="D808" t="s">
        <v>123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351</v>
      </c>
      <c r="C809">
        <v>100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351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351</v>
      </c>
      <c r="C811">
        <v>120</v>
      </c>
      <c r="D811" t="s">
        <v>27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351</v>
      </c>
      <c r="C812">
        <v>130</v>
      </c>
      <c r="D812" t="s">
        <v>116</v>
      </c>
      <c r="E812" t="s">
        <v>14</v>
      </c>
      <c r="F812">
        <v>1.216</v>
      </c>
      <c r="G812" t="s">
        <v>15</v>
      </c>
    </row>
    <row r="813" spans="1:7" x14ac:dyDescent="0.25">
      <c r="A813">
        <v>58</v>
      </c>
      <c r="B813" t="s">
        <v>351</v>
      </c>
      <c r="C813">
        <v>140</v>
      </c>
      <c r="D813" t="s">
        <v>354</v>
      </c>
      <c r="E813" t="s">
        <v>11</v>
      </c>
      <c r="F813">
        <v>1</v>
      </c>
      <c r="G813" t="s">
        <v>18</v>
      </c>
    </row>
    <row r="814" spans="1:7" x14ac:dyDescent="0.25">
      <c r="A814">
        <v>59</v>
      </c>
      <c r="B814" t="s">
        <v>355</v>
      </c>
      <c r="C814">
        <v>10</v>
      </c>
      <c r="D814" t="s">
        <v>481</v>
      </c>
      <c r="E814" t="s">
        <v>11</v>
      </c>
      <c r="F814">
        <v>1</v>
      </c>
      <c r="G814" t="s">
        <v>18</v>
      </c>
    </row>
    <row r="815" spans="1:7" x14ac:dyDescent="0.25">
      <c r="A815">
        <v>59</v>
      </c>
      <c r="B815" t="s">
        <v>355</v>
      </c>
      <c r="C815">
        <v>20</v>
      </c>
      <c r="D815" t="s">
        <v>114</v>
      </c>
      <c r="E815" t="s">
        <v>17</v>
      </c>
      <c r="F815">
        <v>1.5489999999999999</v>
      </c>
      <c r="G815" t="s">
        <v>18</v>
      </c>
    </row>
    <row r="816" spans="1:7" x14ac:dyDescent="0.25">
      <c r="A816">
        <v>59</v>
      </c>
      <c r="B816" t="s">
        <v>355</v>
      </c>
      <c r="C816">
        <v>30</v>
      </c>
      <c r="D816" t="s">
        <v>356</v>
      </c>
      <c r="E816" t="s">
        <v>11</v>
      </c>
      <c r="F816">
        <v>1</v>
      </c>
      <c r="G816" t="s">
        <v>18</v>
      </c>
    </row>
    <row r="817" spans="1:7" x14ac:dyDescent="0.25">
      <c r="A817">
        <v>59</v>
      </c>
      <c r="B817" t="s">
        <v>355</v>
      </c>
      <c r="C817">
        <v>40</v>
      </c>
      <c r="D817" t="s">
        <v>357</v>
      </c>
      <c r="E817" t="s">
        <v>11</v>
      </c>
      <c r="F817">
        <v>1</v>
      </c>
      <c r="G817" t="s">
        <v>18</v>
      </c>
    </row>
    <row r="818" spans="1:7" x14ac:dyDescent="0.25">
      <c r="A818">
        <v>59</v>
      </c>
      <c r="B818" t="s">
        <v>355</v>
      </c>
      <c r="C818">
        <v>50</v>
      </c>
      <c r="D818" t="s">
        <v>115</v>
      </c>
      <c r="E818" t="s">
        <v>17</v>
      </c>
      <c r="F818">
        <v>1.5489999999999999</v>
      </c>
      <c r="G818" t="s">
        <v>18</v>
      </c>
    </row>
    <row r="819" spans="1:7" x14ac:dyDescent="0.25">
      <c r="A819">
        <v>59</v>
      </c>
      <c r="B819" t="s">
        <v>355</v>
      </c>
      <c r="C819">
        <v>60</v>
      </c>
      <c r="D819" t="s">
        <v>109</v>
      </c>
      <c r="E819" t="s">
        <v>110</v>
      </c>
      <c r="F819">
        <v>0.69</v>
      </c>
      <c r="G819" t="s">
        <v>15</v>
      </c>
    </row>
    <row r="820" spans="1:7" x14ac:dyDescent="0.25">
      <c r="A820">
        <v>59</v>
      </c>
      <c r="B820" t="s">
        <v>355</v>
      </c>
      <c r="C820">
        <v>70</v>
      </c>
      <c r="D820" t="s">
        <v>111</v>
      </c>
      <c r="E820" t="s">
        <v>17</v>
      </c>
      <c r="F820">
        <v>21.640999999999998</v>
      </c>
      <c r="G820" t="s">
        <v>15</v>
      </c>
    </row>
    <row r="821" spans="1:7" x14ac:dyDescent="0.25">
      <c r="A821">
        <v>59</v>
      </c>
      <c r="B821" t="s">
        <v>355</v>
      </c>
      <c r="C821">
        <v>80</v>
      </c>
      <c r="D821" t="s">
        <v>21</v>
      </c>
      <c r="E821" t="s">
        <v>17</v>
      </c>
      <c r="F821">
        <v>133.09100000000001</v>
      </c>
      <c r="G821" t="s">
        <v>15</v>
      </c>
    </row>
    <row r="822" spans="1:7" x14ac:dyDescent="0.25">
      <c r="A822">
        <v>59</v>
      </c>
      <c r="B822" t="s">
        <v>355</v>
      </c>
      <c r="C822">
        <v>90</v>
      </c>
      <c r="D822" t="s">
        <v>123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355</v>
      </c>
      <c r="C823">
        <v>100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355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355</v>
      </c>
      <c r="C825">
        <v>120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355</v>
      </c>
      <c r="C826">
        <v>130</v>
      </c>
      <c r="D826" t="s">
        <v>116</v>
      </c>
      <c r="E826" t="s">
        <v>14</v>
      </c>
      <c r="F826">
        <v>1.216</v>
      </c>
      <c r="G826" t="s">
        <v>15</v>
      </c>
    </row>
    <row r="827" spans="1:7" x14ac:dyDescent="0.25">
      <c r="A827">
        <v>59</v>
      </c>
      <c r="B827" t="s">
        <v>355</v>
      </c>
      <c r="C827">
        <v>140</v>
      </c>
      <c r="D827" t="s">
        <v>358</v>
      </c>
      <c r="E827" t="s">
        <v>11</v>
      </c>
      <c r="F827">
        <v>1</v>
      </c>
      <c r="G827" t="s">
        <v>18</v>
      </c>
    </row>
    <row r="828" spans="1:7" x14ac:dyDescent="0.25">
      <c r="A828">
        <v>60</v>
      </c>
      <c r="B828" t="s">
        <v>359</v>
      </c>
      <c r="C828">
        <v>10</v>
      </c>
      <c r="D828" t="s">
        <v>482</v>
      </c>
      <c r="E828" t="s">
        <v>11</v>
      </c>
      <c r="F828">
        <v>1</v>
      </c>
      <c r="G828" t="s">
        <v>18</v>
      </c>
    </row>
    <row r="829" spans="1:7" x14ac:dyDescent="0.25">
      <c r="A829">
        <v>60</v>
      </c>
      <c r="B829" t="s">
        <v>359</v>
      </c>
      <c r="C829">
        <v>20</v>
      </c>
      <c r="D829" t="s">
        <v>114</v>
      </c>
      <c r="E829" t="s">
        <v>17</v>
      </c>
      <c r="F829">
        <v>1.702</v>
      </c>
      <c r="G829" t="s">
        <v>18</v>
      </c>
    </row>
    <row r="830" spans="1:7" x14ac:dyDescent="0.25">
      <c r="A830">
        <v>60</v>
      </c>
      <c r="B830" t="s">
        <v>359</v>
      </c>
      <c r="C830">
        <v>30</v>
      </c>
      <c r="D830" t="s">
        <v>360</v>
      </c>
      <c r="E830" t="s">
        <v>11</v>
      </c>
      <c r="F830">
        <v>1</v>
      </c>
      <c r="G830" t="s">
        <v>18</v>
      </c>
    </row>
    <row r="831" spans="1:7" x14ac:dyDescent="0.25">
      <c r="A831">
        <v>60</v>
      </c>
      <c r="B831" t="s">
        <v>359</v>
      </c>
      <c r="C831">
        <v>40</v>
      </c>
      <c r="D831" t="s">
        <v>361</v>
      </c>
      <c r="E831" t="s">
        <v>11</v>
      </c>
      <c r="F831">
        <v>1</v>
      </c>
      <c r="G831" t="s">
        <v>18</v>
      </c>
    </row>
    <row r="832" spans="1:7" x14ac:dyDescent="0.25">
      <c r="A832">
        <v>60</v>
      </c>
      <c r="B832" t="s">
        <v>359</v>
      </c>
      <c r="C832">
        <v>50</v>
      </c>
      <c r="D832" t="s">
        <v>115</v>
      </c>
      <c r="E832" t="s">
        <v>17</v>
      </c>
      <c r="F832">
        <v>1.702</v>
      </c>
      <c r="G832" t="s">
        <v>18</v>
      </c>
    </row>
    <row r="833" spans="1:7" x14ac:dyDescent="0.25">
      <c r="A833">
        <v>60</v>
      </c>
      <c r="B833" t="s">
        <v>359</v>
      </c>
      <c r="C833">
        <v>60</v>
      </c>
      <c r="D833" t="s">
        <v>109</v>
      </c>
      <c r="E833" t="s">
        <v>110</v>
      </c>
      <c r="F833">
        <v>0.76</v>
      </c>
      <c r="G833" t="s">
        <v>15</v>
      </c>
    </row>
    <row r="834" spans="1:7" x14ac:dyDescent="0.25">
      <c r="A834">
        <v>60</v>
      </c>
      <c r="B834" t="s">
        <v>359</v>
      </c>
      <c r="C834">
        <v>70</v>
      </c>
      <c r="D834" t="s">
        <v>111</v>
      </c>
      <c r="E834" t="s">
        <v>17</v>
      </c>
      <c r="F834">
        <v>22.555</v>
      </c>
      <c r="G834" t="s">
        <v>15</v>
      </c>
    </row>
    <row r="835" spans="1:7" x14ac:dyDescent="0.25">
      <c r="A835">
        <v>60</v>
      </c>
      <c r="B835" t="s">
        <v>359</v>
      </c>
      <c r="C835">
        <v>80</v>
      </c>
      <c r="D835" t="s">
        <v>21</v>
      </c>
      <c r="E835" t="s">
        <v>17</v>
      </c>
      <c r="F835">
        <v>138.714</v>
      </c>
      <c r="G835" t="s">
        <v>15</v>
      </c>
    </row>
    <row r="836" spans="1:7" x14ac:dyDescent="0.25">
      <c r="A836">
        <v>60</v>
      </c>
      <c r="B836" t="s">
        <v>359</v>
      </c>
      <c r="C836">
        <v>90</v>
      </c>
      <c r="D836" t="s">
        <v>123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359</v>
      </c>
      <c r="C837">
        <v>100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359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359</v>
      </c>
      <c r="C839">
        <v>120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359</v>
      </c>
      <c r="C840">
        <v>130</v>
      </c>
      <c r="D840" t="s">
        <v>116</v>
      </c>
      <c r="E840" t="s">
        <v>14</v>
      </c>
      <c r="F840">
        <v>1.216</v>
      </c>
      <c r="G840" t="s">
        <v>15</v>
      </c>
    </row>
    <row r="841" spans="1:7" x14ac:dyDescent="0.25">
      <c r="A841">
        <v>60</v>
      </c>
      <c r="B841" t="s">
        <v>359</v>
      </c>
      <c r="C841">
        <v>140</v>
      </c>
      <c r="D841" t="s">
        <v>362</v>
      </c>
      <c r="E841" t="s">
        <v>11</v>
      </c>
      <c r="F841">
        <v>1</v>
      </c>
      <c r="G841" t="s">
        <v>18</v>
      </c>
    </row>
    <row r="842" spans="1:7" x14ac:dyDescent="0.25">
      <c r="A842">
        <v>61</v>
      </c>
      <c r="B842" t="s">
        <v>363</v>
      </c>
      <c r="C842">
        <v>10</v>
      </c>
      <c r="D842" t="s">
        <v>483</v>
      </c>
      <c r="E842" t="s">
        <v>11</v>
      </c>
      <c r="F842">
        <v>1</v>
      </c>
      <c r="G842" t="s">
        <v>18</v>
      </c>
    </row>
    <row r="843" spans="1:7" x14ac:dyDescent="0.25">
      <c r="A843">
        <v>61</v>
      </c>
      <c r="B843" t="s">
        <v>363</v>
      </c>
      <c r="C843">
        <v>20</v>
      </c>
      <c r="D843" t="s">
        <v>114</v>
      </c>
      <c r="E843" t="s">
        <v>17</v>
      </c>
      <c r="F843">
        <v>1.8540000000000001</v>
      </c>
      <c r="G843" t="s">
        <v>18</v>
      </c>
    </row>
    <row r="844" spans="1:7" x14ac:dyDescent="0.25">
      <c r="A844">
        <v>61</v>
      </c>
      <c r="B844" t="s">
        <v>363</v>
      </c>
      <c r="C844">
        <v>30</v>
      </c>
      <c r="D844" t="s">
        <v>364</v>
      </c>
      <c r="E844" t="s">
        <v>11</v>
      </c>
      <c r="F844">
        <v>1</v>
      </c>
      <c r="G844" t="s">
        <v>18</v>
      </c>
    </row>
    <row r="845" spans="1:7" x14ac:dyDescent="0.25">
      <c r="A845">
        <v>61</v>
      </c>
      <c r="B845" t="s">
        <v>363</v>
      </c>
      <c r="C845">
        <v>40</v>
      </c>
      <c r="D845" t="s">
        <v>365</v>
      </c>
      <c r="E845" t="s">
        <v>11</v>
      </c>
      <c r="F845">
        <v>1</v>
      </c>
      <c r="G845" t="s">
        <v>18</v>
      </c>
    </row>
    <row r="846" spans="1:7" x14ac:dyDescent="0.25">
      <c r="A846">
        <v>61</v>
      </c>
      <c r="B846" t="s">
        <v>363</v>
      </c>
      <c r="C846">
        <v>50</v>
      </c>
      <c r="D846" t="s">
        <v>115</v>
      </c>
      <c r="E846" t="s">
        <v>17</v>
      </c>
      <c r="F846">
        <v>1.8540000000000001</v>
      </c>
      <c r="G846" t="s">
        <v>18</v>
      </c>
    </row>
    <row r="847" spans="1:7" x14ac:dyDescent="0.25">
      <c r="A847">
        <v>61</v>
      </c>
      <c r="B847" t="s">
        <v>363</v>
      </c>
      <c r="C847">
        <v>60</v>
      </c>
      <c r="D847" t="s">
        <v>109</v>
      </c>
      <c r="E847" t="s">
        <v>110</v>
      </c>
      <c r="F847">
        <v>0.83</v>
      </c>
      <c r="G847" t="s">
        <v>15</v>
      </c>
    </row>
    <row r="848" spans="1:7" x14ac:dyDescent="0.25">
      <c r="A848">
        <v>61</v>
      </c>
      <c r="B848" t="s">
        <v>363</v>
      </c>
      <c r="C848">
        <v>70</v>
      </c>
      <c r="D848" t="s">
        <v>111</v>
      </c>
      <c r="E848" t="s">
        <v>17</v>
      </c>
      <c r="F848">
        <v>23.47</v>
      </c>
      <c r="G848" t="s">
        <v>15</v>
      </c>
    </row>
    <row r="849" spans="1:7" x14ac:dyDescent="0.25">
      <c r="A849">
        <v>61</v>
      </c>
      <c r="B849" t="s">
        <v>363</v>
      </c>
      <c r="C849">
        <v>80</v>
      </c>
      <c r="D849" t="s">
        <v>21</v>
      </c>
      <c r="E849" t="s">
        <v>17</v>
      </c>
      <c r="F849">
        <v>144.33799999999999</v>
      </c>
      <c r="G849" t="s">
        <v>15</v>
      </c>
    </row>
    <row r="850" spans="1:7" x14ac:dyDescent="0.25">
      <c r="A850">
        <v>61</v>
      </c>
      <c r="B850" t="s">
        <v>363</v>
      </c>
      <c r="C850">
        <v>90</v>
      </c>
      <c r="D850" t="s">
        <v>123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363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363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363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363</v>
      </c>
      <c r="C854">
        <v>130</v>
      </c>
      <c r="D854" t="s">
        <v>116</v>
      </c>
      <c r="E854" t="s">
        <v>14</v>
      </c>
      <c r="F854">
        <v>1.216</v>
      </c>
      <c r="G854" t="s">
        <v>15</v>
      </c>
    </row>
    <row r="855" spans="1:7" x14ac:dyDescent="0.25">
      <c r="A855">
        <v>61</v>
      </c>
      <c r="B855" t="s">
        <v>363</v>
      </c>
      <c r="C855">
        <v>140</v>
      </c>
      <c r="D855" t="s">
        <v>366</v>
      </c>
      <c r="E855" t="s">
        <v>11</v>
      </c>
      <c r="F855">
        <v>1</v>
      </c>
      <c r="G855" t="s">
        <v>18</v>
      </c>
    </row>
    <row r="856" spans="1:7" x14ac:dyDescent="0.25">
      <c r="A856">
        <v>62</v>
      </c>
      <c r="B856" t="s">
        <v>367</v>
      </c>
      <c r="C856">
        <v>10</v>
      </c>
      <c r="D856" t="s">
        <v>484</v>
      </c>
      <c r="E856" t="s">
        <v>11</v>
      </c>
      <c r="F856">
        <v>1</v>
      </c>
      <c r="G856" t="s">
        <v>18</v>
      </c>
    </row>
    <row r="857" spans="1:7" x14ac:dyDescent="0.25">
      <c r="A857">
        <v>62</v>
      </c>
      <c r="B857" t="s">
        <v>367</v>
      </c>
      <c r="C857">
        <v>20</v>
      </c>
      <c r="D857" t="s">
        <v>114</v>
      </c>
      <c r="E857" t="s">
        <v>17</v>
      </c>
      <c r="F857">
        <v>2.0569999999999999</v>
      </c>
      <c r="G857" t="s">
        <v>18</v>
      </c>
    </row>
    <row r="858" spans="1:7" x14ac:dyDescent="0.25">
      <c r="A858">
        <v>62</v>
      </c>
      <c r="B858" t="s">
        <v>367</v>
      </c>
      <c r="C858">
        <v>30</v>
      </c>
      <c r="D858" t="s">
        <v>368</v>
      </c>
      <c r="E858" t="s">
        <v>11</v>
      </c>
      <c r="F858">
        <v>1</v>
      </c>
      <c r="G858" t="s">
        <v>18</v>
      </c>
    </row>
    <row r="859" spans="1:7" x14ac:dyDescent="0.25">
      <c r="A859">
        <v>62</v>
      </c>
      <c r="B859" t="s">
        <v>367</v>
      </c>
      <c r="C859">
        <v>40</v>
      </c>
      <c r="D859" t="s">
        <v>369</v>
      </c>
      <c r="E859" t="s">
        <v>11</v>
      </c>
      <c r="F859">
        <v>1</v>
      </c>
      <c r="G859" t="s">
        <v>18</v>
      </c>
    </row>
    <row r="860" spans="1:7" x14ac:dyDescent="0.25">
      <c r="A860">
        <v>62</v>
      </c>
      <c r="B860" t="s">
        <v>367</v>
      </c>
      <c r="C860">
        <v>50</v>
      </c>
      <c r="D860" t="s">
        <v>115</v>
      </c>
      <c r="E860" t="s">
        <v>17</v>
      </c>
      <c r="F860">
        <v>2.0569999999999999</v>
      </c>
      <c r="G860" t="s">
        <v>18</v>
      </c>
    </row>
    <row r="861" spans="1:7" x14ac:dyDescent="0.25">
      <c r="A861">
        <v>62</v>
      </c>
      <c r="B861" t="s">
        <v>367</v>
      </c>
      <c r="C861">
        <v>60</v>
      </c>
      <c r="D861" t="s">
        <v>109</v>
      </c>
      <c r="E861" t="s">
        <v>110</v>
      </c>
      <c r="F861">
        <v>0.34799999999999998</v>
      </c>
      <c r="G861" t="s">
        <v>15</v>
      </c>
    </row>
    <row r="862" spans="1:7" x14ac:dyDescent="0.25">
      <c r="A862">
        <v>62</v>
      </c>
      <c r="B862" t="s">
        <v>367</v>
      </c>
      <c r="C862">
        <v>70</v>
      </c>
      <c r="D862" t="s">
        <v>111</v>
      </c>
      <c r="E862" t="s">
        <v>17</v>
      </c>
      <c r="F862">
        <v>17.373999999999999</v>
      </c>
      <c r="G862" t="s">
        <v>15</v>
      </c>
    </row>
    <row r="863" spans="1:7" x14ac:dyDescent="0.25">
      <c r="A863">
        <v>62</v>
      </c>
      <c r="B863" t="s">
        <v>367</v>
      </c>
      <c r="C863">
        <v>80</v>
      </c>
      <c r="D863" t="s">
        <v>21</v>
      </c>
      <c r="E863" t="s">
        <v>17</v>
      </c>
      <c r="F863">
        <v>106.848</v>
      </c>
      <c r="G863" t="s">
        <v>15</v>
      </c>
    </row>
    <row r="864" spans="1:7" x14ac:dyDescent="0.25">
      <c r="A864">
        <v>62</v>
      </c>
      <c r="B864" t="s">
        <v>367</v>
      </c>
      <c r="C864">
        <v>90</v>
      </c>
      <c r="D864" t="s">
        <v>123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367</v>
      </c>
      <c r="C865">
        <v>100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367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367</v>
      </c>
      <c r="C867">
        <v>120</v>
      </c>
      <c r="D867" t="s">
        <v>27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367</v>
      </c>
      <c r="C868">
        <v>130</v>
      </c>
      <c r="D868" t="s">
        <v>116</v>
      </c>
      <c r="E868" t="s">
        <v>14</v>
      </c>
      <c r="F868">
        <v>1.2430000000000001</v>
      </c>
      <c r="G868" t="s">
        <v>15</v>
      </c>
    </row>
    <row r="869" spans="1:7" x14ac:dyDescent="0.25">
      <c r="A869">
        <v>62</v>
      </c>
      <c r="B869" t="s">
        <v>367</v>
      </c>
      <c r="C869">
        <v>140</v>
      </c>
      <c r="D869" t="s">
        <v>370</v>
      </c>
      <c r="E869" t="s">
        <v>11</v>
      </c>
      <c r="F869">
        <v>1</v>
      </c>
      <c r="G869" t="s">
        <v>18</v>
      </c>
    </row>
    <row r="870" spans="1:7" x14ac:dyDescent="0.25">
      <c r="A870">
        <v>63</v>
      </c>
      <c r="B870" t="s">
        <v>371</v>
      </c>
      <c r="C870">
        <v>10</v>
      </c>
      <c r="D870" t="s">
        <v>485</v>
      </c>
      <c r="E870" t="s">
        <v>11</v>
      </c>
      <c r="F870">
        <v>1</v>
      </c>
      <c r="G870" t="s">
        <v>18</v>
      </c>
    </row>
    <row r="871" spans="1:7" x14ac:dyDescent="0.25">
      <c r="A871">
        <v>63</v>
      </c>
      <c r="B871" t="s">
        <v>371</v>
      </c>
      <c r="C871">
        <v>20</v>
      </c>
      <c r="D871" t="s">
        <v>114</v>
      </c>
      <c r="E871" t="s">
        <v>17</v>
      </c>
      <c r="F871">
        <v>2.0569999999999999</v>
      </c>
      <c r="G871" t="s">
        <v>18</v>
      </c>
    </row>
    <row r="872" spans="1:7" x14ac:dyDescent="0.25">
      <c r="A872">
        <v>63</v>
      </c>
      <c r="B872" t="s">
        <v>371</v>
      </c>
      <c r="C872">
        <v>30</v>
      </c>
      <c r="D872" t="s">
        <v>372</v>
      </c>
      <c r="E872" t="s">
        <v>11</v>
      </c>
      <c r="F872">
        <v>1</v>
      </c>
      <c r="G872" t="s">
        <v>18</v>
      </c>
    </row>
    <row r="873" spans="1:7" x14ac:dyDescent="0.25">
      <c r="A873">
        <v>63</v>
      </c>
      <c r="B873" t="s">
        <v>371</v>
      </c>
      <c r="C873">
        <v>40</v>
      </c>
      <c r="D873" t="s">
        <v>373</v>
      </c>
      <c r="E873" t="s">
        <v>11</v>
      </c>
      <c r="F873">
        <v>1</v>
      </c>
      <c r="G873" t="s">
        <v>18</v>
      </c>
    </row>
    <row r="874" spans="1:7" x14ac:dyDescent="0.25">
      <c r="A874">
        <v>63</v>
      </c>
      <c r="B874" t="s">
        <v>371</v>
      </c>
      <c r="C874">
        <v>50</v>
      </c>
      <c r="D874" t="s">
        <v>115</v>
      </c>
      <c r="E874" t="s">
        <v>17</v>
      </c>
      <c r="F874">
        <v>2.0569999999999999</v>
      </c>
      <c r="G874" t="s">
        <v>18</v>
      </c>
    </row>
    <row r="875" spans="1:7" x14ac:dyDescent="0.25">
      <c r="A875">
        <v>63</v>
      </c>
      <c r="B875" t="s">
        <v>371</v>
      </c>
      <c r="C875">
        <v>60</v>
      </c>
      <c r="D875" t="s">
        <v>109</v>
      </c>
      <c r="E875" t="s">
        <v>110</v>
      </c>
      <c r="F875">
        <v>0.42</v>
      </c>
      <c r="G875" t="s">
        <v>15</v>
      </c>
    </row>
    <row r="876" spans="1:7" x14ac:dyDescent="0.25">
      <c r="A876">
        <v>63</v>
      </c>
      <c r="B876" t="s">
        <v>371</v>
      </c>
      <c r="C876">
        <v>70</v>
      </c>
      <c r="D876" t="s">
        <v>111</v>
      </c>
      <c r="E876" t="s">
        <v>17</v>
      </c>
      <c r="F876">
        <v>18.288</v>
      </c>
      <c r="G876" t="s">
        <v>15</v>
      </c>
    </row>
    <row r="877" spans="1:7" x14ac:dyDescent="0.25">
      <c r="A877">
        <v>63</v>
      </c>
      <c r="B877" t="s">
        <v>371</v>
      </c>
      <c r="C877">
        <v>80</v>
      </c>
      <c r="D877" t="s">
        <v>21</v>
      </c>
      <c r="E877" t="s">
        <v>17</v>
      </c>
      <c r="F877">
        <v>112.471</v>
      </c>
      <c r="G877" t="s">
        <v>15</v>
      </c>
    </row>
    <row r="878" spans="1:7" x14ac:dyDescent="0.25">
      <c r="A878">
        <v>63</v>
      </c>
      <c r="B878" t="s">
        <v>371</v>
      </c>
      <c r="C878">
        <v>90</v>
      </c>
      <c r="D878" t="s">
        <v>123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371</v>
      </c>
      <c r="C879">
        <v>100</v>
      </c>
      <c r="D879" t="s">
        <v>25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371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371</v>
      </c>
      <c r="C881">
        <v>120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371</v>
      </c>
      <c r="C882">
        <v>130</v>
      </c>
      <c r="D882" t="s">
        <v>116</v>
      </c>
      <c r="E882" t="s">
        <v>14</v>
      </c>
      <c r="F882">
        <v>1.2430000000000001</v>
      </c>
      <c r="G882" t="s">
        <v>15</v>
      </c>
    </row>
    <row r="883" spans="1:7" x14ac:dyDescent="0.25">
      <c r="A883">
        <v>63</v>
      </c>
      <c r="B883" t="s">
        <v>371</v>
      </c>
      <c r="C883">
        <v>140</v>
      </c>
      <c r="D883" t="s">
        <v>374</v>
      </c>
      <c r="E883" t="s">
        <v>11</v>
      </c>
      <c r="F883">
        <v>1</v>
      </c>
      <c r="G883" t="s">
        <v>18</v>
      </c>
    </row>
    <row r="884" spans="1:7" x14ac:dyDescent="0.25">
      <c r="A884">
        <v>64</v>
      </c>
      <c r="B884" t="s">
        <v>375</v>
      </c>
      <c r="C884">
        <v>10</v>
      </c>
      <c r="D884" t="s">
        <v>486</v>
      </c>
      <c r="E884" t="s">
        <v>11</v>
      </c>
      <c r="F884">
        <v>1</v>
      </c>
      <c r="G884" t="s">
        <v>18</v>
      </c>
    </row>
    <row r="885" spans="1:7" x14ac:dyDescent="0.25">
      <c r="A885">
        <v>64</v>
      </c>
      <c r="B885" t="s">
        <v>375</v>
      </c>
      <c r="C885">
        <v>20</v>
      </c>
      <c r="D885" t="s">
        <v>114</v>
      </c>
      <c r="E885" t="s">
        <v>17</v>
      </c>
      <c r="F885">
        <v>2.0569999999999999</v>
      </c>
      <c r="G885" t="s">
        <v>18</v>
      </c>
    </row>
    <row r="886" spans="1:7" x14ac:dyDescent="0.25">
      <c r="A886">
        <v>64</v>
      </c>
      <c r="B886" t="s">
        <v>375</v>
      </c>
      <c r="C886">
        <v>30</v>
      </c>
      <c r="D886" t="s">
        <v>376</v>
      </c>
      <c r="E886" t="s">
        <v>11</v>
      </c>
      <c r="F886">
        <v>1</v>
      </c>
      <c r="G886" t="s">
        <v>18</v>
      </c>
    </row>
    <row r="887" spans="1:7" x14ac:dyDescent="0.25">
      <c r="A887">
        <v>64</v>
      </c>
      <c r="B887" t="s">
        <v>375</v>
      </c>
      <c r="C887">
        <v>40</v>
      </c>
      <c r="D887" t="s">
        <v>377</v>
      </c>
      <c r="E887" t="s">
        <v>11</v>
      </c>
      <c r="F887">
        <v>1</v>
      </c>
      <c r="G887" t="s">
        <v>18</v>
      </c>
    </row>
    <row r="888" spans="1:7" x14ac:dyDescent="0.25">
      <c r="A888">
        <v>64</v>
      </c>
      <c r="B888" t="s">
        <v>375</v>
      </c>
      <c r="C888">
        <v>50</v>
      </c>
      <c r="D888" t="s">
        <v>115</v>
      </c>
      <c r="E888" t="s">
        <v>17</v>
      </c>
      <c r="F888">
        <v>2.0569999999999999</v>
      </c>
      <c r="G888" t="s">
        <v>18</v>
      </c>
    </row>
    <row r="889" spans="1:7" x14ac:dyDescent="0.25">
      <c r="A889">
        <v>64</v>
      </c>
      <c r="B889" t="s">
        <v>375</v>
      </c>
      <c r="C889">
        <v>60</v>
      </c>
      <c r="D889" t="s">
        <v>109</v>
      </c>
      <c r="E889" t="s">
        <v>110</v>
      </c>
      <c r="F889">
        <v>0.49199999999999999</v>
      </c>
      <c r="G889" t="s">
        <v>15</v>
      </c>
    </row>
    <row r="890" spans="1:7" x14ac:dyDescent="0.25">
      <c r="A890">
        <v>64</v>
      </c>
      <c r="B890" t="s">
        <v>375</v>
      </c>
      <c r="C890">
        <v>70</v>
      </c>
      <c r="D890" t="s">
        <v>111</v>
      </c>
      <c r="E890" t="s">
        <v>17</v>
      </c>
      <c r="F890">
        <v>19.202000000000002</v>
      </c>
      <c r="G890" t="s">
        <v>15</v>
      </c>
    </row>
    <row r="891" spans="1:7" x14ac:dyDescent="0.25">
      <c r="A891">
        <v>64</v>
      </c>
      <c r="B891" t="s">
        <v>375</v>
      </c>
      <c r="C891">
        <v>80</v>
      </c>
      <c r="D891" t="s">
        <v>21</v>
      </c>
      <c r="E891" t="s">
        <v>17</v>
      </c>
      <c r="F891">
        <v>118.095</v>
      </c>
      <c r="G891" t="s">
        <v>15</v>
      </c>
    </row>
    <row r="892" spans="1:7" x14ac:dyDescent="0.25">
      <c r="A892">
        <v>64</v>
      </c>
      <c r="B892" t="s">
        <v>375</v>
      </c>
      <c r="C892">
        <v>90</v>
      </c>
      <c r="D892" t="s">
        <v>123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375</v>
      </c>
      <c r="C893">
        <v>100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375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375</v>
      </c>
      <c r="C895">
        <v>120</v>
      </c>
      <c r="D895" t="s">
        <v>27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375</v>
      </c>
      <c r="C896">
        <v>130</v>
      </c>
      <c r="D896" t="s">
        <v>116</v>
      </c>
      <c r="E896" t="s">
        <v>14</v>
      </c>
      <c r="F896">
        <v>1.2430000000000001</v>
      </c>
      <c r="G896" t="s">
        <v>15</v>
      </c>
    </row>
    <row r="897" spans="1:7" x14ac:dyDescent="0.25">
      <c r="A897">
        <v>64</v>
      </c>
      <c r="B897" t="s">
        <v>375</v>
      </c>
      <c r="C897">
        <v>140</v>
      </c>
      <c r="D897" t="s">
        <v>378</v>
      </c>
      <c r="E897" t="s">
        <v>11</v>
      </c>
      <c r="F897">
        <v>1</v>
      </c>
      <c r="G897" t="s">
        <v>18</v>
      </c>
    </row>
    <row r="898" spans="1:7" x14ac:dyDescent="0.25">
      <c r="A898">
        <v>65</v>
      </c>
      <c r="B898" t="s">
        <v>379</v>
      </c>
      <c r="C898">
        <v>10</v>
      </c>
      <c r="D898" t="s">
        <v>487</v>
      </c>
      <c r="E898" t="s">
        <v>11</v>
      </c>
      <c r="F898">
        <v>1</v>
      </c>
      <c r="G898" t="s">
        <v>18</v>
      </c>
    </row>
    <row r="899" spans="1:7" x14ac:dyDescent="0.25">
      <c r="A899">
        <v>65</v>
      </c>
      <c r="B899" t="s">
        <v>379</v>
      </c>
      <c r="C899">
        <v>20</v>
      </c>
      <c r="D899" t="s">
        <v>114</v>
      </c>
      <c r="E899" t="s">
        <v>17</v>
      </c>
      <c r="F899">
        <v>2.0569999999999999</v>
      </c>
      <c r="G899" t="s">
        <v>18</v>
      </c>
    </row>
    <row r="900" spans="1:7" x14ac:dyDescent="0.25">
      <c r="A900">
        <v>65</v>
      </c>
      <c r="B900" t="s">
        <v>379</v>
      </c>
      <c r="C900">
        <v>30</v>
      </c>
      <c r="D900" t="s">
        <v>380</v>
      </c>
      <c r="E900" t="s">
        <v>11</v>
      </c>
      <c r="F900">
        <v>1</v>
      </c>
      <c r="G900" t="s">
        <v>18</v>
      </c>
    </row>
    <row r="901" spans="1:7" x14ac:dyDescent="0.25">
      <c r="A901">
        <v>65</v>
      </c>
      <c r="B901" t="s">
        <v>379</v>
      </c>
      <c r="C901">
        <v>40</v>
      </c>
      <c r="D901" t="s">
        <v>381</v>
      </c>
      <c r="E901" t="s">
        <v>11</v>
      </c>
      <c r="F901">
        <v>1</v>
      </c>
      <c r="G901" t="s">
        <v>18</v>
      </c>
    </row>
    <row r="902" spans="1:7" x14ac:dyDescent="0.25">
      <c r="A902">
        <v>65</v>
      </c>
      <c r="B902" t="s">
        <v>379</v>
      </c>
      <c r="C902">
        <v>50</v>
      </c>
      <c r="D902" t="s">
        <v>115</v>
      </c>
      <c r="E902" t="s">
        <v>17</v>
      </c>
      <c r="F902">
        <v>2.0569999999999999</v>
      </c>
      <c r="G902" t="s">
        <v>18</v>
      </c>
    </row>
    <row r="903" spans="1:7" x14ac:dyDescent="0.25">
      <c r="A903">
        <v>65</v>
      </c>
      <c r="B903" t="s">
        <v>379</v>
      </c>
      <c r="C903">
        <v>60</v>
      </c>
      <c r="D903" t="s">
        <v>109</v>
      </c>
      <c r="E903" t="s">
        <v>110</v>
      </c>
      <c r="F903">
        <v>0.56399999999999995</v>
      </c>
      <c r="G903" t="s">
        <v>15</v>
      </c>
    </row>
    <row r="904" spans="1:7" x14ac:dyDescent="0.25">
      <c r="A904">
        <v>65</v>
      </c>
      <c r="B904" t="s">
        <v>379</v>
      </c>
      <c r="C904">
        <v>70</v>
      </c>
      <c r="D904" t="s">
        <v>111</v>
      </c>
      <c r="E904" t="s">
        <v>17</v>
      </c>
      <c r="F904">
        <v>20.117000000000001</v>
      </c>
      <c r="G904" t="s">
        <v>15</v>
      </c>
    </row>
    <row r="905" spans="1:7" x14ac:dyDescent="0.25">
      <c r="A905">
        <v>65</v>
      </c>
      <c r="B905" t="s">
        <v>379</v>
      </c>
      <c r="C905">
        <v>80</v>
      </c>
      <c r="D905" t="s">
        <v>21</v>
      </c>
      <c r="E905" t="s">
        <v>17</v>
      </c>
      <c r="F905">
        <v>123.718</v>
      </c>
      <c r="G905" t="s">
        <v>15</v>
      </c>
    </row>
    <row r="906" spans="1:7" x14ac:dyDescent="0.25">
      <c r="A906">
        <v>65</v>
      </c>
      <c r="B906" t="s">
        <v>379</v>
      </c>
      <c r="C906">
        <v>90</v>
      </c>
      <c r="D906" t="s">
        <v>123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379</v>
      </c>
      <c r="C907">
        <v>100</v>
      </c>
      <c r="D907" t="s">
        <v>25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379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379</v>
      </c>
      <c r="C909">
        <v>120</v>
      </c>
      <c r="D909" t="s">
        <v>27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379</v>
      </c>
      <c r="C910">
        <v>130</v>
      </c>
      <c r="D910" t="s">
        <v>116</v>
      </c>
      <c r="E910" t="s">
        <v>14</v>
      </c>
      <c r="F910">
        <v>1.2430000000000001</v>
      </c>
      <c r="G910" t="s">
        <v>15</v>
      </c>
    </row>
    <row r="911" spans="1:7" x14ac:dyDescent="0.25">
      <c r="A911">
        <v>65</v>
      </c>
      <c r="B911" t="s">
        <v>379</v>
      </c>
      <c r="C911">
        <v>140</v>
      </c>
      <c r="D911" t="s">
        <v>382</v>
      </c>
      <c r="E911" t="s">
        <v>11</v>
      </c>
      <c r="F911">
        <v>1</v>
      </c>
      <c r="G911" t="s">
        <v>18</v>
      </c>
    </row>
    <row r="912" spans="1:7" x14ac:dyDescent="0.25">
      <c r="A912">
        <v>66</v>
      </c>
      <c r="B912" t="s">
        <v>383</v>
      </c>
      <c r="C912">
        <v>10</v>
      </c>
      <c r="D912" t="s">
        <v>488</v>
      </c>
      <c r="E912" t="s">
        <v>11</v>
      </c>
      <c r="F912">
        <v>1</v>
      </c>
      <c r="G912" t="s">
        <v>18</v>
      </c>
    </row>
    <row r="913" spans="1:7" x14ac:dyDescent="0.25">
      <c r="A913">
        <v>66</v>
      </c>
      <c r="B913" t="s">
        <v>383</v>
      </c>
      <c r="C913">
        <v>20</v>
      </c>
      <c r="D913" t="s">
        <v>114</v>
      </c>
      <c r="E913" t="s">
        <v>17</v>
      </c>
      <c r="F913">
        <v>2.0569999999999999</v>
      </c>
      <c r="G913" t="s">
        <v>18</v>
      </c>
    </row>
    <row r="914" spans="1:7" x14ac:dyDescent="0.25">
      <c r="A914">
        <v>66</v>
      </c>
      <c r="B914" t="s">
        <v>383</v>
      </c>
      <c r="C914">
        <v>30</v>
      </c>
      <c r="D914" t="s">
        <v>384</v>
      </c>
      <c r="E914" t="s">
        <v>11</v>
      </c>
      <c r="F914">
        <v>1</v>
      </c>
      <c r="G914" t="s">
        <v>18</v>
      </c>
    </row>
    <row r="915" spans="1:7" x14ac:dyDescent="0.25">
      <c r="A915">
        <v>66</v>
      </c>
      <c r="B915" t="s">
        <v>383</v>
      </c>
      <c r="C915">
        <v>40</v>
      </c>
      <c r="D915" t="s">
        <v>385</v>
      </c>
      <c r="E915" t="s">
        <v>11</v>
      </c>
      <c r="F915">
        <v>1</v>
      </c>
      <c r="G915" t="s">
        <v>18</v>
      </c>
    </row>
    <row r="916" spans="1:7" x14ac:dyDescent="0.25">
      <c r="A916">
        <v>66</v>
      </c>
      <c r="B916" t="s">
        <v>383</v>
      </c>
      <c r="C916">
        <v>50</v>
      </c>
      <c r="D916" t="s">
        <v>115</v>
      </c>
      <c r="E916" t="s">
        <v>17</v>
      </c>
      <c r="F916">
        <v>2.0569999999999999</v>
      </c>
      <c r="G916" t="s">
        <v>18</v>
      </c>
    </row>
    <row r="917" spans="1:7" x14ac:dyDescent="0.25">
      <c r="A917">
        <v>66</v>
      </c>
      <c r="B917" t="s">
        <v>383</v>
      </c>
      <c r="C917">
        <v>60</v>
      </c>
      <c r="D917" t="s">
        <v>109</v>
      </c>
      <c r="E917" t="s">
        <v>110</v>
      </c>
      <c r="F917">
        <v>0.70799999999999996</v>
      </c>
      <c r="G917" t="s">
        <v>15</v>
      </c>
    </row>
    <row r="918" spans="1:7" x14ac:dyDescent="0.25">
      <c r="A918">
        <v>66</v>
      </c>
      <c r="B918" t="s">
        <v>383</v>
      </c>
      <c r="C918">
        <v>70</v>
      </c>
      <c r="D918" t="s">
        <v>111</v>
      </c>
      <c r="E918" t="s">
        <v>17</v>
      </c>
      <c r="F918">
        <v>21.946000000000002</v>
      </c>
      <c r="G918" t="s">
        <v>15</v>
      </c>
    </row>
    <row r="919" spans="1:7" x14ac:dyDescent="0.25">
      <c r="A919">
        <v>66</v>
      </c>
      <c r="B919" t="s">
        <v>383</v>
      </c>
      <c r="C919">
        <v>80</v>
      </c>
      <c r="D919" t="s">
        <v>21</v>
      </c>
      <c r="E919" t="s">
        <v>17</v>
      </c>
      <c r="F919">
        <v>134.965</v>
      </c>
      <c r="G919" t="s">
        <v>15</v>
      </c>
    </row>
    <row r="920" spans="1:7" x14ac:dyDescent="0.25">
      <c r="A920">
        <v>66</v>
      </c>
      <c r="B920" t="s">
        <v>383</v>
      </c>
      <c r="C920">
        <v>90</v>
      </c>
      <c r="D920" t="s">
        <v>123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383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383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383</v>
      </c>
      <c r="C923">
        <v>120</v>
      </c>
      <c r="D923" t="s">
        <v>27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383</v>
      </c>
      <c r="C924">
        <v>130</v>
      </c>
      <c r="D924" t="s">
        <v>116</v>
      </c>
      <c r="E924" t="s">
        <v>14</v>
      </c>
      <c r="F924">
        <v>1.2430000000000001</v>
      </c>
      <c r="G924" t="s">
        <v>15</v>
      </c>
    </row>
    <row r="925" spans="1:7" x14ac:dyDescent="0.25">
      <c r="A925">
        <v>66</v>
      </c>
      <c r="B925" t="s">
        <v>383</v>
      </c>
      <c r="C925">
        <v>140</v>
      </c>
      <c r="D925" t="s">
        <v>386</v>
      </c>
      <c r="E925" t="s">
        <v>11</v>
      </c>
      <c r="F925">
        <v>1</v>
      </c>
      <c r="G925" t="s">
        <v>18</v>
      </c>
    </row>
    <row r="926" spans="1:7" x14ac:dyDescent="0.25">
      <c r="A926">
        <v>67</v>
      </c>
      <c r="B926" t="s">
        <v>387</v>
      </c>
      <c r="C926">
        <v>10</v>
      </c>
      <c r="D926" t="s">
        <v>489</v>
      </c>
      <c r="E926" t="s">
        <v>11</v>
      </c>
      <c r="F926">
        <v>1</v>
      </c>
      <c r="G926" t="s">
        <v>18</v>
      </c>
    </row>
    <row r="927" spans="1:7" x14ac:dyDescent="0.25">
      <c r="A927">
        <v>67</v>
      </c>
      <c r="B927" t="s">
        <v>387</v>
      </c>
      <c r="C927">
        <v>20</v>
      </c>
      <c r="D927" t="s">
        <v>114</v>
      </c>
      <c r="E927" t="s">
        <v>17</v>
      </c>
      <c r="F927">
        <v>2.0569999999999999</v>
      </c>
      <c r="G927" t="s">
        <v>18</v>
      </c>
    </row>
    <row r="928" spans="1:7" x14ac:dyDescent="0.25">
      <c r="A928">
        <v>67</v>
      </c>
      <c r="B928" t="s">
        <v>387</v>
      </c>
      <c r="C928">
        <v>30</v>
      </c>
      <c r="D928" t="s">
        <v>388</v>
      </c>
      <c r="E928" t="s">
        <v>11</v>
      </c>
      <c r="F928">
        <v>1</v>
      </c>
      <c r="G928" t="s">
        <v>18</v>
      </c>
    </row>
    <row r="929" spans="1:7" x14ac:dyDescent="0.25">
      <c r="A929">
        <v>67</v>
      </c>
      <c r="B929" t="s">
        <v>387</v>
      </c>
      <c r="C929">
        <v>40</v>
      </c>
      <c r="D929" t="s">
        <v>389</v>
      </c>
      <c r="E929" t="s">
        <v>11</v>
      </c>
      <c r="F929">
        <v>1</v>
      </c>
      <c r="G929" t="s">
        <v>18</v>
      </c>
    </row>
    <row r="930" spans="1:7" x14ac:dyDescent="0.25">
      <c r="A930">
        <v>67</v>
      </c>
      <c r="B930" t="s">
        <v>387</v>
      </c>
      <c r="C930">
        <v>50</v>
      </c>
      <c r="D930" t="s">
        <v>115</v>
      </c>
      <c r="E930" t="s">
        <v>17</v>
      </c>
      <c r="F930">
        <v>2.0569999999999999</v>
      </c>
      <c r="G930" t="s">
        <v>18</v>
      </c>
    </row>
    <row r="931" spans="1:7" x14ac:dyDescent="0.25">
      <c r="A931">
        <v>67</v>
      </c>
      <c r="B931" t="s">
        <v>387</v>
      </c>
      <c r="C931">
        <v>60</v>
      </c>
      <c r="D931" t="s">
        <v>109</v>
      </c>
      <c r="E931" t="s">
        <v>110</v>
      </c>
      <c r="F931">
        <v>0.78</v>
      </c>
      <c r="G931" t="s">
        <v>15</v>
      </c>
    </row>
    <row r="932" spans="1:7" x14ac:dyDescent="0.25">
      <c r="A932">
        <v>67</v>
      </c>
      <c r="B932" t="s">
        <v>387</v>
      </c>
      <c r="C932">
        <v>70</v>
      </c>
      <c r="D932" t="s">
        <v>111</v>
      </c>
      <c r="E932" t="s">
        <v>17</v>
      </c>
      <c r="F932">
        <v>22.86</v>
      </c>
      <c r="G932" t="s">
        <v>15</v>
      </c>
    </row>
    <row r="933" spans="1:7" x14ac:dyDescent="0.25">
      <c r="A933">
        <v>67</v>
      </c>
      <c r="B933" t="s">
        <v>387</v>
      </c>
      <c r="C933">
        <v>80</v>
      </c>
      <c r="D933" t="s">
        <v>21</v>
      </c>
      <c r="E933" t="s">
        <v>17</v>
      </c>
      <c r="F933">
        <v>140.589</v>
      </c>
      <c r="G933" t="s">
        <v>15</v>
      </c>
    </row>
    <row r="934" spans="1:7" x14ac:dyDescent="0.25">
      <c r="A934">
        <v>67</v>
      </c>
      <c r="B934" t="s">
        <v>387</v>
      </c>
      <c r="C934">
        <v>90</v>
      </c>
      <c r="D934" t="s">
        <v>123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387</v>
      </c>
      <c r="C935">
        <v>100</v>
      </c>
      <c r="D935" t="s">
        <v>25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387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387</v>
      </c>
      <c r="C937">
        <v>120</v>
      </c>
      <c r="D937" t="s">
        <v>27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387</v>
      </c>
      <c r="C938">
        <v>130</v>
      </c>
      <c r="D938" t="s">
        <v>116</v>
      </c>
      <c r="E938" t="s">
        <v>14</v>
      </c>
      <c r="F938">
        <v>1.2430000000000001</v>
      </c>
      <c r="G938" t="s">
        <v>15</v>
      </c>
    </row>
    <row r="939" spans="1:7" x14ac:dyDescent="0.25">
      <c r="A939">
        <v>67</v>
      </c>
      <c r="B939" t="s">
        <v>387</v>
      </c>
      <c r="C939">
        <v>140</v>
      </c>
      <c r="D939" t="s">
        <v>390</v>
      </c>
      <c r="E939" t="s">
        <v>11</v>
      </c>
      <c r="F939">
        <v>1</v>
      </c>
      <c r="G939" t="s">
        <v>18</v>
      </c>
    </row>
    <row r="940" spans="1:7" x14ac:dyDescent="0.25">
      <c r="A940">
        <v>68</v>
      </c>
      <c r="B940" t="s">
        <v>391</v>
      </c>
      <c r="C940">
        <v>10</v>
      </c>
      <c r="D940" t="s">
        <v>490</v>
      </c>
      <c r="E940" t="s">
        <v>11</v>
      </c>
      <c r="F940">
        <v>1</v>
      </c>
      <c r="G940" t="s">
        <v>18</v>
      </c>
    </row>
    <row r="941" spans="1:7" x14ac:dyDescent="0.25">
      <c r="A941">
        <v>68</v>
      </c>
      <c r="B941" t="s">
        <v>391</v>
      </c>
      <c r="C941">
        <v>20</v>
      </c>
      <c r="D941" t="s">
        <v>114</v>
      </c>
      <c r="E941" t="s">
        <v>17</v>
      </c>
      <c r="F941">
        <v>2.0569999999999999</v>
      </c>
      <c r="G941" t="s">
        <v>18</v>
      </c>
    </row>
    <row r="942" spans="1:7" x14ac:dyDescent="0.25">
      <c r="A942">
        <v>68</v>
      </c>
      <c r="B942" t="s">
        <v>391</v>
      </c>
      <c r="C942">
        <v>30</v>
      </c>
      <c r="D942" t="s">
        <v>392</v>
      </c>
      <c r="E942" t="s">
        <v>11</v>
      </c>
      <c r="F942">
        <v>1</v>
      </c>
      <c r="G942" t="s">
        <v>18</v>
      </c>
    </row>
    <row r="943" spans="1:7" x14ac:dyDescent="0.25">
      <c r="A943">
        <v>68</v>
      </c>
      <c r="B943" t="s">
        <v>391</v>
      </c>
      <c r="C943">
        <v>40</v>
      </c>
      <c r="D943" t="s">
        <v>393</v>
      </c>
      <c r="E943" t="s">
        <v>11</v>
      </c>
      <c r="F943">
        <v>1</v>
      </c>
      <c r="G943" t="s">
        <v>18</v>
      </c>
    </row>
    <row r="944" spans="1:7" x14ac:dyDescent="0.25">
      <c r="A944">
        <v>68</v>
      </c>
      <c r="B944" t="s">
        <v>391</v>
      </c>
      <c r="C944">
        <v>50</v>
      </c>
      <c r="D944" t="s">
        <v>115</v>
      </c>
      <c r="E944" t="s">
        <v>17</v>
      </c>
      <c r="F944">
        <v>2.0569999999999999</v>
      </c>
      <c r="G944" t="s">
        <v>18</v>
      </c>
    </row>
    <row r="945" spans="1:7" x14ac:dyDescent="0.25">
      <c r="A945">
        <v>68</v>
      </c>
      <c r="B945" t="s">
        <v>391</v>
      </c>
      <c r="C945">
        <v>60</v>
      </c>
      <c r="D945" t="s">
        <v>109</v>
      </c>
      <c r="E945" t="s">
        <v>110</v>
      </c>
      <c r="F945">
        <v>0.85199999999999998</v>
      </c>
      <c r="G945" t="s">
        <v>15</v>
      </c>
    </row>
    <row r="946" spans="1:7" x14ac:dyDescent="0.25">
      <c r="A946">
        <v>68</v>
      </c>
      <c r="B946" t="s">
        <v>391</v>
      </c>
      <c r="C946">
        <v>70</v>
      </c>
      <c r="D946" t="s">
        <v>111</v>
      </c>
      <c r="E946" t="s">
        <v>17</v>
      </c>
      <c r="F946">
        <v>23.774000000000001</v>
      </c>
      <c r="G946" t="s">
        <v>15</v>
      </c>
    </row>
    <row r="947" spans="1:7" x14ac:dyDescent="0.25">
      <c r="A947">
        <v>68</v>
      </c>
      <c r="B947" t="s">
        <v>391</v>
      </c>
      <c r="C947">
        <v>80</v>
      </c>
      <c r="D947" t="s">
        <v>21</v>
      </c>
      <c r="E947" t="s">
        <v>17</v>
      </c>
      <c r="F947">
        <v>146.21299999999999</v>
      </c>
      <c r="G947" t="s">
        <v>15</v>
      </c>
    </row>
    <row r="948" spans="1:7" x14ac:dyDescent="0.25">
      <c r="A948">
        <v>68</v>
      </c>
      <c r="B948" t="s">
        <v>391</v>
      </c>
      <c r="C948">
        <v>90</v>
      </c>
      <c r="D948" t="s">
        <v>123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391</v>
      </c>
      <c r="C949">
        <v>100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391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391</v>
      </c>
      <c r="C951">
        <v>120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391</v>
      </c>
      <c r="C952">
        <v>130</v>
      </c>
      <c r="D952" t="s">
        <v>116</v>
      </c>
      <c r="E952" t="s">
        <v>14</v>
      </c>
      <c r="F952">
        <v>1.2430000000000001</v>
      </c>
      <c r="G952" t="s">
        <v>15</v>
      </c>
    </row>
    <row r="953" spans="1:7" x14ac:dyDescent="0.25">
      <c r="A953">
        <v>68</v>
      </c>
      <c r="B953" t="s">
        <v>391</v>
      </c>
      <c r="C953">
        <v>140</v>
      </c>
      <c r="D953" t="s">
        <v>394</v>
      </c>
      <c r="E953" t="s">
        <v>11</v>
      </c>
      <c r="F953">
        <v>1</v>
      </c>
      <c r="G953" t="s">
        <v>18</v>
      </c>
    </row>
    <row r="954" spans="1:7" x14ac:dyDescent="0.25">
      <c r="A954">
        <v>69</v>
      </c>
      <c r="B954" t="s">
        <v>395</v>
      </c>
      <c r="C954">
        <v>10</v>
      </c>
      <c r="D954" t="s">
        <v>491</v>
      </c>
      <c r="E954" t="s">
        <v>11</v>
      </c>
      <c r="F954">
        <v>1</v>
      </c>
      <c r="G954" t="s">
        <v>18</v>
      </c>
    </row>
    <row r="955" spans="1:7" x14ac:dyDescent="0.25">
      <c r="A955">
        <v>69</v>
      </c>
      <c r="B955" t="s">
        <v>395</v>
      </c>
      <c r="C955">
        <v>20</v>
      </c>
      <c r="D955" t="s">
        <v>114</v>
      </c>
      <c r="E955" t="s">
        <v>17</v>
      </c>
      <c r="F955">
        <v>2.1589999999999998</v>
      </c>
      <c r="G955" t="s">
        <v>18</v>
      </c>
    </row>
    <row r="956" spans="1:7" x14ac:dyDescent="0.25">
      <c r="A956">
        <v>69</v>
      </c>
      <c r="B956" t="s">
        <v>395</v>
      </c>
      <c r="C956">
        <v>30</v>
      </c>
      <c r="D956" t="s">
        <v>396</v>
      </c>
      <c r="E956" t="s">
        <v>11</v>
      </c>
      <c r="F956">
        <v>1</v>
      </c>
      <c r="G956" t="s">
        <v>18</v>
      </c>
    </row>
    <row r="957" spans="1:7" x14ac:dyDescent="0.25">
      <c r="A957">
        <v>69</v>
      </c>
      <c r="B957" t="s">
        <v>395</v>
      </c>
      <c r="C957">
        <v>40</v>
      </c>
      <c r="D957" t="s">
        <v>397</v>
      </c>
      <c r="E957" t="s">
        <v>11</v>
      </c>
      <c r="F957">
        <v>1</v>
      </c>
      <c r="G957" t="s">
        <v>18</v>
      </c>
    </row>
    <row r="958" spans="1:7" x14ac:dyDescent="0.25">
      <c r="A958">
        <v>69</v>
      </c>
      <c r="B958" t="s">
        <v>395</v>
      </c>
      <c r="C958">
        <v>50</v>
      </c>
      <c r="D958" t="s">
        <v>115</v>
      </c>
      <c r="E958" t="s">
        <v>17</v>
      </c>
      <c r="F958">
        <v>2.1589999999999998</v>
      </c>
      <c r="G958" t="s">
        <v>18</v>
      </c>
    </row>
    <row r="959" spans="1:7" x14ac:dyDescent="0.25">
      <c r="A959">
        <v>69</v>
      </c>
      <c r="B959" t="s">
        <v>395</v>
      </c>
      <c r="C959">
        <v>60</v>
      </c>
      <c r="D959" t="s">
        <v>109</v>
      </c>
      <c r="E959" t="s">
        <v>110</v>
      </c>
      <c r="F959">
        <v>0.36599999999999999</v>
      </c>
      <c r="G959" t="s">
        <v>15</v>
      </c>
    </row>
    <row r="960" spans="1:7" x14ac:dyDescent="0.25">
      <c r="A960">
        <v>69</v>
      </c>
      <c r="B960" t="s">
        <v>395</v>
      </c>
      <c r="C960">
        <v>70</v>
      </c>
      <c r="D960" t="s">
        <v>111</v>
      </c>
      <c r="E960" t="s">
        <v>17</v>
      </c>
      <c r="F960">
        <v>17.983000000000001</v>
      </c>
      <c r="G960" t="s">
        <v>15</v>
      </c>
    </row>
    <row r="961" spans="1:7" x14ac:dyDescent="0.25">
      <c r="A961">
        <v>69</v>
      </c>
      <c r="B961" t="s">
        <v>395</v>
      </c>
      <c r="C961">
        <v>80</v>
      </c>
      <c r="D961" t="s">
        <v>21</v>
      </c>
      <c r="E961" t="s">
        <v>17</v>
      </c>
      <c r="F961">
        <v>110.59699999999999</v>
      </c>
      <c r="G961" t="s">
        <v>15</v>
      </c>
    </row>
    <row r="962" spans="1:7" x14ac:dyDescent="0.25">
      <c r="A962">
        <v>69</v>
      </c>
      <c r="B962" t="s">
        <v>395</v>
      </c>
      <c r="C962">
        <v>90</v>
      </c>
      <c r="D962" t="s">
        <v>123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395</v>
      </c>
      <c r="C963">
        <v>100</v>
      </c>
      <c r="D963" t="s">
        <v>25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395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395</v>
      </c>
      <c r="C965">
        <v>120</v>
      </c>
      <c r="D965" t="s">
        <v>27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395</v>
      </c>
      <c r="C966">
        <v>130</v>
      </c>
      <c r="D966" t="s">
        <v>116</v>
      </c>
      <c r="E966" t="s">
        <v>14</v>
      </c>
      <c r="F966">
        <v>1.2969999999999999</v>
      </c>
      <c r="G966" t="s">
        <v>15</v>
      </c>
    </row>
    <row r="967" spans="1:7" x14ac:dyDescent="0.25">
      <c r="A967">
        <v>69</v>
      </c>
      <c r="B967" t="s">
        <v>395</v>
      </c>
      <c r="C967">
        <v>140</v>
      </c>
      <c r="D967" t="s">
        <v>398</v>
      </c>
      <c r="E967" t="s">
        <v>11</v>
      </c>
      <c r="F967">
        <v>1</v>
      </c>
      <c r="G967" t="s">
        <v>18</v>
      </c>
    </row>
    <row r="968" spans="1:7" x14ac:dyDescent="0.25">
      <c r="A968">
        <v>70</v>
      </c>
      <c r="B968" t="s">
        <v>399</v>
      </c>
      <c r="C968">
        <v>10</v>
      </c>
      <c r="D968" t="s">
        <v>492</v>
      </c>
      <c r="E968" t="s">
        <v>11</v>
      </c>
      <c r="F968">
        <v>1</v>
      </c>
      <c r="G968" t="s">
        <v>18</v>
      </c>
    </row>
    <row r="969" spans="1:7" x14ac:dyDescent="0.25">
      <c r="A969">
        <v>70</v>
      </c>
      <c r="B969" t="s">
        <v>399</v>
      </c>
      <c r="C969">
        <v>20</v>
      </c>
      <c r="D969" t="s">
        <v>114</v>
      </c>
      <c r="E969" t="s">
        <v>17</v>
      </c>
      <c r="F969">
        <v>2.1589999999999998</v>
      </c>
      <c r="G969" t="s">
        <v>18</v>
      </c>
    </row>
    <row r="970" spans="1:7" x14ac:dyDescent="0.25">
      <c r="A970">
        <v>70</v>
      </c>
      <c r="B970" t="s">
        <v>399</v>
      </c>
      <c r="C970">
        <v>30</v>
      </c>
      <c r="D970" t="s">
        <v>400</v>
      </c>
      <c r="E970" t="s">
        <v>11</v>
      </c>
      <c r="F970">
        <v>1</v>
      </c>
      <c r="G970" t="s">
        <v>18</v>
      </c>
    </row>
    <row r="971" spans="1:7" x14ac:dyDescent="0.25">
      <c r="A971">
        <v>70</v>
      </c>
      <c r="B971" t="s">
        <v>399</v>
      </c>
      <c r="C971">
        <v>40</v>
      </c>
      <c r="D971" t="s">
        <v>401</v>
      </c>
      <c r="E971" t="s">
        <v>11</v>
      </c>
      <c r="F971">
        <v>1</v>
      </c>
      <c r="G971" t="s">
        <v>18</v>
      </c>
    </row>
    <row r="972" spans="1:7" x14ac:dyDescent="0.25">
      <c r="A972">
        <v>70</v>
      </c>
      <c r="B972" t="s">
        <v>399</v>
      </c>
      <c r="C972">
        <v>50</v>
      </c>
      <c r="D972" t="s">
        <v>115</v>
      </c>
      <c r="E972" t="s">
        <v>17</v>
      </c>
      <c r="F972">
        <v>2.1589999999999998</v>
      </c>
      <c r="G972" t="s">
        <v>18</v>
      </c>
    </row>
    <row r="973" spans="1:7" x14ac:dyDescent="0.25">
      <c r="A973">
        <v>70</v>
      </c>
      <c r="B973" t="s">
        <v>399</v>
      </c>
      <c r="C973">
        <v>60</v>
      </c>
      <c r="D973" t="s">
        <v>109</v>
      </c>
      <c r="E973" t="s">
        <v>110</v>
      </c>
      <c r="F973">
        <v>0.441</v>
      </c>
      <c r="G973" t="s">
        <v>15</v>
      </c>
    </row>
    <row r="974" spans="1:7" x14ac:dyDescent="0.25">
      <c r="A974">
        <v>70</v>
      </c>
      <c r="B974" t="s">
        <v>399</v>
      </c>
      <c r="C974">
        <v>70</v>
      </c>
      <c r="D974" t="s">
        <v>111</v>
      </c>
      <c r="E974" t="s">
        <v>17</v>
      </c>
      <c r="F974">
        <v>18.898</v>
      </c>
      <c r="G974" t="s">
        <v>15</v>
      </c>
    </row>
    <row r="975" spans="1:7" x14ac:dyDescent="0.25">
      <c r="A975">
        <v>70</v>
      </c>
      <c r="B975" t="s">
        <v>399</v>
      </c>
      <c r="C975">
        <v>80</v>
      </c>
      <c r="D975" t="s">
        <v>21</v>
      </c>
      <c r="E975" t="s">
        <v>17</v>
      </c>
      <c r="F975">
        <v>116.22</v>
      </c>
      <c r="G975" t="s">
        <v>15</v>
      </c>
    </row>
    <row r="976" spans="1:7" x14ac:dyDescent="0.25">
      <c r="A976">
        <v>70</v>
      </c>
      <c r="B976" t="s">
        <v>399</v>
      </c>
      <c r="C976">
        <v>90</v>
      </c>
      <c r="D976" t="s">
        <v>123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399</v>
      </c>
      <c r="C977">
        <v>100</v>
      </c>
      <c r="D977" t="s">
        <v>25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399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399</v>
      </c>
      <c r="C979">
        <v>120</v>
      </c>
      <c r="D979" t="s">
        <v>27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399</v>
      </c>
      <c r="C980">
        <v>130</v>
      </c>
      <c r="D980" t="s">
        <v>116</v>
      </c>
      <c r="E980" t="s">
        <v>14</v>
      </c>
      <c r="F980">
        <v>1.2969999999999999</v>
      </c>
      <c r="G980" t="s">
        <v>15</v>
      </c>
    </row>
    <row r="981" spans="1:7" x14ac:dyDescent="0.25">
      <c r="A981">
        <v>70</v>
      </c>
      <c r="B981" t="s">
        <v>399</v>
      </c>
      <c r="C981">
        <v>140</v>
      </c>
      <c r="D981" t="s">
        <v>402</v>
      </c>
      <c r="E981" t="s">
        <v>11</v>
      </c>
      <c r="F981">
        <v>1</v>
      </c>
      <c r="G981" t="s">
        <v>18</v>
      </c>
    </row>
    <row r="982" spans="1:7" x14ac:dyDescent="0.25">
      <c r="A982">
        <v>71</v>
      </c>
      <c r="B982" t="s">
        <v>403</v>
      </c>
      <c r="C982">
        <v>10</v>
      </c>
      <c r="D982" t="s">
        <v>493</v>
      </c>
      <c r="E982" t="s">
        <v>11</v>
      </c>
      <c r="F982">
        <v>1</v>
      </c>
      <c r="G982" t="s">
        <v>18</v>
      </c>
    </row>
    <row r="983" spans="1:7" x14ac:dyDescent="0.25">
      <c r="A983">
        <v>71</v>
      </c>
      <c r="B983" t="s">
        <v>403</v>
      </c>
      <c r="C983">
        <v>20</v>
      </c>
      <c r="D983" t="s">
        <v>114</v>
      </c>
      <c r="E983" t="s">
        <v>17</v>
      </c>
      <c r="F983">
        <v>2.1589999999999998</v>
      </c>
      <c r="G983" t="s">
        <v>18</v>
      </c>
    </row>
    <row r="984" spans="1:7" x14ac:dyDescent="0.25">
      <c r="A984">
        <v>71</v>
      </c>
      <c r="B984" t="s">
        <v>403</v>
      </c>
      <c r="C984">
        <v>30</v>
      </c>
      <c r="D984" t="s">
        <v>404</v>
      </c>
      <c r="E984" t="s">
        <v>11</v>
      </c>
      <c r="F984">
        <v>1</v>
      </c>
      <c r="G984" t="s">
        <v>18</v>
      </c>
    </row>
    <row r="985" spans="1:7" x14ac:dyDescent="0.25">
      <c r="A985">
        <v>71</v>
      </c>
      <c r="B985" t="s">
        <v>403</v>
      </c>
      <c r="C985">
        <v>40</v>
      </c>
      <c r="D985" t="s">
        <v>405</v>
      </c>
      <c r="E985" t="s">
        <v>11</v>
      </c>
      <c r="F985">
        <v>1</v>
      </c>
      <c r="G985" t="s">
        <v>18</v>
      </c>
    </row>
    <row r="986" spans="1:7" x14ac:dyDescent="0.25">
      <c r="A986">
        <v>71</v>
      </c>
      <c r="B986" t="s">
        <v>403</v>
      </c>
      <c r="C986">
        <v>50</v>
      </c>
      <c r="D986" t="s">
        <v>115</v>
      </c>
      <c r="E986" t="s">
        <v>17</v>
      </c>
      <c r="F986">
        <v>2.1589999999999998</v>
      </c>
      <c r="G986" t="s">
        <v>18</v>
      </c>
    </row>
    <row r="987" spans="1:7" x14ac:dyDescent="0.25">
      <c r="A987">
        <v>71</v>
      </c>
      <c r="B987" t="s">
        <v>403</v>
      </c>
      <c r="C987">
        <v>60</v>
      </c>
      <c r="D987" t="s">
        <v>109</v>
      </c>
      <c r="E987" t="s">
        <v>110</v>
      </c>
      <c r="F987">
        <v>0.51700000000000002</v>
      </c>
      <c r="G987" t="s">
        <v>15</v>
      </c>
    </row>
    <row r="988" spans="1:7" x14ac:dyDescent="0.25">
      <c r="A988">
        <v>71</v>
      </c>
      <c r="B988" t="s">
        <v>403</v>
      </c>
      <c r="C988">
        <v>70</v>
      </c>
      <c r="D988" t="s">
        <v>111</v>
      </c>
      <c r="E988" t="s">
        <v>17</v>
      </c>
      <c r="F988">
        <v>19.812000000000001</v>
      </c>
      <c r="G988" t="s">
        <v>15</v>
      </c>
    </row>
    <row r="989" spans="1:7" x14ac:dyDescent="0.25">
      <c r="A989">
        <v>71</v>
      </c>
      <c r="B989" t="s">
        <v>403</v>
      </c>
      <c r="C989">
        <v>80</v>
      </c>
      <c r="D989" t="s">
        <v>21</v>
      </c>
      <c r="E989" t="s">
        <v>17</v>
      </c>
      <c r="F989">
        <v>121.84399999999999</v>
      </c>
      <c r="G989" t="s">
        <v>15</v>
      </c>
    </row>
    <row r="990" spans="1:7" x14ac:dyDescent="0.25">
      <c r="A990">
        <v>71</v>
      </c>
      <c r="B990" t="s">
        <v>403</v>
      </c>
      <c r="C990">
        <v>90</v>
      </c>
      <c r="D990" t="s">
        <v>123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403</v>
      </c>
      <c r="C991">
        <v>100</v>
      </c>
      <c r="D991" t="s">
        <v>25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403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403</v>
      </c>
      <c r="C993">
        <v>120</v>
      </c>
      <c r="D993" t="s">
        <v>27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403</v>
      </c>
      <c r="C994">
        <v>130</v>
      </c>
      <c r="D994" t="s">
        <v>116</v>
      </c>
      <c r="E994" t="s">
        <v>14</v>
      </c>
      <c r="F994">
        <v>1.2969999999999999</v>
      </c>
      <c r="G994" t="s">
        <v>15</v>
      </c>
    </row>
    <row r="995" spans="1:7" x14ac:dyDescent="0.25">
      <c r="A995">
        <v>71</v>
      </c>
      <c r="B995" t="s">
        <v>403</v>
      </c>
      <c r="C995">
        <v>140</v>
      </c>
      <c r="D995" t="s">
        <v>406</v>
      </c>
      <c r="E995" t="s">
        <v>11</v>
      </c>
      <c r="F995">
        <v>1</v>
      </c>
      <c r="G995" t="s">
        <v>18</v>
      </c>
    </row>
    <row r="996" spans="1:7" x14ac:dyDescent="0.25">
      <c r="A996">
        <v>72</v>
      </c>
      <c r="B996" t="s">
        <v>407</v>
      </c>
      <c r="C996">
        <v>10</v>
      </c>
      <c r="D996" t="s">
        <v>494</v>
      </c>
      <c r="E996" t="s">
        <v>11</v>
      </c>
      <c r="F996">
        <v>1</v>
      </c>
      <c r="G996" t="s">
        <v>18</v>
      </c>
    </row>
    <row r="997" spans="1:7" x14ac:dyDescent="0.25">
      <c r="A997">
        <v>72</v>
      </c>
      <c r="B997" t="s">
        <v>407</v>
      </c>
      <c r="C997">
        <v>20</v>
      </c>
      <c r="D997" t="s">
        <v>114</v>
      </c>
      <c r="E997" t="s">
        <v>17</v>
      </c>
      <c r="F997">
        <v>2.1589999999999998</v>
      </c>
      <c r="G997" t="s">
        <v>18</v>
      </c>
    </row>
    <row r="998" spans="1:7" x14ac:dyDescent="0.25">
      <c r="A998">
        <v>72</v>
      </c>
      <c r="B998" t="s">
        <v>407</v>
      </c>
      <c r="C998">
        <v>30</v>
      </c>
      <c r="D998" t="s">
        <v>408</v>
      </c>
      <c r="E998" t="s">
        <v>11</v>
      </c>
      <c r="F998">
        <v>1</v>
      </c>
      <c r="G998" t="s">
        <v>18</v>
      </c>
    </row>
    <row r="999" spans="1:7" x14ac:dyDescent="0.25">
      <c r="A999">
        <v>72</v>
      </c>
      <c r="B999" t="s">
        <v>407</v>
      </c>
      <c r="C999">
        <v>40</v>
      </c>
      <c r="D999" t="s">
        <v>409</v>
      </c>
      <c r="E999" t="s">
        <v>11</v>
      </c>
      <c r="F999">
        <v>1</v>
      </c>
      <c r="G999" t="s">
        <v>18</v>
      </c>
    </row>
    <row r="1000" spans="1:7" x14ac:dyDescent="0.25">
      <c r="A1000">
        <v>72</v>
      </c>
      <c r="B1000" t="s">
        <v>407</v>
      </c>
      <c r="C1000">
        <v>50</v>
      </c>
      <c r="D1000" t="s">
        <v>115</v>
      </c>
      <c r="E1000" t="s">
        <v>17</v>
      </c>
      <c r="F1000">
        <v>2.1589999999999998</v>
      </c>
      <c r="G1000" t="s">
        <v>18</v>
      </c>
    </row>
    <row r="1001" spans="1:7" x14ac:dyDescent="0.25">
      <c r="A1001">
        <v>72</v>
      </c>
      <c r="B1001" t="s">
        <v>407</v>
      </c>
      <c r="C1001">
        <v>60</v>
      </c>
      <c r="D1001" t="s">
        <v>109</v>
      </c>
      <c r="E1001" t="s">
        <v>110</v>
      </c>
      <c r="F1001">
        <v>0.59199999999999997</v>
      </c>
      <c r="G1001" t="s">
        <v>15</v>
      </c>
    </row>
    <row r="1002" spans="1:7" x14ac:dyDescent="0.25">
      <c r="A1002">
        <v>72</v>
      </c>
      <c r="B1002" t="s">
        <v>407</v>
      </c>
      <c r="C1002">
        <v>70</v>
      </c>
      <c r="D1002" t="s">
        <v>111</v>
      </c>
      <c r="E1002" t="s">
        <v>17</v>
      </c>
      <c r="F1002">
        <v>20.725999999999999</v>
      </c>
      <c r="G1002" t="s">
        <v>15</v>
      </c>
    </row>
    <row r="1003" spans="1:7" x14ac:dyDescent="0.25">
      <c r="A1003">
        <v>72</v>
      </c>
      <c r="B1003" t="s">
        <v>407</v>
      </c>
      <c r="C1003">
        <v>80</v>
      </c>
      <c r="D1003" t="s">
        <v>21</v>
      </c>
      <c r="E1003" t="s">
        <v>17</v>
      </c>
      <c r="F1003">
        <v>127.467</v>
      </c>
      <c r="G1003" t="s">
        <v>15</v>
      </c>
    </row>
    <row r="1004" spans="1:7" x14ac:dyDescent="0.25">
      <c r="A1004">
        <v>72</v>
      </c>
      <c r="B1004" t="s">
        <v>407</v>
      </c>
      <c r="C1004">
        <v>90</v>
      </c>
      <c r="D1004" t="s">
        <v>123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407</v>
      </c>
      <c r="C1005">
        <v>100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407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407</v>
      </c>
      <c r="C1007">
        <v>120</v>
      </c>
      <c r="D1007" t="s">
        <v>27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407</v>
      </c>
      <c r="C1008">
        <v>130</v>
      </c>
      <c r="D1008" t="s">
        <v>116</v>
      </c>
      <c r="E1008" t="s">
        <v>14</v>
      </c>
      <c r="F1008">
        <v>1.2969999999999999</v>
      </c>
      <c r="G1008" t="s">
        <v>15</v>
      </c>
    </row>
    <row r="1009" spans="1:7" x14ac:dyDescent="0.25">
      <c r="A1009">
        <v>72</v>
      </c>
      <c r="B1009" t="s">
        <v>407</v>
      </c>
      <c r="C1009">
        <v>140</v>
      </c>
      <c r="D1009" t="s">
        <v>410</v>
      </c>
      <c r="E1009" t="s">
        <v>11</v>
      </c>
      <c r="F1009">
        <v>1</v>
      </c>
      <c r="G1009" t="s">
        <v>18</v>
      </c>
    </row>
    <row r="1010" spans="1:7" x14ac:dyDescent="0.25">
      <c r="A1010">
        <v>73</v>
      </c>
      <c r="B1010" t="s">
        <v>411</v>
      </c>
      <c r="C1010">
        <v>10</v>
      </c>
      <c r="D1010" t="s">
        <v>495</v>
      </c>
      <c r="E1010" t="s">
        <v>11</v>
      </c>
      <c r="F1010">
        <v>1</v>
      </c>
      <c r="G1010" t="s">
        <v>18</v>
      </c>
    </row>
    <row r="1011" spans="1:7" x14ac:dyDescent="0.25">
      <c r="A1011">
        <v>73</v>
      </c>
      <c r="B1011" t="s">
        <v>411</v>
      </c>
      <c r="C1011">
        <v>20</v>
      </c>
      <c r="D1011" t="s">
        <v>114</v>
      </c>
      <c r="E1011" t="s">
        <v>17</v>
      </c>
      <c r="F1011">
        <v>2.1589999999999998</v>
      </c>
      <c r="G1011" t="s">
        <v>18</v>
      </c>
    </row>
    <row r="1012" spans="1:7" x14ac:dyDescent="0.25">
      <c r="A1012">
        <v>73</v>
      </c>
      <c r="B1012" t="s">
        <v>411</v>
      </c>
      <c r="C1012">
        <v>30</v>
      </c>
      <c r="D1012" t="s">
        <v>412</v>
      </c>
      <c r="E1012" t="s">
        <v>11</v>
      </c>
      <c r="F1012">
        <v>1</v>
      </c>
      <c r="G1012" t="s">
        <v>18</v>
      </c>
    </row>
    <row r="1013" spans="1:7" x14ac:dyDescent="0.25">
      <c r="A1013">
        <v>73</v>
      </c>
      <c r="B1013" t="s">
        <v>411</v>
      </c>
      <c r="C1013">
        <v>40</v>
      </c>
      <c r="D1013" t="s">
        <v>413</v>
      </c>
      <c r="E1013" t="s">
        <v>11</v>
      </c>
      <c r="F1013">
        <v>1</v>
      </c>
      <c r="G1013" t="s">
        <v>18</v>
      </c>
    </row>
    <row r="1014" spans="1:7" x14ac:dyDescent="0.25">
      <c r="A1014">
        <v>73</v>
      </c>
      <c r="B1014" t="s">
        <v>411</v>
      </c>
      <c r="C1014">
        <v>50</v>
      </c>
      <c r="D1014" t="s">
        <v>115</v>
      </c>
      <c r="E1014" t="s">
        <v>17</v>
      </c>
      <c r="F1014">
        <v>2.1589999999999998</v>
      </c>
      <c r="G1014" t="s">
        <v>18</v>
      </c>
    </row>
    <row r="1015" spans="1:7" x14ac:dyDescent="0.25">
      <c r="A1015">
        <v>73</v>
      </c>
      <c r="B1015" t="s">
        <v>411</v>
      </c>
      <c r="C1015">
        <v>60</v>
      </c>
      <c r="D1015" t="s">
        <v>109</v>
      </c>
      <c r="E1015" t="s">
        <v>110</v>
      </c>
      <c r="F1015">
        <v>0.74399999999999999</v>
      </c>
      <c r="G1015" t="s">
        <v>15</v>
      </c>
    </row>
    <row r="1016" spans="1:7" x14ac:dyDescent="0.25">
      <c r="A1016">
        <v>73</v>
      </c>
      <c r="B1016" t="s">
        <v>411</v>
      </c>
      <c r="C1016">
        <v>70</v>
      </c>
      <c r="D1016" t="s">
        <v>111</v>
      </c>
      <c r="E1016" t="s">
        <v>17</v>
      </c>
      <c r="F1016">
        <v>22.555</v>
      </c>
      <c r="G1016" t="s">
        <v>15</v>
      </c>
    </row>
    <row r="1017" spans="1:7" x14ac:dyDescent="0.25">
      <c r="A1017">
        <v>73</v>
      </c>
      <c r="B1017" t="s">
        <v>411</v>
      </c>
      <c r="C1017">
        <v>80</v>
      </c>
      <c r="D1017" t="s">
        <v>21</v>
      </c>
      <c r="E1017" t="s">
        <v>17</v>
      </c>
      <c r="F1017">
        <v>138.714</v>
      </c>
      <c r="G1017" t="s">
        <v>15</v>
      </c>
    </row>
    <row r="1018" spans="1:7" x14ac:dyDescent="0.25">
      <c r="A1018">
        <v>73</v>
      </c>
      <c r="B1018" t="s">
        <v>411</v>
      </c>
      <c r="C1018">
        <v>90</v>
      </c>
      <c r="D1018" t="s">
        <v>123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411</v>
      </c>
      <c r="C1019">
        <v>100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411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411</v>
      </c>
      <c r="C1021">
        <v>120</v>
      </c>
      <c r="D1021" t="s">
        <v>27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411</v>
      </c>
      <c r="C1022">
        <v>130</v>
      </c>
      <c r="D1022" t="s">
        <v>116</v>
      </c>
      <c r="E1022" t="s">
        <v>14</v>
      </c>
      <c r="F1022">
        <v>1.2969999999999999</v>
      </c>
      <c r="G1022" t="s">
        <v>15</v>
      </c>
    </row>
    <row r="1023" spans="1:7" x14ac:dyDescent="0.25">
      <c r="A1023">
        <v>73</v>
      </c>
      <c r="B1023" t="s">
        <v>411</v>
      </c>
      <c r="C1023">
        <v>140</v>
      </c>
      <c r="D1023" t="s">
        <v>414</v>
      </c>
      <c r="E1023" t="s">
        <v>11</v>
      </c>
      <c r="F1023">
        <v>1</v>
      </c>
      <c r="G1023" t="s">
        <v>18</v>
      </c>
    </row>
    <row r="1024" spans="1:7" x14ac:dyDescent="0.25">
      <c r="A1024">
        <v>74</v>
      </c>
      <c r="B1024" t="s">
        <v>415</v>
      </c>
      <c r="C1024">
        <v>10</v>
      </c>
      <c r="D1024" t="s">
        <v>496</v>
      </c>
      <c r="E1024" t="s">
        <v>11</v>
      </c>
      <c r="F1024">
        <v>1</v>
      </c>
      <c r="G1024" t="s">
        <v>18</v>
      </c>
    </row>
    <row r="1025" spans="1:7" x14ac:dyDescent="0.25">
      <c r="A1025">
        <v>74</v>
      </c>
      <c r="B1025" t="s">
        <v>415</v>
      </c>
      <c r="C1025">
        <v>20</v>
      </c>
      <c r="D1025" t="s">
        <v>114</v>
      </c>
      <c r="E1025" t="s">
        <v>17</v>
      </c>
      <c r="F1025">
        <v>2.1589999999999998</v>
      </c>
      <c r="G1025" t="s">
        <v>18</v>
      </c>
    </row>
    <row r="1026" spans="1:7" x14ac:dyDescent="0.25">
      <c r="A1026">
        <v>74</v>
      </c>
      <c r="B1026" t="s">
        <v>415</v>
      </c>
      <c r="C1026">
        <v>30</v>
      </c>
      <c r="D1026" t="s">
        <v>416</v>
      </c>
      <c r="E1026" t="s">
        <v>11</v>
      </c>
      <c r="F1026">
        <v>1</v>
      </c>
      <c r="G1026" t="s">
        <v>18</v>
      </c>
    </row>
    <row r="1027" spans="1:7" x14ac:dyDescent="0.25">
      <c r="A1027">
        <v>74</v>
      </c>
      <c r="B1027" t="s">
        <v>415</v>
      </c>
      <c r="C1027">
        <v>40</v>
      </c>
      <c r="D1027" t="s">
        <v>417</v>
      </c>
      <c r="E1027" t="s">
        <v>11</v>
      </c>
      <c r="F1027">
        <v>1</v>
      </c>
      <c r="G1027" t="s">
        <v>18</v>
      </c>
    </row>
    <row r="1028" spans="1:7" x14ac:dyDescent="0.25">
      <c r="A1028">
        <v>74</v>
      </c>
      <c r="B1028" t="s">
        <v>415</v>
      </c>
      <c r="C1028">
        <v>50</v>
      </c>
      <c r="D1028" t="s">
        <v>115</v>
      </c>
      <c r="E1028" t="s">
        <v>17</v>
      </c>
      <c r="F1028">
        <v>2.1589999999999998</v>
      </c>
      <c r="G1028" t="s">
        <v>18</v>
      </c>
    </row>
    <row r="1029" spans="1:7" x14ac:dyDescent="0.25">
      <c r="A1029">
        <v>74</v>
      </c>
      <c r="B1029" t="s">
        <v>415</v>
      </c>
      <c r="C1029">
        <v>60</v>
      </c>
      <c r="D1029" t="s">
        <v>109</v>
      </c>
      <c r="E1029" t="s">
        <v>110</v>
      </c>
      <c r="F1029">
        <v>0.81899999999999995</v>
      </c>
      <c r="G1029" t="s">
        <v>15</v>
      </c>
    </row>
    <row r="1030" spans="1:7" x14ac:dyDescent="0.25">
      <c r="A1030">
        <v>74</v>
      </c>
      <c r="B1030" t="s">
        <v>415</v>
      </c>
      <c r="C1030">
        <v>70</v>
      </c>
      <c r="D1030" t="s">
        <v>111</v>
      </c>
      <c r="E1030" t="s">
        <v>17</v>
      </c>
      <c r="F1030">
        <v>23.47</v>
      </c>
      <c r="G1030" t="s">
        <v>15</v>
      </c>
    </row>
    <row r="1031" spans="1:7" x14ac:dyDescent="0.25">
      <c r="A1031">
        <v>74</v>
      </c>
      <c r="B1031" t="s">
        <v>415</v>
      </c>
      <c r="C1031">
        <v>80</v>
      </c>
      <c r="D1031" t="s">
        <v>21</v>
      </c>
      <c r="E1031" t="s">
        <v>17</v>
      </c>
      <c r="F1031">
        <v>144.33799999999999</v>
      </c>
      <c r="G1031" t="s">
        <v>15</v>
      </c>
    </row>
    <row r="1032" spans="1:7" x14ac:dyDescent="0.25">
      <c r="A1032">
        <v>74</v>
      </c>
      <c r="B1032" t="s">
        <v>415</v>
      </c>
      <c r="C1032">
        <v>90</v>
      </c>
      <c r="D1032" t="s">
        <v>123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415</v>
      </c>
      <c r="C1033">
        <v>100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415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415</v>
      </c>
      <c r="C1035">
        <v>120</v>
      </c>
      <c r="D1035" t="s">
        <v>27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415</v>
      </c>
      <c r="C1036">
        <v>130</v>
      </c>
      <c r="D1036" t="s">
        <v>116</v>
      </c>
      <c r="E1036" t="s">
        <v>14</v>
      </c>
      <c r="F1036">
        <v>1.2969999999999999</v>
      </c>
      <c r="G1036" t="s">
        <v>15</v>
      </c>
    </row>
    <row r="1037" spans="1:7" x14ac:dyDescent="0.25">
      <c r="A1037">
        <v>74</v>
      </c>
      <c r="B1037" t="s">
        <v>415</v>
      </c>
      <c r="C1037">
        <v>140</v>
      </c>
      <c r="D1037" t="s">
        <v>418</v>
      </c>
      <c r="E1037" t="s">
        <v>11</v>
      </c>
      <c r="F1037">
        <v>1</v>
      </c>
      <c r="G1037" t="s">
        <v>18</v>
      </c>
    </row>
    <row r="1038" spans="1:7" x14ac:dyDescent="0.25">
      <c r="A1038">
        <v>75</v>
      </c>
      <c r="B1038" t="s">
        <v>419</v>
      </c>
      <c r="C1038">
        <v>10</v>
      </c>
      <c r="D1038" t="s">
        <v>497</v>
      </c>
      <c r="E1038" t="s">
        <v>11</v>
      </c>
      <c r="F1038">
        <v>1</v>
      </c>
      <c r="G1038" t="s">
        <v>18</v>
      </c>
    </row>
    <row r="1039" spans="1:7" x14ac:dyDescent="0.25">
      <c r="A1039">
        <v>75</v>
      </c>
      <c r="B1039" t="s">
        <v>419</v>
      </c>
      <c r="C1039">
        <v>20</v>
      </c>
      <c r="D1039" t="s">
        <v>114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75</v>
      </c>
      <c r="B1040" t="s">
        <v>419</v>
      </c>
      <c r="C1040">
        <v>30</v>
      </c>
      <c r="D1040" t="s">
        <v>420</v>
      </c>
      <c r="E1040" t="s">
        <v>11</v>
      </c>
      <c r="F1040">
        <v>1</v>
      </c>
      <c r="G1040" t="s">
        <v>18</v>
      </c>
    </row>
    <row r="1041" spans="1:7" x14ac:dyDescent="0.25">
      <c r="A1041">
        <v>75</v>
      </c>
      <c r="B1041" t="s">
        <v>419</v>
      </c>
      <c r="C1041">
        <v>40</v>
      </c>
      <c r="D1041" t="s">
        <v>421</v>
      </c>
      <c r="E1041" t="s">
        <v>11</v>
      </c>
      <c r="F1041">
        <v>1</v>
      </c>
      <c r="G1041" t="s">
        <v>18</v>
      </c>
    </row>
    <row r="1042" spans="1:7" x14ac:dyDescent="0.25">
      <c r="A1042">
        <v>75</v>
      </c>
      <c r="B1042" t="s">
        <v>419</v>
      </c>
      <c r="C1042">
        <v>50</v>
      </c>
      <c r="D1042" t="s">
        <v>115</v>
      </c>
      <c r="E1042" t="s">
        <v>17</v>
      </c>
      <c r="F1042">
        <v>2.1589999999999998</v>
      </c>
      <c r="G1042" t="s">
        <v>18</v>
      </c>
    </row>
    <row r="1043" spans="1:7" x14ac:dyDescent="0.25">
      <c r="A1043">
        <v>75</v>
      </c>
      <c r="B1043" t="s">
        <v>419</v>
      </c>
      <c r="C1043">
        <v>60</v>
      </c>
      <c r="D1043" t="s">
        <v>109</v>
      </c>
      <c r="E1043" t="s">
        <v>110</v>
      </c>
      <c r="F1043">
        <v>0.89500000000000002</v>
      </c>
      <c r="G1043" t="s">
        <v>15</v>
      </c>
    </row>
    <row r="1044" spans="1:7" x14ac:dyDescent="0.25">
      <c r="A1044">
        <v>75</v>
      </c>
      <c r="B1044" t="s">
        <v>419</v>
      </c>
      <c r="C1044">
        <v>70</v>
      </c>
      <c r="D1044" t="s">
        <v>111</v>
      </c>
      <c r="E1044" t="s">
        <v>17</v>
      </c>
      <c r="F1044">
        <v>24.384</v>
      </c>
      <c r="G1044" t="s">
        <v>15</v>
      </c>
    </row>
    <row r="1045" spans="1:7" x14ac:dyDescent="0.25">
      <c r="A1045">
        <v>75</v>
      </c>
      <c r="B1045" t="s">
        <v>419</v>
      </c>
      <c r="C1045">
        <v>80</v>
      </c>
      <c r="D1045" t="s">
        <v>21</v>
      </c>
      <c r="E1045" t="s">
        <v>17</v>
      </c>
      <c r="F1045">
        <v>149.96199999999999</v>
      </c>
      <c r="G1045" t="s">
        <v>15</v>
      </c>
    </row>
    <row r="1046" spans="1:7" x14ac:dyDescent="0.25">
      <c r="A1046">
        <v>75</v>
      </c>
      <c r="B1046" t="s">
        <v>419</v>
      </c>
      <c r="C1046">
        <v>90</v>
      </c>
      <c r="D1046" t="s">
        <v>123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419</v>
      </c>
      <c r="C1047">
        <v>100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419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419</v>
      </c>
      <c r="C1049">
        <v>120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419</v>
      </c>
      <c r="C1050">
        <v>130</v>
      </c>
      <c r="D1050" t="s">
        <v>116</v>
      </c>
      <c r="E1050" t="s">
        <v>14</v>
      </c>
      <c r="F1050">
        <v>1.2969999999999999</v>
      </c>
      <c r="G1050" t="s">
        <v>15</v>
      </c>
    </row>
    <row r="1051" spans="1:7" x14ac:dyDescent="0.25">
      <c r="A1051">
        <v>75</v>
      </c>
      <c r="B1051" t="s">
        <v>419</v>
      </c>
      <c r="C1051">
        <v>140</v>
      </c>
      <c r="D1051" t="s">
        <v>422</v>
      </c>
      <c r="E1051" t="s">
        <v>11</v>
      </c>
      <c r="F1051">
        <v>1</v>
      </c>
      <c r="G10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abSelected="1"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30</v>
      </c>
      <c r="B1" s="44" t="s">
        <v>31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32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33</v>
      </c>
      <c r="C2" s="41" t="s">
        <v>34</v>
      </c>
      <c r="D2" s="41" t="s">
        <v>35</v>
      </c>
      <c r="E2" s="41" t="s">
        <v>34</v>
      </c>
      <c r="F2" s="41" t="s">
        <v>35</v>
      </c>
      <c r="G2" s="41" t="s">
        <v>33</v>
      </c>
      <c r="H2" s="41" t="s">
        <v>35</v>
      </c>
      <c r="I2" s="41" t="s">
        <v>35</v>
      </c>
      <c r="J2" s="41" t="s">
        <v>35</v>
      </c>
      <c r="K2" s="41" t="s">
        <v>35</v>
      </c>
      <c r="L2" s="41" t="s">
        <v>33</v>
      </c>
      <c r="M2" s="42" t="s">
        <v>36</v>
      </c>
      <c r="N2" s="24" t="s">
        <v>36</v>
      </c>
      <c r="O2" s="42" t="s">
        <v>36</v>
      </c>
      <c r="P2" s="42" t="s">
        <v>37</v>
      </c>
      <c r="Q2" s="42" t="s">
        <v>36</v>
      </c>
      <c r="R2" s="42" t="s">
        <v>37</v>
      </c>
      <c r="S2" s="42" t="s">
        <v>36</v>
      </c>
      <c r="T2" s="42" t="s">
        <v>36</v>
      </c>
      <c r="U2" s="42" t="s">
        <v>37</v>
      </c>
      <c r="V2" s="42" t="s">
        <v>36</v>
      </c>
      <c r="W2" s="42" t="s">
        <v>36</v>
      </c>
      <c r="X2" s="42" t="s">
        <v>36</v>
      </c>
      <c r="Y2" s="42" t="s">
        <v>37</v>
      </c>
      <c r="Z2" s="42" t="s">
        <v>38</v>
      </c>
      <c r="AA2" s="42" t="s">
        <v>36</v>
      </c>
      <c r="AB2" s="42" t="s">
        <v>36</v>
      </c>
      <c r="AC2" s="42" t="s">
        <v>36</v>
      </c>
      <c r="AD2" s="42" t="s">
        <v>36</v>
      </c>
      <c r="AE2" s="42" t="s">
        <v>36</v>
      </c>
      <c r="AF2" s="42" t="s">
        <v>36</v>
      </c>
      <c r="AG2" s="42" t="s">
        <v>38</v>
      </c>
      <c r="AH2" s="42" t="s">
        <v>38</v>
      </c>
      <c r="AI2" s="42" t="s">
        <v>38</v>
      </c>
      <c r="AJ2" s="42" t="s">
        <v>36</v>
      </c>
      <c r="AK2" s="42" t="s">
        <v>36</v>
      </c>
      <c r="AL2" s="42" t="s">
        <v>36</v>
      </c>
    </row>
    <row r="3" spans="1:38" x14ac:dyDescent="0.25">
      <c r="A3" s="43"/>
      <c r="B3" s="41" t="s">
        <v>39</v>
      </c>
      <c r="C3" s="41" t="s">
        <v>40</v>
      </c>
      <c r="D3" s="41" t="s">
        <v>41</v>
      </c>
      <c r="E3" s="41" t="s">
        <v>40</v>
      </c>
      <c r="F3" s="41" t="s">
        <v>42</v>
      </c>
      <c r="G3" s="41" t="s">
        <v>43</v>
      </c>
      <c r="H3" s="41" t="s">
        <v>44</v>
      </c>
      <c r="I3" s="41" t="s">
        <v>45</v>
      </c>
      <c r="J3" s="41" t="s">
        <v>40</v>
      </c>
      <c r="K3" s="41" t="s">
        <v>40</v>
      </c>
      <c r="L3" s="41" t="s">
        <v>46</v>
      </c>
      <c r="M3" s="42" t="s">
        <v>47</v>
      </c>
      <c r="N3" s="24" t="s">
        <v>40</v>
      </c>
      <c r="O3" s="42" t="s">
        <v>42</v>
      </c>
      <c r="P3" s="42" t="s">
        <v>48</v>
      </c>
      <c r="Q3" s="42" t="s">
        <v>45</v>
      </c>
      <c r="R3" s="42" t="s">
        <v>44</v>
      </c>
      <c r="S3" s="42" t="s">
        <v>49</v>
      </c>
      <c r="T3" s="42" t="s">
        <v>47</v>
      </c>
      <c r="U3" s="42" t="s">
        <v>50</v>
      </c>
      <c r="V3" s="42" t="s">
        <v>44</v>
      </c>
      <c r="W3" s="42" t="s">
        <v>45</v>
      </c>
      <c r="X3" s="42" t="s">
        <v>45</v>
      </c>
      <c r="Y3" s="42" t="s">
        <v>39</v>
      </c>
      <c r="Z3" s="42" t="s">
        <v>46</v>
      </c>
      <c r="AA3" s="42" t="s">
        <v>51</v>
      </c>
      <c r="AB3" s="42" t="s">
        <v>51</v>
      </c>
      <c r="AC3" s="42" t="s">
        <v>45</v>
      </c>
      <c r="AD3" s="42" t="s">
        <v>45</v>
      </c>
      <c r="AE3" s="42" t="s">
        <v>50</v>
      </c>
      <c r="AF3" s="42" t="s">
        <v>49</v>
      </c>
      <c r="AG3" s="42" t="s">
        <v>39</v>
      </c>
      <c r="AH3" s="42" t="s">
        <v>46</v>
      </c>
      <c r="AI3" s="42" t="s">
        <v>46</v>
      </c>
      <c r="AJ3" s="42" t="s">
        <v>40</v>
      </c>
      <c r="AK3" s="42" t="s">
        <v>42</v>
      </c>
      <c r="AL3" s="42" t="s">
        <v>52</v>
      </c>
    </row>
    <row r="4" spans="1:38" x14ac:dyDescent="0.25">
      <c r="A4" s="43"/>
      <c r="B4" s="25" t="s">
        <v>53</v>
      </c>
      <c r="C4" s="25" t="s">
        <v>54</v>
      </c>
      <c r="D4" s="41" t="s">
        <v>55</v>
      </c>
      <c r="E4" s="25" t="s">
        <v>3</v>
      </c>
      <c r="F4" s="41" t="s">
        <v>56</v>
      </c>
      <c r="G4" s="25" t="s">
        <v>57</v>
      </c>
      <c r="H4" s="25" t="s">
        <v>6</v>
      </c>
      <c r="I4" s="25" t="s">
        <v>58</v>
      </c>
      <c r="J4" s="41" t="s">
        <v>59</v>
      </c>
      <c r="K4" s="41" t="s">
        <v>60</v>
      </c>
      <c r="L4" s="41" t="s">
        <v>61</v>
      </c>
      <c r="M4" s="26" t="s">
        <v>62</v>
      </c>
      <c r="N4" s="27" t="s">
        <v>3</v>
      </c>
      <c r="O4" s="42" t="s">
        <v>56</v>
      </c>
      <c r="P4" s="42" t="s">
        <v>63</v>
      </c>
      <c r="Q4" s="42" t="s">
        <v>64</v>
      </c>
      <c r="R4" s="42" t="s">
        <v>4</v>
      </c>
      <c r="S4" s="42" t="s">
        <v>65</v>
      </c>
      <c r="T4" s="42" t="s">
        <v>66</v>
      </c>
      <c r="U4" s="42" t="s">
        <v>67</v>
      </c>
      <c r="V4" s="42" t="s">
        <v>6</v>
      </c>
      <c r="W4" s="42" t="s">
        <v>68</v>
      </c>
      <c r="X4" s="42" t="s">
        <v>69</v>
      </c>
      <c r="Y4" s="42" t="s">
        <v>70</v>
      </c>
      <c r="Z4" s="42" t="s">
        <v>71</v>
      </c>
      <c r="AA4" s="42" t="s">
        <v>72</v>
      </c>
      <c r="AB4" s="42" t="s">
        <v>73</v>
      </c>
      <c r="AC4" s="42" t="s">
        <v>74</v>
      </c>
      <c r="AD4" s="42" t="s">
        <v>75</v>
      </c>
      <c r="AE4" s="42" t="s">
        <v>76</v>
      </c>
      <c r="AF4" s="42" t="s">
        <v>77</v>
      </c>
      <c r="AG4" s="42" t="s">
        <v>78</v>
      </c>
      <c r="AH4" s="42" t="s">
        <v>79</v>
      </c>
      <c r="AI4" s="42" t="s">
        <v>80</v>
      </c>
      <c r="AJ4" s="42" t="s">
        <v>81</v>
      </c>
      <c r="AK4" s="42" t="s">
        <v>82</v>
      </c>
      <c r="AL4" s="42" t="s">
        <v>83</v>
      </c>
    </row>
    <row r="5" spans="1:38" x14ac:dyDescent="0.25">
      <c r="A5" s="3">
        <v>1</v>
      </c>
      <c r="B5" s="3" t="s">
        <v>93</v>
      </c>
      <c r="C5" s="3" t="s">
        <v>122</v>
      </c>
      <c r="D5" s="3"/>
      <c r="E5" s="3" t="s">
        <v>122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423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122</v>
      </c>
      <c r="D6" s="3"/>
      <c r="E6" s="3" t="s">
        <v>122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114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122</v>
      </c>
      <c r="D7" s="3"/>
      <c r="E7" s="3" t="s">
        <v>122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163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122</v>
      </c>
      <c r="D8" s="3"/>
      <c r="E8" s="3" t="s">
        <v>122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164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122</v>
      </c>
      <c r="D9" s="3"/>
      <c r="E9" s="3" t="s">
        <v>122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115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122</v>
      </c>
      <c r="D10" s="3"/>
      <c r="E10" s="3" t="s">
        <v>122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0.34499999999999997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122</v>
      </c>
      <c r="D11" s="3"/>
      <c r="E11" s="3" t="s">
        <v>122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111</v>
      </c>
      <c r="O11" s="3"/>
      <c r="P11" s="3"/>
      <c r="Q11" s="3">
        <v>16.611999999999998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122</v>
      </c>
      <c r="D12" s="3"/>
      <c r="E12" s="3" t="s">
        <v>122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21</v>
      </c>
      <c r="O12" s="3"/>
      <c r="P12" s="3"/>
      <c r="Q12" s="3">
        <v>102.161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122</v>
      </c>
      <c r="D13" s="3"/>
      <c r="E13" s="3" t="s">
        <v>122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123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122</v>
      </c>
      <c r="D14" s="3"/>
      <c r="E14" s="3" t="s">
        <v>122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122</v>
      </c>
      <c r="D15" s="3"/>
      <c r="E15" s="3" t="s">
        <v>122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122</v>
      </c>
      <c r="D16" s="3"/>
      <c r="E16" s="3" t="s">
        <v>122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122</v>
      </c>
      <c r="D17" s="3"/>
      <c r="E17" s="3" t="s">
        <v>122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116</v>
      </c>
      <c r="O17" s="3"/>
      <c r="P17" s="3"/>
      <c r="Q17" s="3">
        <v>0.60799999999999998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122</v>
      </c>
      <c r="D18" s="3"/>
      <c r="E18" s="3" t="s">
        <v>122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165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424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114</v>
      </c>
      <c r="O20" s="3"/>
      <c r="P20" s="3"/>
      <c r="Q20" s="3">
        <v>1.016</v>
      </c>
      <c r="R20" s="3" t="s">
        <v>17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166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167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115</v>
      </c>
      <c r="O23" s="3"/>
      <c r="P23" s="3"/>
      <c r="Q23" s="3">
        <v>1.016</v>
      </c>
      <c r="R23" s="3" t="s">
        <v>17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109</v>
      </c>
      <c r="O24" s="3"/>
      <c r="P24" s="3"/>
      <c r="Q24" s="3">
        <v>0.41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111</v>
      </c>
      <c r="O25" s="3"/>
      <c r="P25" s="3"/>
      <c r="Q25" s="3">
        <v>17.526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21</v>
      </c>
      <c r="O26" s="3"/>
      <c r="P26" s="3"/>
      <c r="Q26" s="3">
        <v>107.785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123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25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116</v>
      </c>
      <c r="O31" s="3"/>
      <c r="P31" s="3"/>
      <c r="Q31" s="3">
        <v>0.68899999999999995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168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125</v>
      </c>
      <c r="D33" s="3"/>
      <c r="E33" s="3" t="s">
        <v>125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425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125</v>
      </c>
      <c r="D34" s="3"/>
      <c r="E34" s="3" t="s">
        <v>125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114</v>
      </c>
      <c r="O34" s="3"/>
      <c r="P34" s="3"/>
      <c r="Q34" s="3">
        <v>1.1679999999999999</v>
      </c>
      <c r="R34" s="3" t="s">
        <v>17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125</v>
      </c>
      <c r="D35" s="3"/>
      <c r="E35" s="3" t="s">
        <v>125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169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125</v>
      </c>
      <c r="D36" s="3"/>
      <c r="E36" s="3" t="s">
        <v>125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170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125</v>
      </c>
      <c r="D37" s="3"/>
      <c r="E37" s="3" t="s">
        <v>125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115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125</v>
      </c>
      <c r="D38" s="3"/>
      <c r="E38" s="3" t="s">
        <v>125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109</v>
      </c>
      <c r="O38" s="3"/>
      <c r="P38" s="3"/>
      <c r="Q38" s="3">
        <v>0.47399999999999998</v>
      </c>
      <c r="R38" s="3" t="s">
        <v>110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125</v>
      </c>
      <c r="D39" s="3"/>
      <c r="E39" s="3" t="s">
        <v>125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111</v>
      </c>
      <c r="O39" s="3"/>
      <c r="P39" s="3"/>
      <c r="Q39" s="3">
        <v>18.440000000000001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125</v>
      </c>
      <c r="D40" s="3"/>
      <c r="E40" s="3" t="s">
        <v>125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21</v>
      </c>
      <c r="O40" s="3"/>
      <c r="P40" s="3"/>
      <c r="Q40" s="3">
        <v>113.408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125</v>
      </c>
      <c r="D41" s="3"/>
      <c r="E41" s="3" t="s">
        <v>125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123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125</v>
      </c>
      <c r="D42" s="3"/>
      <c r="E42" s="3" t="s">
        <v>125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125</v>
      </c>
      <c r="D43" s="3"/>
      <c r="E43" s="3" t="s">
        <v>125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125</v>
      </c>
      <c r="D44" s="3"/>
      <c r="E44" s="3" t="s">
        <v>125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125</v>
      </c>
      <c r="D45" s="3"/>
      <c r="E45" s="3" t="s">
        <v>125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116</v>
      </c>
      <c r="O45" s="3"/>
      <c r="P45" s="3"/>
      <c r="Q45" s="3">
        <v>0.77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125</v>
      </c>
      <c r="D46" s="3"/>
      <c r="E46" s="3" t="s">
        <v>125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171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126</v>
      </c>
      <c r="D47" s="3"/>
      <c r="E47" s="3" t="s">
        <v>126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426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126</v>
      </c>
      <c r="D48" s="3"/>
      <c r="E48" s="3" t="s">
        <v>126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114</v>
      </c>
      <c r="O48" s="3"/>
      <c r="P48" s="3"/>
      <c r="Q48" s="3">
        <v>1.321</v>
      </c>
      <c r="R48" s="3" t="s">
        <v>17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126</v>
      </c>
      <c r="D49" s="3"/>
      <c r="E49" s="3" t="s">
        <v>126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172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126</v>
      </c>
      <c r="D50" s="3"/>
      <c r="E50" s="3" t="s">
        <v>126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173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126</v>
      </c>
      <c r="D51" s="3"/>
      <c r="E51" s="3" t="s">
        <v>126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115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126</v>
      </c>
      <c r="D52" s="3"/>
      <c r="E52" s="3" t="s">
        <v>126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109</v>
      </c>
      <c r="O52" s="3"/>
      <c r="P52" s="3"/>
      <c r="Q52" s="3">
        <v>0.53900000000000003</v>
      </c>
      <c r="R52" s="3" t="s">
        <v>110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126</v>
      </c>
      <c r="D53" s="3"/>
      <c r="E53" s="3" t="s">
        <v>126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111</v>
      </c>
      <c r="O53" s="3"/>
      <c r="P53" s="3"/>
      <c r="Q53" s="3">
        <v>19.355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126</v>
      </c>
      <c r="D54" s="3"/>
      <c r="E54" s="3" t="s">
        <v>126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21</v>
      </c>
      <c r="O54" s="3"/>
      <c r="P54" s="3"/>
      <c r="Q54" s="3">
        <v>119.032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126</v>
      </c>
      <c r="D55" s="3"/>
      <c r="E55" s="3" t="s">
        <v>126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123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126</v>
      </c>
      <c r="D56" s="3"/>
      <c r="E56" s="3" t="s">
        <v>126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126</v>
      </c>
      <c r="D57" s="3"/>
      <c r="E57" s="3" t="s">
        <v>126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126</v>
      </c>
      <c r="D58" s="3"/>
      <c r="E58" s="3" t="s">
        <v>126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126</v>
      </c>
      <c r="D59" s="3"/>
      <c r="E59" s="3" t="s">
        <v>126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116</v>
      </c>
      <c r="O59" s="3"/>
      <c r="P59" s="3"/>
      <c r="Q59" s="3">
        <v>0.85099999999999998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126</v>
      </c>
      <c r="D60" s="3"/>
      <c r="E60" s="3" t="s">
        <v>126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174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127</v>
      </c>
      <c r="D61" s="3"/>
      <c r="E61" s="3" t="s">
        <v>127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427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127</v>
      </c>
      <c r="D62" s="3"/>
      <c r="E62" s="3" t="s">
        <v>127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114</v>
      </c>
      <c r="O62" s="3"/>
      <c r="P62" s="3"/>
      <c r="Q62" s="3">
        <v>1.397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127</v>
      </c>
      <c r="D63" s="3"/>
      <c r="E63" s="3" t="s">
        <v>127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175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127</v>
      </c>
      <c r="D64" s="3"/>
      <c r="E64" s="3" t="s">
        <v>127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176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127</v>
      </c>
      <c r="D65" s="3"/>
      <c r="E65" s="3" t="s">
        <v>127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115</v>
      </c>
      <c r="O65" s="3"/>
      <c r="P65" s="3"/>
      <c r="Q65" s="3">
        <v>1.397</v>
      </c>
      <c r="R65" s="3" t="s">
        <v>17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127</v>
      </c>
      <c r="D66" s="3"/>
      <c r="E66" s="3" t="s">
        <v>127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109</v>
      </c>
      <c r="O66" s="3"/>
      <c r="P66" s="3"/>
      <c r="Q66" s="3">
        <v>0.57199999999999995</v>
      </c>
      <c r="R66" s="3" t="s">
        <v>110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127</v>
      </c>
      <c r="D67" s="3"/>
      <c r="E67" s="3" t="s">
        <v>127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111</v>
      </c>
      <c r="O67" s="3"/>
      <c r="P67" s="3"/>
      <c r="Q67" s="3">
        <v>19.812000000000001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127</v>
      </c>
      <c r="D68" s="3"/>
      <c r="E68" s="3" t="s">
        <v>127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21</v>
      </c>
      <c r="O68" s="3"/>
      <c r="P68" s="3"/>
      <c r="Q68" s="3">
        <v>121.84399999999999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127</v>
      </c>
      <c r="D69" s="3"/>
      <c r="E69" s="3" t="s">
        <v>127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123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127</v>
      </c>
      <c r="D70" s="3"/>
      <c r="E70" s="3" t="s">
        <v>127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127</v>
      </c>
      <c r="D71" s="3"/>
      <c r="E71" s="3" t="s">
        <v>127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127</v>
      </c>
      <c r="D72" s="3"/>
      <c r="E72" s="3" t="s">
        <v>127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127</v>
      </c>
      <c r="D73" s="3"/>
      <c r="E73" s="3" t="s">
        <v>127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116</v>
      </c>
      <c r="O73" s="3"/>
      <c r="P73" s="3"/>
      <c r="Q73" s="3">
        <v>0.89200000000000002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127</v>
      </c>
      <c r="D74" s="3"/>
      <c r="E74" s="3" t="s">
        <v>127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177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128</v>
      </c>
      <c r="D75" s="3"/>
      <c r="E75" s="3" t="s">
        <v>128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428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128</v>
      </c>
      <c r="D76" s="3"/>
      <c r="E76" s="3" t="s">
        <v>128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114</v>
      </c>
      <c r="O76" s="3"/>
      <c r="P76" s="3"/>
      <c r="Q76" s="3">
        <v>1.4730000000000001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128</v>
      </c>
      <c r="D77" s="3"/>
      <c r="E77" s="3" t="s">
        <v>128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178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128</v>
      </c>
      <c r="D78" s="3"/>
      <c r="E78" s="3" t="s">
        <v>128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179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128</v>
      </c>
      <c r="D79" s="3"/>
      <c r="E79" s="3" t="s">
        <v>128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115</v>
      </c>
      <c r="O79" s="3"/>
      <c r="P79" s="3"/>
      <c r="Q79" s="3">
        <v>1.4730000000000001</v>
      </c>
      <c r="R79" s="3" t="s">
        <v>17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128</v>
      </c>
      <c r="D80" s="3"/>
      <c r="E80" s="3" t="s">
        <v>128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109</v>
      </c>
      <c r="O80" s="3"/>
      <c r="P80" s="3"/>
      <c r="Q80" s="3">
        <v>0.60399999999999998</v>
      </c>
      <c r="R80" s="3" t="s">
        <v>110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128</v>
      </c>
      <c r="D81" s="3"/>
      <c r="E81" s="3" t="s">
        <v>128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111</v>
      </c>
      <c r="O81" s="3"/>
      <c r="P81" s="3"/>
      <c r="Q81" s="3">
        <v>20.268999999999998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128</v>
      </c>
      <c r="D82" s="3"/>
      <c r="E82" s="3" t="s">
        <v>128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21</v>
      </c>
      <c r="O82" s="3"/>
      <c r="P82" s="3"/>
      <c r="Q82" s="3">
        <v>124.65600000000001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128</v>
      </c>
      <c r="D83" s="3"/>
      <c r="E83" s="3" t="s">
        <v>128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123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128</v>
      </c>
      <c r="D84" s="3"/>
      <c r="E84" s="3" t="s">
        <v>128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128</v>
      </c>
      <c r="D85" s="3"/>
      <c r="E85" s="3" t="s">
        <v>128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128</v>
      </c>
      <c r="D86" s="3"/>
      <c r="E86" s="3" t="s">
        <v>128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128</v>
      </c>
      <c r="D87" s="3"/>
      <c r="E87" s="3" t="s">
        <v>128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116</v>
      </c>
      <c r="O87" s="3"/>
      <c r="P87" s="3"/>
      <c r="Q87" s="3">
        <v>0.93200000000000005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128</v>
      </c>
      <c r="D88" s="3"/>
      <c r="E88" s="3" t="s">
        <v>128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180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129</v>
      </c>
      <c r="D89" s="3"/>
      <c r="E89" s="3" t="s">
        <v>129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429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129</v>
      </c>
      <c r="D90" s="3"/>
      <c r="E90" s="3" t="s">
        <v>129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114</v>
      </c>
      <c r="O90" s="3"/>
      <c r="P90" s="3"/>
      <c r="Q90" s="3">
        <v>1.6259999999999999</v>
      </c>
      <c r="R90" s="3" t="s">
        <v>17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129</v>
      </c>
      <c r="D91" s="3"/>
      <c r="E91" s="3" t="s">
        <v>129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181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129</v>
      </c>
      <c r="D92" s="3"/>
      <c r="E92" s="3" t="s">
        <v>129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182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129</v>
      </c>
      <c r="D93" s="3"/>
      <c r="E93" s="3" t="s">
        <v>129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115</v>
      </c>
      <c r="O93" s="3"/>
      <c r="P93" s="3"/>
      <c r="Q93" s="3">
        <v>1.6259999999999999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129</v>
      </c>
      <c r="D94" s="3"/>
      <c r="E94" s="3" t="s">
        <v>129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109</v>
      </c>
      <c r="O94" s="3"/>
      <c r="P94" s="3"/>
      <c r="Q94" s="3">
        <v>0.66900000000000004</v>
      </c>
      <c r="R94" s="3" t="s">
        <v>110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129</v>
      </c>
      <c r="D95" s="3"/>
      <c r="E95" s="3" t="s">
        <v>129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111</v>
      </c>
      <c r="O95" s="3"/>
      <c r="P95" s="3"/>
      <c r="Q95" s="3">
        <v>21.184000000000001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129</v>
      </c>
      <c r="D96" s="3"/>
      <c r="E96" s="3" t="s">
        <v>129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21</v>
      </c>
      <c r="O96" s="3"/>
      <c r="P96" s="3"/>
      <c r="Q96" s="3">
        <v>130.279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129</v>
      </c>
      <c r="D97" s="3"/>
      <c r="E97" s="3" t="s">
        <v>129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123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129</v>
      </c>
      <c r="D98" s="3"/>
      <c r="E98" s="3" t="s">
        <v>129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129</v>
      </c>
      <c r="D99" s="3"/>
      <c r="E99" s="3" t="s">
        <v>129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129</v>
      </c>
      <c r="D100" s="3"/>
      <c r="E100" s="3" t="s">
        <v>129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129</v>
      </c>
      <c r="D101" s="3"/>
      <c r="E101" s="3" t="s">
        <v>129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116</v>
      </c>
      <c r="O101" s="3"/>
      <c r="P101" s="3"/>
      <c r="Q101" s="3">
        <v>1.0129999999999999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129</v>
      </c>
      <c r="D102" s="3"/>
      <c r="E102" s="3" t="s">
        <v>129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183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130</v>
      </c>
      <c r="D103" s="3"/>
      <c r="E103" s="3" t="s">
        <v>130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430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130</v>
      </c>
      <c r="D104" s="3"/>
      <c r="E104" s="3" t="s">
        <v>130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114</v>
      </c>
      <c r="O104" s="3"/>
      <c r="P104" s="3"/>
      <c r="Q104" s="3">
        <v>1.778</v>
      </c>
      <c r="R104" s="3" t="s">
        <v>17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130</v>
      </c>
      <c r="D105" s="3"/>
      <c r="E105" s="3" t="s">
        <v>130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184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130</v>
      </c>
      <c r="D106" s="3"/>
      <c r="E106" s="3" t="s">
        <v>130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185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130</v>
      </c>
      <c r="D107" s="3"/>
      <c r="E107" s="3" t="s">
        <v>130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115</v>
      </c>
      <c r="O107" s="3"/>
      <c r="P107" s="3"/>
      <c r="Q107" s="3">
        <v>1.778</v>
      </c>
      <c r="R107" s="3" t="s">
        <v>17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130</v>
      </c>
      <c r="D108" s="3"/>
      <c r="E108" s="3" t="s">
        <v>130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109</v>
      </c>
      <c r="O108" s="3"/>
      <c r="P108" s="3"/>
      <c r="Q108" s="3">
        <v>0.73299999999999998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130</v>
      </c>
      <c r="D109" s="3"/>
      <c r="E109" s="3" t="s">
        <v>130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111</v>
      </c>
      <c r="O109" s="3"/>
      <c r="P109" s="3"/>
      <c r="Q109" s="3">
        <v>22.097999999999999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130</v>
      </c>
      <c r="D110" s="3"/>
      <c r="E110" s="3" t="s">
        <v>130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21</v>
      </c>
      <c r="O110" s="3"/>
      <c r="P110" s="3"/>
      <c r="Q110" s="3">
        <v>135.90299999999999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130</v>
      </c>
      <c r="D111" s="3"/>
      <c r="E111" s="3" t="s">
        <v>130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123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130</v>
      </c>
      <c r="D112" s="3"/>
      <c r="E112" s="3" t="s">
        <v>130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130</v>
      </c>
      <c r="D113" s="3"/>
      <c r="E113" s="3" t="s">
        <v>130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130</v>
      </c>
      <c r="D114" s="3"/>
      <c r="E114" s="3" t="s">
        <v>130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130</v>
      </c>
      <c r="D115" s="3"/>
      <c r="E115" s="3" t="s">
        <v>130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116</v>
      </c>
      <c r="O115" s="3"/>
      <c r="P115" s="3"/>
      <c r="Q115" s="3">
        <v>1.0940000000000001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130</v>
      </c>
      <c r="D116" s="3"/>
      <c r="E116" s="3" t="s">
        <v>130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186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131</v>
      </c>
      <c r="D117" s="3"/>
      <c r="E117" s="3" t="s">
        <v>131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431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131</v>
      </c>
      <c r="D118" s="3"/>
      <c r="E118" s="3" t="s">
        <v>131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114</v>
      </c>
      <c r="O118" s="3"/>
      <c r="P118" s="3"/>
      <c r="Q118" s="3">
        <v>0.86399999999999999</v>
      </c>
      <c r="R118" s="3" t="s">
        <v>17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131</v>
      </c>
      <c r="D119" s="3"/>
      <c r="E119" s="3" t="s">
        <v>131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187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131</v>
      </c>
      <c r="D120" s="3"/>
      <c r="E120" s="3" t="s">
        <v>131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188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131</v>
      </c>
      <c r="D121" s="3"/>
      <c r="E121" s="3" t="s">
        <v>131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115</v>
      </c>
      <c r="O121" s="3"/>
      <c r="P121" s="3"/>
      <c r="Q121" s="3">
        <v>0.86399999999999999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109</v>
      </c>
      <c r="O122" s="3"/>
      <c r="P122" s="3"/>
      <c r="Q122" s="3">
        <v>0.36</v>
      </c>
      <c r="R122" s="3" t="s">
        <v>110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111</v>
      </c>
      <c r="O123" s="3"/>
      <c r="P123" s="3"/>
      <c r="Q123" s="3">
        <v>17.068999999999999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21</v>
      </c>
      <c r="O124" s="3"/>
      <c r="P124" s="3"/>
      <c r="Q124" s="3">
        <v>104.973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131</v>
      </c>
      <c r="D125" s="3"/>
      <c r="E125" s="3" t="s">
        <v>131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123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131</v>
      </c>
      <c r="D126" s="3"/>
      <c r="E126" s="3" t="s">
        <v>131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131</v>
      </c>
      <c r="D127" s="3"/>
      <c r="E127" s="3" t="s">
        <v>131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131</v>
      </c>
      <c r="D128" s="3"/>
      <c r="E128" s="3" t="s">
        <v>131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131</v>
      </c>
      <c r="D129" s="3"/>
      <c r="E129" s="3" t="s">
        <v>131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116</v>
      </c>
      <c r="O129" s="3"/>
      <c r="P129" s="3"/>
      <c r="Q129" s="3">
        <v>0.60799999999999998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131</v>
      </c>
      <c r="D130" s="3"/>
      <c r="E130" s="3" t="s">
        <v>131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189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132</v>
      </c>
      <c r="D131" s="3"/>
      <c r="E131" s="3" t="s">
        <v>132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432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132</v>
      </c>
      <c r="D132" s="3"/>
      <c r="E132" s="3" t="s">
        <v>132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114</v>
      </c>
      <c r="O132" s="3"/>
      <c r="P132" s="3"/>
      <c r="Q132" s="3">
        <v>1.016</v>
      </c>
      <c r="R132" s="3" t="s">
        <v>17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132</v>
      </c>
      <c r="D133" s="3"/>
      <c r="E133" s="3" t="s">
        <v>132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190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132</v>
      </c>
      <c r="D134" s="3"/>
      <c r="E134" s="3" t="s">
        <v>132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191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132</v>
      </c>
      <c r="D135" s="3"/>
      <c r="E135" s="3" t="s">
        <v>132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115</v>
      </c>
      <c r="O135" s="3"/>
      <c r="P135" s="3"/>
      <c r="Q135" s="3">
        <v>1.016</v>
      </c>
      <c r="R135" s="3" t="s">
        <v>17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132</v>
      </c>
      <c r="D136" s="3"/>
      <c r="E136" s="3" t="s">
        <v>132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109</v>
      </c>
      <c r="O136" s="3"/>
      <c r="P136" s="3"/>
      <c r="Q136" s="3">
        <v>0.42699999999999999</v>
      </c>
      <c r="R136" s="3" t="s">
        <v>110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132</v>
      </c>
      <c r="D137" s="3"/>
      <c r="E137" s="3" t="s">
        <v>132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111</v>
      </c>
      <c r="O137" s="3"/>
      <c r="P137" s="3"/>
      <c r="Q137" s="3">
        <v>17.983000000000001</v>
      </c>
      <c r="R137" s="3" t="s">
        <v>17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132</v>
      </c>
      <c r="D138" s="3"/>
      <c r="E138" s="3" t="s">
        <v>132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21</v>
      </c>
      <c r="O138" s="3"/>
      <c r="P138" s="3"/>
      <c r="Q138" s="3">
        <v>110.59699999999999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132</v>
      </c>
      <c r="D139" s="3"/>
      <c r="E139" s="3" t="s">
        <v>132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123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132</v>
      </c>
      <c r="D140" s="3"/>
      <c r="E140" s="3" t="s">
        <v>132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132</v>
      </c>
      <c r="D141" s="3"/>
      <c r="E141" s="3" t="s">
        <v>132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132</v>
      </c>
      <c r="D142" s="3"/>
      <c r="E142" s="3" t="s">
        <v>132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132</v>
      </c>
      <c r="D143" s="3"/>
      <c r="E143" s="3" t="s">
        <v>132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116</v>
      </c>
      <c r="O143" s="3"/>
      <c r="P143" s="3"/>
      <c r="Q143" s="3">
        <v>0.68899999999999995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132</v>
      </c>
      <c r="D144" s="3"/>
      <c r="E144" s="3" t="s">
        <v>132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192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133</v>
      </c>
      <c r="D145" s="3"/>
      <c r="E145" s="3" t="s">
        <v>133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433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133</v>
      </c>
      <c r="D146" s="3"/>
      <c r="E146" s="3" t="s">
        <v>133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114</v>
      </c>
      <c r="O146" s="3"/>
      <c r="P146" s="3"/>
      <c r="Q146" s="3">
        <v>1.1679999999999999</v>
      </c>
      <c r="R146" s="3" t="s">
        <v>17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133</v>
      </c>
      <c r="D147" s="3"/>
      <c r="E147" s="3" t="s">
        <v>133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193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133</v>
      </c>
      <c r="D148" s="3"/>
      <c r="E148" s="3" t="s">
        <v>133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194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133</v>
      </c>
      <c r="D149" s="3"/>
      <c r="E149" s="3" t="s">
        <v>133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115</v>
      </c>
      <c r="O149" s="3"/>
      <c r="P149" s="3"/>
      <c r="Q149" s="3">
        <v>1.1679999999999999</v>
      </c>
      <c r="R149" s="3" t="s">
        <v>17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133</v>
      </c>
      <c r="D150" s="3"/>
      <c r="E150" s="3" t="s">
        <v>133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109</v>
      </c>
      <c r="O150" s="3"/>
      <c r="P150" s="3"/>
      <c r="Q150" s="3">
        <v>0.495</v>
      </c>
      <c r="R150" s="3" t="s">
        <v>110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133</v>
      </c>
      <c r="D151" s="3"/>
      <c r="E151" s="3" t="s">
        <v>133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111</v>
      </c>
      <c r="O151" s="3"/>
      <c r="P151" s="3"/>
      <c r="Q151" s="3">
        <v>18.898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133</v>
      </c>
      <c r="D152" s="3"/>
      <c r="E152" s="3" t="s">
        <v>133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21</v>
      </c>
      <c r="O152" s="3"/>
      <c r="P152" s="3"/>
      <c r="Q152" s="3">
        <v>116.22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133</v>
      </c>
      <c r="D153" s="3"/>
      <c r="E153" s="3" t="s">
        <v>133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123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133</v>
      </c>
      <c r="D154" s="3"/>
      <c r="E154" s="3" t="s">
        <v>133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133</v>
      </c>
      <c r="D155" s="3"/>
      <c r="E155" s="3" t="s">
        <v>133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133</v>
      </c>
      <c r="D156" s="3"/>
      <c r="E156" s="3" t="s">
        <v>133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116</v>
      </c>
      <c r="O157" s="3"/>
      <c r="P157" s="3"/>
      <c r="Q157" s="3">
        <v>0.77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195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134</v>
      </c>
      <c r="D159" s="3"/>
      <c r="E159" s="3" t="s">
        <v>134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434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134</v>
      </c>
      <c r="D160" s="3"/>
      <c r="E160" s="3" t="s">
        <v>134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114</v>
      </c>
      <c r="O160" s="3"/>
      <c r="P160" s="3"/>
      <c r="Q160" s="3">
        <v>1.321</v>
      </c>
      <c r="R160" s="3" t="s">
        <v>17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134</v>
      </c>
      <c r="D161" s="3"/>
      <c r="E161" s="3" t="s">
        <v>134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196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134</v>
      </c>
      <c r="D162" s="3"/>
      <c r="E162" s="3" t="s">
        <v>134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197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134</v>
      </c>
      <c r="D163" s="3"/>
      <c r="E163" s="3" t="s">
        <v>134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115</v>
      </c>
      <c r="O163" s="3"/>
      <c r="P163" s="3"/>
      <c r="Q163" s="3">
        <v>1.321</v>
      </c>
      <c r="R163" s="3" t="s">
        <v>17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134</v>
      </c>
      <c r="D164" s="3"/>
      <c r="E164" s="3" t="s">
        <v>134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109</v>
      </c>
      <c r="O164" s="3"/>
      <c r="P164" s="3"/>
      <c r="Q164" s="3">
        <v>0.56200000000000006</v>
      </c>
      <c r="R164" s="3" t="s">
        <v>110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134</v>
      </c>
      <c r="D165" s="3"/>
      <c r="E165" s="3" t="s">
        <v>134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111</v>
      </c>
      <c r="O165" s="3"/>
      <c r="P165" s="3"/>
      <c r="Q165" s="3">
        <v>19.812000000000001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134</v>
      </c>
      <c r="D166" s="3"/>
      <c r="E166" s="3" t="s">
        <v>134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21</v>
      </c>
      <c r="O166" s="3"/>
      <c r="P166" s="3"/>
      <c r="Q166" s="3">
        <v>121.84399999999999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134</v>
      </c>
      <c r="D167" s="3"/>
      <c r="E167" s="3" t="s">
        <v>134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123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134</v>
      </c>
      <c r="D168" s="3"/>
      <c r="E168" s="3" t="s">
        <v>134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134</v>
      </c>
      <c r="D169" s="3"/>
      <c r="E169" s="3" t="s">
        <v>134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134</v>
      </c>
      <c r="D170" s="3"/>
      <c r="E170" s="3" t="s">
        <v>134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134</v>
      </c>
      <c r="D171" s="3"/>
      <c r="E171" s="3" t="s">
        <v>134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116</v>
      </c>
      <c r="O171" s="3"/>
      <c r="P171" s="3"/>
      <c r="Q171" s="3">
        <v>0.85099999999999998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134</v>
      </c>
      <c r="D172" s="3"/>
      <c r="E172" s="3" t="s">
        <v>134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198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135</v>
      </c>
      <c r="D173" s="3"/>
      <c r="E173" s="3" t="s">
        <v>135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435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135</v>
      </c>
      <c r="D174" s="3"/>
      <c r="E174" s="3" t="s">
        <v>135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114</v>
      </c>
      <c r="O174" s="3"/>
      <c r="P174" s="3"/>
      <c r="Q174" s="3">
        <v>1.397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135</v>
      </c>
      <c r="D175" s="3"/>
      <c r="E175" s="3" t="s">
        <v>135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199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135</v>
      </c>
      <c r="D176" s="3"/>
      <c r="E176" s="3" t="s">
        <v>135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200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135</v>
      </c>
      <c r="D177" s="3"/>
      <c r="E177" s="3" t="s">
        <v>135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115</v>
      </c>
      <c r="O177" s="3"/>
      <c r="P177" s="3"/>
      <c r="Q177" s="3">
        <v>1.397</v>
      </c>
      <c r="R177" s="3" t="s">
        <v>17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135</v>
      </c>
      <c r="D178" s="3"/>
      <c r="E178" s="3" t="s">
        <v>135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109</v>
      </c>
      <c r="O178" s="3"/>
      <c r="P178" s="3"/>
      <c r="Q178" s="3">
        <v>0.59599999999999997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135</v>
      </c>
      <c r="D179" s="3"/>
      <c r="E179" s="3" t="s">
        <v>135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111</v>
      </c>
      <c r="O179" s="3"/>
      <c r="P179" s="3"/>
      <c r="Q179" s="3">
        <v>20.268999999999998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135</v>
      </c>
      <c r="D180" s="3"/>
      <c r="E180" s="3" t="s">
        <v>135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21</v>
      </c>
      <c r="O180" s="3"/>
      <c r="P180" s="3"/>
      <c r="Q180" s="3">
        <v>124.65600000000001</v>
      </c>
      <c r="R180" s="3" t="s">
        <v>17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135</v>
      </c>
      <c r="D181" s="3"/>
      <c r="E181" s="3" t="s">
        <v>135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123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135</v>
      </c>
      <c r="D182" s="3"/>
      <c r="E182" s="3" t="s">
        <v>135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135</v>
      </c>
      <c r="D183" s="3"/>
      <c r="E183" s="3" t="s">
        <v>135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135</v>
      </c>
      <c r="D184" s="3"/>
      <c r="E184" s="3" t="s">
        <v>135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135</v>
      </c>
      <c r="D185" s="3"/>
      <c r="E185" s="3" t="s">
        <v>135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116</v>
      </c>
      <c r="O185" s="3"/>
      <c r="P185" s="3"/>
      <c r="Q185" s="3">
        <v>0.89200000000000002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135</v>
      </c>
      <c r="D186" s="3"/>
      <c r="E186" s="3" t="s">
        <v>135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201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136</v>
      </c>
      <c r="D187" s="3"/>
      <c r="E187" s="3" t="s">
        <v>136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436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136</v>
      </c>
      <c r="D188" s="3"/>
      <c r="E188" s="3" t="s">
        <v>136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114</v>
      </c>
      <c r="O188" s="3"/>
      <c r="P188" s="3"/>
      <c r="Q188" s="3">
        <v>1.4730000000000001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136</v>
      </c>
      <c r="D189" s="3"/>
      <c r="E189" s="3" t="s">
        <v>136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202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136</v>
      </c>
      <c r="D190" s="3"/>
      <c r="E190" s="3" t="s">
        <v>136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203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136</v>
      </c>
      <c r="D191" s="3"/>
      <c r="E191" s="3" t="s">
        <v>136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115</v>
      </c>
      <c r="O191" s="3"/>
      <c r="P191" s="3"/>
      <c r="Q191" s="3">
        <v>1.4730000000000001</v>
      </c>
      <c r="R191" s="3" t="s">
        <v>17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136</v>
      </c>
      <c r="D192" s="3"/>
      <c r="E192" s="3" t="s">
        <v>136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109</v>
      </c>
      <c r="O192" s="3"/>
      <c r="P192" s="3"/>
      <c r="Q192" s="3">
        <v>0.629</v>
      </c>
      <c r="R192" s="3" t="s">
        <v>110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136</v>
      </c>
      <c r="D193" s="3"/>
      <c r="E193" s="3" t="s">
        <v>136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111</v>
      </c>
      <c r="O193" s="3"/>
      <c r="P193" s="3"/>
      <c r="Q193" s="3">
        <v>20.725999999999999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136</v>
      </c>
      <c r="D194" s="3"/>
      <c r="E194" s="3" t="s">
        <v>136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21</v>
      </c>
      <c r="O194" s="3"/>
      <c r="P194" s="3"/>
      <c r="Q194" s="3">
        <v>127.467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136</v>
      </c>
      <c r="D195" s="3"/>
      <c r="E195" s="3" t="s">
        <v>136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123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136</v>
      </c>
      <c r="D196" s="3"/>
      <c r="E196" s="3" t="s">
        <v>136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136</v>
      </c>
      <c r="D197" s="3"/>
      <c r="E197" s="3" t="s">
        <v>136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136</v>
      </c>
      <c r="D198" s="3"/>
      <c r="E198" s="3" t="s">
        <v>136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136</v>
      </c>
      <c r="D199" s="3"/>
      <c r="E199" s="3" t="s">
        <v>136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116</v>
      </c>
      <c r="O199" s="3"/>
      <c r="P199" s="3"/>
      <c r="Q199" s="3">
        <v>0.93200000000000005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136</v>
      </c>
      <c r="D200" s="3"/>
      <c r="E200" s="3" t="s">
        <v>136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204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137</v>
      </c>
      <c r="D201" s="3"/>
      <c r="E201" s="3" t="s">
        <v>137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437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137</v>
      </c>
      <c r="D202" s="3"/>
      <c r="E202" s="3" t="s">
        <v>137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114</v>
      </c>
      <c r="O202" s="3"/>
      <c r="P202" s="3"/>
      <c r="Q202" s="3">
        <v>1.6259999999999999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137</v>
      </c>
      <c r="D203" s="3"/>
      <c r="E203" s="3" t="s">
        <v>137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205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137</v>
      </c>
      <c r="D204" s="3"/>
      <c r="E204" s="3" t="s">
        <v>137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206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137</v>
      </c>
      <c r="D205" s="3"/>
      <c r="E205" s="3" t="s">
        <v>137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115</v>
      </c>
      <c r="O205" s="3"/>
      <c r="P205" s="3"/>
      <c r="Q205" s="3">
        <v>1.6259999999999999</v>
      </c>
      <c r="R205" s="3" t="s">
        <v>17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137</v>
      </c>
      <c r="D206" s="3"/>
      <c r="E206" s="3" t="s">
        <v>137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109</v>
      </c>
      <c r="O206" s="3"/>
      <c r="P206" s="3"/>
      <c r="Q206" s="3">
        <v>0.69699999999999995</v>
      </c>
      <c r="R206" s="3" t="s">
        <v>110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137</v>
      </c>
      <c r="D207" s="3"/>
      <c r="E207" s="3" t="s">
        <v>137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111</v>
      </c>
      <c r="O207" s="3"/>
      <c r="P207" s="3"/>
      <c r="Q207" s="3">
        <v>21.640999999999998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137</v>
      </c>
      <c r="D208" s="3"/>
      <c r="E208" s="3" t="s">
        <v>137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21</v>
      </c>
      <c r="O208" s="3"/>
      <c r="P208" s="3"/>
      <c r="Q208" s="3">
        <v>133.09100000000001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137</v>
      </c>
      <c r="D209" s="3"/>
      <c r="E209" s="3" t="s">
        <v>137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123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137</v>
      </c>
      <c r="D210" s="3"/>
      <c r="E210" s="3" t="s">
        <v>137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137</v>
      </c>
      <c r="D211" s="3"/>
      <c r="E211" s="3" t="s">
        <v>137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137</v>
      </c>
      <c r="D212" s="3"/>
      <c r="E212" s="3" t="s">
        <v>137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137</v>
      </c>
      <c r="D213" s="3"/>
      <c r="E213" s="3" t="s">
        <v>137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116</v>
      </c>
      <c r="O213" s="3"/>
      <c r="P213" s="3"/>
      <c r="Q213" s="3">
        <v>1.0129999999999999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137</v>
      </c>
      <c r="D214" s="3"/>
      <c r="E214" s="3" t="s">
        <v>137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207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138</v>
      </c>
      <c r="D215" s="3"/>
      <c r="E215" s="3" t="s">
        <v>138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438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138</v>
      </c>
      <c r="D216" s="3"/>
      <c r="E216" s="3" t="s">
        <v>138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114</v>
      </c>
      <c r="O216" s="3"/>
      <c r="P216" s="3"/>
      <c r="Q216" s="3">
        <v>1.778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138</v>
      </c>
      <c r="D217" s="3"/>
      <c r="E217" s="3" t="s">
        <v>138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208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138</v>
      </c>
      <c r="D218" s="3"/>
      <c r="E218" s="3" t="s">
        <v>138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209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138</v>
      </c>
      <c r="D219" s="3"/>
      <c r="E219" s="3" t="s">
        <v>138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115</v>
      </c>
      <c r="O219" s="3"/>
      <c r="P219" s="3"/>
      <c r="Q219" s="3">
        <v>1.778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138</v>
      </c>
      <c r="D220" s="3"/>
      <c r="E220" s="3" t="s">
        <v>138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0.76400000000000001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138</v>
      </c>
      <c r="D221" s="3"/>
      <c r="E221" s="3" t="s">
        <v>138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111</v>
      </c>
      <c r="O221" s="3"/>
      <c r="P221" s="3"/>
      <c r="Q221" s="3">
        <v>22.555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138</v>
      </c>
      <c r="D222" s="3"/>
      <c r="E222" s="3" t="s">
        <v>138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21</v>
      </c>
      <c r="O222" s="3"/>
      <c r="P222" s="3"/>
      <c r="Q222" s="3">
        <v>138.714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138</v>
      </c>
      <c r="D223" s="3"/>
      <c r="E223" s="3" t="s">
        <v>138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123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138</v>
      </c>
      <c r="D224" s="3"/>
      <c r="E224" s="3" t="s">
        <v>138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138</v>
      </c>
      <c r="D225" s="3"/>
      <c r="E225" s="3" t="s">
        <v>138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138</v>
      </c>
      <c r="D226" s="3"/>
      <c r="E226" s="3" t="s">
        <v>138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138</v>
      </c>
      <c r="D227" s="3"/>
      <c r="E227" s="3" t="s">
        <v>138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116</v>
      </c>
      <c r="O227" s="3"/>
      <c r="P227" s="3"/>
      <c r="Q227" s="3">
        <v>1.0940000000000001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138</v>
      </c>
      <c r="D228" s="3"/>
      <c r="E228" s="3" t="s">
        <v>138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210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139</v>
      </c>
      <c r="D229" s="3"/>
      <c r="E229" s="3" t="s">
        <v>139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439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139</v>
      </c>
      <c r="D230" s="3"/>
      <c r="E230" s="3" t="s">
        <v>139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114</v>
      </c>
      <c r="O230" s="3"/>
      <c r="P230" s="3"/>
      <c r="Q230" s="3">
        <v>0.86399999999999999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139</v>
      </c>
      <c r="D231" s="3"/>
      <c r="E231" s="3" t="s">
        <v>139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211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139</v>
      </c>
      <c r="D232" s="3"/>
      <c r="E232" s="3" t="s">
        <v>139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212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139</v>
      </c>
      <c r="D233" s="3"/>
      <c r="E233" s="3" t="s">
        <v>139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115</v>
      </c>
      <c r="O233" s="3"/>
      <c r="P233" s="3"/>
      <c r="Q233" s="3">
        <v>0.86399999999999999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139</v>
      </c>
      <c r="D234" s="3"/>
      <c r="E234" s="3" t="s">
        <v>139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109</v>
      </c>
      <c r="O234" s="3"/>
      <c r="P234" s="3"/>
      <c r="Q234" s="3">
        <v>0.374</v>
      </c>
      <c r="R234" s="3" t="s">
        <v>110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139</v>
      </c>
      <c r="D235" s="3"/>
      <c r="E235" s="3" t="s">
        <v>139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111</v>
      </c>
      <c r="O235" s="3"/>
      <c r="P235" s="3"/>
      <c r="Q235" s="3">
        <v>17.526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139</v>
      </c>
      <c r="D236" s="3"/>
      <c r="E236" s="3" t="s">
        <v>139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21</v>
      </c>
      <c r="O236" s="3"/>
      <c r="P236" s="3"/>
      <c r="Q236" s="3">
        <v>107.785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139</v>
      </c>
      <c r="D237" s="3"/>
      <c r="E237" s="3" t="s">
        <v>139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123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139</v>
      </c>
      <c r="D238" s="3"/>
      <c r="E238" s="3" t="s">
        <v>139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139</v>
      </c>
      <c r="D239" s="3"/>
      <c r="E239" s="3" t="s">
        <v>139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139</v>
      </c>
      <c r="D240" s="3"/>
      <c r="E240" s="3" t="s">
        <v>139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139</v>
      </c>
      <c r="D241" s="3"/>
      <c r="E241" s="3" t="s">
        <v>139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116</v>
      </c>
      <c r="O241" s="3"/>
      <c r="P241" s="3"/>
      <c r="Q241" s="3">
        <v>1.216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139</v>
      </c>
      <c r="D242" s="3"/>
      <c r="E242" s="3" t="s">
        <v>139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213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140</v>
      </c>
      <c r="D243" s="3"/>
      <c r="E243" s="3" t="s">
        <v>140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440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140</v>
      </c>
      <c r="D244" s="3"/>
      <c r="E244" s="3" t="s">
        <v>140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114</v>
      </c>
      <c r="O244" s="3"/>
      <c r="P244" s="3"/>
      <c r="Q244" s="3">
        <v>1.016</v>
      </c>
      <c r="R244" s="3" t="s">
        <v>17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140</v>
      </c>
      <c r="D245" s="3"/>
      <c r="E245" s="3" t="s">
        <v>140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214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140</v>
      </c>
      <c r="D246" s="3"/>
      <c r="E246" s="3" t="s">
        <v>140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215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140</v>
      </c>
      <c r="D247" s="3"/>
      <c r="E247" s="3" t="s">
        <v>140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115</v>
      </c>
      <c r="O247" s="3"/>
      <c r="P247" s="3"/>
      <c r="Q247" s="3">
        <v>1.016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140</v>
      </c>
      <c r="D248" s="3"/>
      <c r="E248" s="3" t="s">
        <v>140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0.44400000000000001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140</v>
      </c>
      <c r="D249" s="3"/>
      <c r="E249" s="3" t="s">
        <v>140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111</v>
      </c>
      <c r="O249" s="3"/>
      <c r="P249" s="3"/>
      <c r="Q249" s="3">
        <v>18.440000000000001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140</v>
      </c>
      <c r="D250" s="3"/>
      <c r="E250" s="3" t="s">
        <v>140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21</v>
      </c>
      <c r="O250" s="3"/>
      <c r="P250" s="3"/>
      <c r="Q250" s="3">
        <v>113.408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140</v>
      </c>
      <c r="D251" s="3"/>
      <c r="E251" s="3" t="s">
        <v>140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123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140</v>
      </c>
      <c r="D252" s="3"/>
      <c r="E252" s="3" t="s">
        <v>140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140</v>
      </c>
      <c r="D253" s="3"/>
      <c r="E253" s="3" t="s">
        <v>140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140</v>
      </c>
      <c r="D254" s="3"/>
      <c r="E254" s="3" t="s">
        <v>140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140</v>
      </c>
      <c r="D255" s="3"/>
      <c r="E255" s="3" t="s">
        <v>140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116</v>
      </c>
      <c r="O255" s="3"/>
      <c r="P255" s="3"/>
      <c r="Q255" s="3">
        <v>1.216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140</v>
      </c>
      <c r="D256" s="3"/>
      <c r="E256" s="3" t="s">
        <v>140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216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141</v>
      </c>
      <c r="D257" s="3"/>
      <c r="E257" s="3" t="s">
        <v>141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441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141</v>
      </c>
      <c r="D258" s="3"/>
      <c r="E258" s="3" t="s">
        <v>141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114</v>
      </c>
      <c r="O258" s="3"/>
      <c r="P258" s="3"/>
      <c r="Q258" s="3">
        <v>1.1679999999999999</v>
      </c>
      <c r="R258" s="3" t="s">
        <v>17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141</v>
      </c>
      <c r="D259" s="3"/>
      <c r="E259" s="3" t="s">
        <v>141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217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141</v>
      </c>
      <c r="D260" s="3"/>
      <c r="E260" s="3" t="s">
        <v>141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218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141</v>
      </c>
      <c r="D261" s="3"/>
      <c r="E261" s="3" t="s">
        <v>141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115</v>
      </c>
      <c r="O261" s="3"/>
      <c r="P261" s="3"/>
      <c r="Q261" s="3">
        <v>1.1679999999999999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141</v>
      </c>
      <c r="D262" s="3"/>
      <c r="E262" s="3" t="s">
        <v>141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109</v>
      </c>
      <c r="O262" s="3"/>
      <c r="P262" s="3"/>
      <c r="Q262" s="3">
        <v>0.51500000000000001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141</v>
      </c>
      <c r="D263" s="3"/>
      <c r="E263" s="3" t="s">
        <v>141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111</v>
      </c>
      <c r="O263" s="3"/>
      <c r="P263" s="3"/>
      <c r="Q263" s="3">
        <v>19.355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141</v>
      </c>
      <c r="D264" s="3"/>
      <c r="E264" s="3" t="s">
        <v>141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21</v>
      </c>
      <c r="O264" s="3"/>
      <c r="P264" s="3"/>
      <c r="Q264" s="3">
        <v>119.032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141</v>
      </c>
      <c r="D265" s="3"/>
      <c r="E265" s="3" t="s">
        <v>141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123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141</v>
      </c>
      <c r="D266" s="3"/>
      <c r="E266" s="3" t="s">
        <v>141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141</v>
      </c>
      <c r="D267" s="3"/>
      <c r="E267" s="3" t="s">
        <v>141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141</v>
      </c>
      <c r="D268" s="3"/>
      <c r="E268" s="3" t="s">
        <v>141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27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141</v>
      </c>
      <c r="D269" s="3"/>
      <c r="E269" s="3" t="s">
        <v>141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116</v>
      </c>
      <c r="O269" s="3"/>
      <c r="P269" s="3"/>
      <c r="Q269" s="3">
        <v>1.216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141</v>
      </c>
      <c r="D270" s="3"/>
      <c r="E270" s="3" t="s">
        <v>141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219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18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142</v>
      </c>
      <c r="D271" s="3"/>
      <c r="E271" s="3" t="s">
        <v>142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442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142</v>
      </c>
      <c r="D272" s="3"/>
      <c r="E272" s="3" t="s">
        <v>142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114</v>
      </c>
      <c r="O272" s="3"/>
      <c r="P272" s="3"/>
      <c r="Q272" s="3">
        <v>1.321</v>
      </c>
      <c r="R272" s="3" t="s">
        <v>17</v>
      </c>
      <c r="S272" s="3"/>
      <c r="T272" s="3">
        <v>10</v>
      </c>
      <c r="U272" s="3"/>
      <c r="V272" s="3" t="s">
        <v>18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142</v>
      </c>
      <c r="D273" s="3"/>
      <c r="E273" s="3" t="s">
        <v>142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220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142</v>
      </c>
      <c r="D274" s="3"/>
      <c r="E274" s="3" t="s">
        <v>142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221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142</v>
      </c>
      <c r="D275" s="3"/>
      <c r="E275" s="3" t="s">
        <v>142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115</v>
      </c>
      <c r="O275" s="3"/>
      <c r="P275" s="3"/>
      <c r="Q275" s="3">
        <v>1.321</v>
      </c>
      <c r="R275" s="3" t="s">
        <v>17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142</v>
      </c>
      <c r="D276" s="3"/>
      <c r="E276" s="3" t="s">
        <v>142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109</v>
      </c>
      <c r="O276" s="3"/>
      <c r="P276" s="3"/>
      <c r="Q276" s="3">
        <v>0.58499999999999996</v>
      </c>
      <c r="R276" s="3" t="s">
        <v>110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142</v>
      </c>
      <c r="D277" s="3"/>
      <c r="E277" s="3" t="s">
        <v>142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111</v>
      </c>
      <c r="O277" s="3"/>
      <c r="P277" s="3"/>
      <c r="Q277" s="3">
        <v>20.268999999999998</v>
      </c>
      <c r="R277" s="3" t="s">
        <v>17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142</v>
      </c>
      <c r="D278" s="3"/>
      <c r="E278" s="3" t="s">
        <v>142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21</v>
      </c>
      <c r="O278" s="3"/>
      <c r="P278" s="3"/>
      <c r="Q278" s="3">
        <v>124.65600000000001</v>
      </c>
      <c r="R278" s="3" t="s">
        <v>17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142</v>
      </c>
      <c r="D279" s="3"/>
      <c r="E279" s="3" t="s">
        <v>142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123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142</v>
      </c>
      <c r="D280" s="3"/>
      <c r="E280" s="3" t="s">
        <v>142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142</v>
      </c>
      <c r="D281" s="3"/>
      <c r="E281" s="3" t="s">
        <v>142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142</v>
      </c>
      <c r="D282" s="3"/>
      <c r="E282" s="3" t="s">
        <v>142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142</v>
      </c>
      <c r="D283" s="3"/>
      <c r="E283" s="3" t="s">
        <v>142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116</v>
      </c>
      <c r="O283" s="3"/>
      <c r="P283" s="3"/>
      <c r="Q283" s="3">
        <v>1.216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142</v>
      </c>
      <c r="D284" s="3"/>
      <c r="E284" s="3" t="s">
        <v>142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222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143</v>
      </c>
      <c r="D285" s="3"/>
      <c r="E285" s="3" t="s">
        <v>143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443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143</v>
      </c>
      <c r="D286" s="3"/>
      <c r="E286" s="3" t="s">
        <v>143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114</v>
      </c>
      <c r="O286" s="3"/>
      <c r="P286" s="3"/>
      <c r="Q286" s="3">
        <v>1.397</v>
      </c>
      <c r="R286" s="3" t="s">
        <v>17</v>
      </c>
      <c r="S286" s="3"/>
      <c r="T286" s="3">
        <v>10</v>
      </c>
      <c r="U286" s="3"/>
      <c r="V286" s="3" t="s">
        <v>18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143</v>
      </c>
      <c r="D287" s="3"/>
      <c r="E287" s="3" t="s">
        <v>143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223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143</v>
      </c>
      <c r="D288" s="3"/>
      <c r="E288" s="3" t="s">
        <v>143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224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143</v>
      </c>
      <c r="D289" s="3"/>
      <c r="E289" s="3" t="s">
        <v>143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115</v>
      </c>
      <c r="O289" s="3"/>
      <c r="P289" s="3"/>
      <c r="Q289" s="3">
        <v>1.397</v>
      </c>
      <c r="R289" s="3" t="s">
        <v>17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143</v>
      </c>
      <c r="D290" s="3"/>
      <c r="E290" s="3" t="s">
        <v>143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109</v>
      </c>
      <c r="O290" s="3"/>
      <c r="P290" s="3"/>
      <c r="Q290" s="3">
        <v>0.62</v>
      </c>
      <c r="R290" s="3" t="s">
        <v>110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143</v>
      </c>
      <c r="D291" s="3"/>
      <c r="E291" s="3" t="s">
        <v>143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111</v>
      </c>
      <c r="O291" s="3"/>
      <c r="P291" s="3"/>
      <c r="Q291" s="3">
        <v>20.725999999999999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143</v>
      </c>
      <c r="D292" s="3"/>
      <c r="E292" s="3" t="s">
        <v>143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21</v>
      </c>
      <c r="O292" s="3"/>
      <c r="P292" s="3"/>
      <c r="Q292" s="3">
        <v>127.467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143</v>
      </c>
      <c r="D293" s="3"/>
      <c r="E293" s="3" t="s">
        <v>143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123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143</v>
      </c>
      <c r="D294" s="3"/>
      <c r="E294" s="3" t="s">
        <v>143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143</v>
      </c>
      <c r="D295" s="3"/>
      <c r="E295" s="3" t="s">
        <v>143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143</v>
      </c>
      <c r="D296" s="3"/>
      <c r="E296" s="3" t="s">
        <v>143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143</v>
      </c>
      <c r="D297" s="3"/>
      <c r="E297" s="3" t="s">
        <v>143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116</v>
      </c>
      <c r="O297" s="3"/>
      <c r="P297" s="3"/>
      <c r="Q297" s="3">
        <v>1.216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143</v>
      </c>
      <c r="D298" s="3"/>
      <c r="E298" s="3" t="s">
        <v>143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225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144</v>
      </c>
      <c r="D299" s="3"/>
      <c r="E299" s="3" t="s">
        <v>144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444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144</v>
      </c>
      <c r="D300" s="3"/>
      <c r="E300" s="3" t="s">
        <v>144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114</v>
      </c>
      <c r="O300" s="3"/>
      <c r="P300" s="3"/>
      <c r="Q300" s="3">
        <v>1.4730000000000001</v>
      </c>
      <c r="R300" s="3" t="s">
        <v>17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144</v>
      </c>
      <c r="D301" s="3"/>
      <c r="E301" s="3" t="s">
        <v>144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226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144</v>
      </c>
      <c r="D302" s="3"/>
      <c r="E302" s="3" t="s">
        <v>144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227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144</v>
      </c>
      <c r="D303" s="3"/>
      <c r="E303" s="3" t="s">
        <v>144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115</v>
      </c>
      <c r="O303" s="3"/>
      <c r="P303" s="3"/>
      <c r="Q303" s="3">
        <v>1.4730000000000001</v>
      </c>
      <c r="R303" s="3" t="s">
        <v>17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144</v>
      </c>
      <c r="D304" s="3"/>
      <c r="E304" s="3" t="s">
        <v>144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109</v>
      </c>
      <c r="O304" s="3"/>
      <c r="P304" s="3"/>
      <c r="Q304" s="3">
        <v>0.65500000000000003</v>
      </c>
      <c r="R304" s="3" t="s">
        <v>110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144</v>
      </c>
      <c r="D305" s="3"/>
      <c r="E305" s="3" t="s">
        <v>144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111</v>
      </c>
      <c r="O305" s="3"/>
      <c r="P305" s="3"/>
      <c r="Q305" s="3">
        <v>21.184000000000001</v>
      </c>
      <c r="R305" s="3" t="s">
        <v>17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144</v>
      </c>
      <c r="D306" s="3"/>
      <c r="E306" s="3" t="s">
        <v>144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21</v>
      </c>
      <c r="O306" s="3"/>
      <c r="P306" s="3"/>
      <c r="Q306" s="3">
        <v>130.279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144</v>
      </c>
      <c r="D307" s="3"/>
      <c r="E307" s="3" t="s">
        <v>144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123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144</v>
      </c>
      <c r="D308" s="3"/>
      <c r="E308" s="3" t="s">
        <v>144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144</v>
      </c>
      <c r="D309" s="3"/>
      <c r="E309" s="3" t="s">
        <v>144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144</v>
      </c>
      <c r="D310" s="3"/>
      <c r="E310" s="3" t="s">
        <v>144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144</v>
      </c>
      <c r="D311" s="3"/>
      <c r="E311" s="3" t="s">
        <v>144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116</v>
      </c>
      <c r="O311" s="3"/>
      <c r="P311" s="3"/>
      <c r="Q311" s="3">
        <v>1.216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144</v>
      </c>
      <c r="D312" s="3"/>
      <c r="E312" s="3" t="s">
        <v>144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228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145</v>
      </c>
      <c r="D313" s="3"/>
      <c r="E313" s="3" t="s">
        <v>145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445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145</v>
      </c>
      <c r="D314" s="3"/>
      <c r="E314" s="3" t="s">
        <v>145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114</v>
      </c>
      <c r="O314" s="3"/>
      <c r="P314" s="3"/>
      <c r="Q314" s="3">
        <v>1.6259999999999999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145</v>
      </c>
      <c r="D315" s="3"/>
      <c r="E315" s="3" t="s">
        <v>145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229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145</v>
      </c>
      <c r="D316" s="3"/>
      <c r="E316" s="3" t="s">
        <v>145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230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145</v>
      </c>
      <c r="D317" s="3"/>
      <c r="E317" s="3" t="s">
        <v>145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115</v>
      </c>
      <c r="O317" s="3"/>
      <c r="P317" s="3"/>
      <c r="Q317" s="3">
        <v>1.6259999999999999</v>
      </c>
      <c r="R317" s="3" t="s">
        <v>17</v>
      </c>
      <c r="S317" s="3"/>
      <c r="T317" s="3">
        <v>10</v>
      </c>
      <c r="U317" s="3"/>
      <c r="V317" s="3" t="s">
        <v>18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145</v>
      </c>
      <c r="D318" s="3"/>
      <c r="E318" s="3" t="s">
        <v>145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109</v>
      </c>
      <c r="O318" s="3"/>
      <c r="P318" s="3"/>
      <c r="Q318" s="3">
        <v>0.72499999999999998</v>
      </c>
      <c r="R318" s="3" t="s">
        <v>110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145</v>
      </c>
      <c r="D319" s="3"/>
      <c r="E319" s="3" t="s">
        <v>145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111</v>
      </c>
      <c r="O319" s="3"/>
      <c r="P319" s="3"/>
      <c r="Q319" s="3">
        <v>22.097999999999999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145</v>
      </c>
      <c r="D320" s="3"/>
      <c r="E320" s="3" t="s">
        <v>145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21</v>
      </c>
      <c r="O320" s="3"/>
      <c r="P320" s="3"/>
      <c r="Q320" s="3">
        <v>135.90299999999999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145</v>
      </c>
      <c r="D321" s="3"/>
      <c r="E321" s="3" t="s">
        <v>145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123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145</v>
      </c>
      <c r="D322" s="3"/>
      <c r="E322" s="3" t="s">
        <v>145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145</v>
      </c>
      <c r="D323" s="3"/>
      <c r="E323" s="3" t="s">
        <v>145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145</v>
      </c>
      <c r="D324" s="3"/>
      <c r="E324" s="3" t="s">
        <v>145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145</v>
      </c>
      <c r="D325" s="3"/>
      <c r="E325" s="3" t="s">
        <v>145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116</v>
      </c>
      <c r="O325" s="3"/>
      <c r="P325" s="3"/>
      <c r="Q325" s="3">
        <v>1.216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145</v>
      </c>
      <c r="D326" s="3"/>
      <c r="E326" s="3" t="s">
        <v>145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231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146</v>
      </c>
      <c r="D327" s="3"/>
      <c r="E327" s="3" t="s">
        <v>146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446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146</v>
      </c>
      <c r="D328" s="3"/>
      <c r="E328" s="3" t="s">
        <v>146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114</v>
      </c>
      <c r="O328" s="3"/>
      <c r="P328" s="3"/>
      <c r="Q328" s="3">
        <v>1.778</v>
      </c>
      <c r="R328" s="3" t="s">
        <v>17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146</v>
      </c>
      <c r="D329" s="3"/>
      <c r="E329" s="3" t="s">
        <v>146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232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146</v>
      </c>
      <c r="D330" s="3"/>
      <c r="E330" s="3" t="s">
        <v>146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233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146</v>
      </c>
      <c r="D331" s="3"/>
      <c r="E331" s="3" t="s">
        <v>146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115</v>
      </c>
      <c r="O331" s="3"/>
      <c r="P331" s="3"/>
      <c r="Q331" s="3">
        <v>1.778</v>
      </c>
      <c r="R331" s="3" t="s">
        <v>17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146</v>
      </c>
      <c r="D332" s="3"/>
      <c r="E332" s="3" t="s">
        <v>146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109</v>
      </c>
      <c r="O332" s="3"/>
      <c r="P332" s="3"/>
      <c r="Q332" s="3">
        <v>0.79500000000000004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146</v>
      </c>
      <c r="D333" s="3"/>
      <c r="E333" s="3" t="s">
        <v>146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111</v>
      </c>
      <c r="O333" s="3"/>
      <c r="P333" s="3"/>
      <c r="Q333" s="3">
        <v>23.012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146</v>
      </c>
      <c r="D334" s="3"/>
      <c r="E334" s="3" t="s">
        <v>146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21</v>
      </c>
      <c r="O334" s="3"/>
      <c r="P334" s="3"/>
      <c r="Q334" s="3">
        <v>141.52600000000001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146</v>
      </c>
      <c r="D335" s="3"/>
      <c r="E335" s="3" t="s">
        <v>146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123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146</v>
      </c>
      <c r="D336" s="3"/>
      <c r="E336" s="3" t="s">
        <v>146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146</v>
      </c>
      <c r="D337" s="3"/>
      <c r="E337" s="3" t="s">
        <v>146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146</v>
      </c>
      <c r="D338" s="3"/>
      <c r="E338" s="3" t="s">
        <v>146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146</v>
      </c>
      <c r="D339" s="3"/>
      <c r="E339" s="3" t="s">
        <v>146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116</v>
      </c>
      <c r="O339" s="3"/>
      <c r="P339" s="3"/>
      <c r="Q339" s="3">
        <v>1.216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146</v>
      </c>
      <c r="D340" s="3"/>
      <c r="E340" s="3" t="s">
        <v>146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234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147</v>
      </c>
      <c r="D341" s="3"/>
      <c r="E341" s="3" t="s">
        <v>147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447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147</v>
      </c>
      <c r="D342" s="3"/>
      <c r="E342" s="3" t="s">
        <v>147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114</v>
      </c>
      <c r="O342" s="3"/>
      <c r="P342" s="3"/>
      <c r="Q342" s="3">
        <v>2.0569999999999999</v>
      </c>
      <c r="R342" s="3" t="s">
        <v>17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147</v>
      </c>
      <c r="D343" s="3"/>
      <c r="E343" s="3" t="s">
        <v>147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235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147</v>
      </c>
      <c r="D344" s="3"/>
      <c r="E344" s="3" t="s">
        <v>147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236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147</v>
      </c>
      <c r="D345" s="3"/>
      <c r="E345" s="3" t="s">
        <v>147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115</v>
      </c>
      <c r="O345" s="3"/>
      <c r="P345" s="3"/>
      <c r="Q345" s="3">
        <v>2.0569999999999999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147</v>
      </c>
      <c r="D346" s="3"/>
      <c r="E346" s="3" t="s">
        <v>147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109</v>
      </c>
      <c r="O346" s="3"/>
      <c r="P346" s="3"/>
      <c r="Q346" s="3">
        <v>0.38400000000000001</v>
      </c>
      <c r="R346" s="3" t="s">
        <v>110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147</v>
      </c>
      <c r="D347" s="3"/>
      <c r="E347" s="3" t="s">
        <v>147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111</v>
      </c>
      <c r="O347" s="3"/>
      <c r="P347" s="3"/>
      <c r="Q347" s="3">
        <v>17.831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147</v>
      </c>
      <c r="D348" s="3"/>
      <c r="E348" s="3" t="s">
        <v>147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21</v>
      </c>
      <c r="O348" s="3"/>
      <c r="P348" s="3"/>
      <c r="Q348" s="3">
        <v>109.65900000000001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147</v>
      </c>
      <c r="D349" s="3"/>
      <c r="E349" s="3" t="s">
        <v>147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123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147</v>
      </c>
      <c r="D350" s="3"/>
      <c r="E350" s="3" t="s">
        <v>147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25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147</v>
      </c>
      <c r="D351" s="3"/>
      <c r="E351" s="3" t="s">
        <v>147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147</v>
      </c>
      <c r="D352" s="3"/>
      <c r="E352" s="3" t="s">
        <v>147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147</v>
      </c>
      <c r="D353" s="3"/>
      <c r="E353" s="3" t="s">
        <v>147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116</v>
      </c>
      <c r="O353" s="3"/>
      <c r="P353" s="3"/>
      <c r="Q353" s="3">
        <v>1.2430000000000001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147</v>
      </c>
      <c r="D354" s="3"/>
      <c r="E354" s="3" t="s">
        <v>147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237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148</v>
      </c>
      <c r="D355" s="3"/>
      <c r="E355" s="3" t="s">
        <v>148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448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148</v>
      </c>
      <c r="D356" s="3"/>
      <c r="E356" s="3" t="s">
        <v>148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114</v>
      </c>
      <c r="O356" s="3"/>
      <c r="P356" s="3"/>
      <c r="Q356" s="3">
        <v>2.0569999999999999</v>
      </c>
      <c r="R356" s="3" t="s">
        <v>17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148</v>
      </c>
      <c r="D357" s="3"/>
      <c r="E357" s="3" t="s">
        <v>148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238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148</v>
      </c>
      <c r="D358" s="3"/>
      <c r="E358" s="3" t="s">
        <v>148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239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148</v>
      </c>
      <c r="D359" s="3"/>
      <c r="E359" s="3" t="s">
        <v>148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115</v>
      </c>
      <c r="O359" s="3"/>
      <c r="P359" s="3"/>
      <c r="Q359" s="3">
        <v>2.0569999999999999</v>
      </c>
      <c r="R359" s="3" t="s">
        <v>17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148</v>
      </c>
      <c r="D360" s="3"/>
      <c r="E360" s="3" t="s">
        <v>148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109</v>
      </c>
      <c r="O360" s="3"/>
      <c r="P360" s="3"/>
      <c r="Q360" s="3">
        <v>0.45600000000000002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148</v>
      </c>
      <c r="D361" s="3"/>
      <c r="E361" s="3" t="s">
        <v>148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111</v>
      </c>
      <c r="O361" s="3"/>
      <c r="P361" s="3"/>
      <c r="Q361" s="3">
        <v>18.745000000000001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148</v>
      </c>
      <c r="D362" s="3"/>
      <c r="E362" s="3" t="s">
        <v>148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21</v>
      </c>
      <c r="O362" s="3"/>
      <c r="P362" s="3"/>
      <c r="Q362" s="3">
        <v>115.283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148</v>
      </c>
      <c r="D363" s="3"/>
      <c r="E363" s="3" t="s">
        <v>148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123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148</v>
      </c>
      <c r="D364" s="3"/>
      <c r="E364" s="3" t="s">
        <v>148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148</v>
      </c>
      <c r="D365" s="3"/>
      <c r="E365" s="3" t="s">
        <v>148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148</v>
      </c>
      <c r="D366" s="3"/>
      <c r="E366" s="3" t="s">
        <v>148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148</v>
      </c>
      <c r="D367" s="3"/>
      <c r="E367" s="3" t="s">
        <v>148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116</v>
      </c>
      <c r="O367" s="3"/>
      <c r="P367" s="3"/>
      <c r="Q367" s="3">
        <v>1.2430000000000001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148</v>
      </c>
      <c r="D368" s="3"/>
      <c r="E368" s="3" t="s">
        <v>148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240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149</v>
      </c>
      <c r="D369" s="3"/>
      <c r="E369" s="3" t="s">
        <v>149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449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149</v>
      </c>
      <c r="D370" s="3"/>
      <c r="E370" s="3" t="s">
        <v>149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114</v>
      </c>
      <c r="O370" s="3"/>
      <c r="P370" s="3"/>
      <c r="Q370" s="3">
        <v>2.0569999999999999</v>
      </c>
      <c r="R370" s="3" t="s">
        <v>17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149</v>
      </c>
      <c r="D371" s="3"/>
      <c r="E371" s="3" t="s">
        <v>149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241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149</v>
      </c>
      <c r="D372" s="3"/>
      <c r="E372" s="3" t="s">
        <v>149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242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149</v>
      </c>
      <c r="D373" s="3"/>
      <c r="E373" s="3" t="s">
        <v>149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115</v>
      </c>
      <c r="O373" s="3"/>
      <c r="P373" s="3"/>
      <c r="Q373" s="3">
        <v>2.0569999999999999</v>
      </c>
      <c r="R373" s="3" t="s">
        <v>17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149</v>
      </c>
      <c r="D374" s="3"/>
      <c r="E374" s="3" t="s">
        <v>149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109</v>
      </c>
      <c r="O374" s="3"/>
      <c r="P374" s="3"/>
      <c r="Q374" s="3">
        <v>0.52800000000000002</v>
      </c>
      <c r="R374" s="3" t="s">
        <v>110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149</v>
      </c>
      <c r="D375" s="3"/>
      <c r="E375" s="3" t="s">
        <v>149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111</v>
      </c>
      <c r="O375" s="3"/>
      <c r="P375" s="3"/>
      <c r="Q375" s="3">
        <v>19.66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149</v>
      </c>
      <c r="D376" s="3"/>
      <c r="E376" s="3" t="s">
        <v>149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21</v>
      </c>
      <c r="O376" s="3"/>
      <c r="P376" s="3"/>
      <c r="Q376" s="3">
        <v>120.907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149</v>
      </c>
      <c r="D377" s="3"/>
      <c r="E377" s="3" t="s">
        <v>149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123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149</v>
      </c>
      <c r="D378" s="3"/>
      <c r="E378" s="3" t="s">
        <v>149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149</v>
      </c>
      <c r="D379" s="3"/>
      <c r="E379" s="3" t="s">
        <v>149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149</v>
      </c>
      <c r="D380" s="3"/>
      <c r="E380" s="3" t="s">
        <v>149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149</v>
      </c>
      <c r="D381" s="3"/>
      <c r="E381" s="3" t="s">
        <v>149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116</v>
      </c>
      <c r="O381" s="3"/>
      <c r="P381" s="3"/>
      <c r="Q381" s="3">
        <v>1.2430000000000001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149</v>
      </c>
      <c r="D382" s="3"/>
      <c r="E382" s="3" t="s">
        <v>149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243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150</v>
      </c>
      <c r="D383" s="3"/>
      <c r="E383" s="3" t="s">
        <v>150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450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150</v>
      </c>
      <c r="D384" s="3"/>
      <c r="E384" s="3" t="s">
        <v>150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114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150</v>
      </c>
      <c r="D385" s="3"/>
      <c r="E385" s="3" t="s">
        <v>150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244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150</v>
      </c>
      <c r="D386" s="3"/>
      <c r="E386" s="3" t="s">
        <v>150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245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150</v>
      </c>
      <c r="D387" s="3"/>
      <c r="E387" s="3" t="s">
        <v>150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115</v>
      </c>
      <c r="O387" s="3"/>
      <c r="P387" s="3"/>
      <c r="Q387" s="3">
        <v>2.0569999999999999</v>
      </c>
      <c r="R387" s="3" t="s">
        <v>17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150</v>
      </c>
      <c r="D388" s="3"/>
      <c r="E388" s="3" t="s">
        <v>150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109</v>
      </c>
      <c r="O388" s="3"/>
      <c r="P388" s="3"/>
      <c r="Q388" s="3">
        <v>0.6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150</v>
      </c>
      <c r="D389" s="3"/>
      <c r="E389" s="3" t="s">
        <v>150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111</v>
      </c>
      <c r="O389" s="3"/>
      <c r="P389" s="3"/>
      <c r="Q389" s="3">
        <v>20.574000000000002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150</v>
      </c>
      <c r="D390" s="3"/>
      <c r="E390" s="3" t="s">
        <v>150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21</v>
      </c>
      <c r="O390" s="3"/>
      <c r="P390" s="3"/>
      <c r="Q390" s="3">
        <v>126.53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150</v>
      </c>
      <c r="D391" s="3"/>
      <c r="E391" s="3" t="s">
        <v>150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123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150</v>
      </c>
      <c r="D392" s="3"/>
      <c r="E392" s="3" t="s">
        <v>150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150</v>
      </c>
      <c r="D393" s="3"/>
      <c r="E393" s="3" t="s">
        <v>150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150</v>
      </c>
      <c r="D394" s="3"/>
      <c r="E394" s="3" t="s">
        <v>150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150</v>
      </c>
      <c r="D395" s="3"/>
      <c r="E395" s="3" t="s">
        <v>150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116</v>
      </c>
      <c r="O395" s="3"/>
      <c r="P395" s="3"/>
      <c r="Q395" s="3">
        <v>1.2430000000000001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150</v>
      </c>
      <c r="D396" s="3"/>
      <c r="E396" s="3" t="s">
        <v>150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246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151</v>
      </c>
      <c r="D397" s="3"/>
      <c r="E397" s="3" t="s">
        <v>151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451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151</v>
      </c>
      <c r="D398" s="3"/>
      <c r="E398" s="3" t="s">
        <v>151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114</v>
      </c>
      <c r="O398" s="3"/>
      <c r="P398" s="3"/>
      <c r="Q398" s="3">
        <v>2.0569999999999999</v>
      </c>
      <c r="R398" s="3" t="s">
        <v>17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151</v>
      </c>
      <c r="D399" s="3"/>
      <c r="E399" s="3" t="s">
        <v>151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247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151</v>
      </c>
      <c r="D400" s="3"/>
      <c r="E400" s="3" t="s">
        <v>151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248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151</v>
      </c>
      <c r="D401" s="3"/>
      <c r="E401" s="3" t="s">
        <v>151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115</v>
      </c>
      <c r="O401" s="3"/>
      <c r="P401" s="3"/>
      <c r="Q401" s="3">
        <v>2.0569999999999999</v>
      </c>
      <c r="R401" s="3" t="s">
        <v>17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151</v>
      </c>
      <c r="D402" s="3"/>
      <c r="E402" s="3" t="s">
        <v>151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109</v>
      </c>
      <c r="O402" s="3"/>
      <c r="P402" s="3"/>
      <c r="Q402" s="3">
        <v>0.63600000000000001</v>
      </c>
      <c r="R402" s="3" t="s">
        <v>110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151</v>
      </c>
      <c r="D403" s="3"/>
      <c r="E403" s="3" t="s">
        <v>151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111</v>
      </c>
      <c r="O403" s="3"/>
      <c r="P403" s="3"/>
      <c r="Q403" s="3">
        <v>21.030999999999999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151</v>
      </c>
      <c r="D404" s="3"/>
      <c r="E404" s="3" t="s">
        <v>151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21</v>
      </c>
      <c r="O404" s="3"/>
      <c r="P404" s="3"/>
      <c r="Q404" s="3">
        <v>129.34200000000001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151</v>
      </c>
      <c r="D405" s="3"/>
      <c r="E405" s="3" t="s">
        <v>151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123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151</v>
      </c>
      <c r="D406" s="3"/>
      <c r="E406" s="3" t="s">
        <v>151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25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151</v>
      </c>
      <c r="D407" s="3"/>
      <c r="E407" s="3" t="s">
        <v>151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151</v>
      </c>
      <c r="D408" s="3"/>
      <c r="E408" s="3" t="s">
        <v>151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151</v>
      </c>
      <c r="D409" s="3"/>
      <c r="E409" s="3" t="s">
        <v>151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116</v>
      </c>
      <c r="O409" s="3"/>
      <c r="P409" s="3"/>
      <c r="Q409" s="3">
        <v>1.2430000000000001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151</v>
      </c>
      <c r="D410" s="3"/>
      <c r="E410" s="3" t="s">
        <v>151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249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152</v>
      </c>
      <c r="D411" s="3"/>
      <c r="E411" s="3" t="s">
        <v>152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452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152</v>
      </c>
      <c r="D412" s="3"/>
      <c r="E412" s="3" t="s">
        <v>152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114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152</v>
      </c>
      <c r="D413" s="3"/>
      <c r="E413" s="3" t="s">
        <v>152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250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152</v>
      </c>
      <c r="D414" s="3"/>
      <c r="E414" s="3" t="s">
        <v>152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251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152</v>
      </c>
      <c r="D415" s="3"/>
      <c r="E415" s="3" t="s">
        <v>152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115</v>
      </c>
      <c r="O415" s="3"/>
      <c r="P415" s="3"/>
      <c r="Q415" s="3">
        <v>2.0569999999999999</v>
      </c>
      <c r="R415" s="3" t="s">
        <v>17</v>
      </c>
      <c r="S415" s="3"/>
      <c r="T415" s="3">
        <v>10</v>
      </c>
      <c r="U415" s="3"/>
      <c r="V415" s="3" t="s">
        <v>18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152</v>
      </c>
      <c r="D416" s="3"/>
      <c r="E416" s="3" t="s">
        <v>152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109</v>
      </c>
      <c r="O416" s="3"/>
      <c r="P416" s="3"/>
      <c r="Q416" s="3">
        <v>0.67200000000000004</v>
      </c>
      <c r="R416" s="3" t="s">
        <v>110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152</v>
      </c>
      <c r="D417" s="3"/>
      <c r="E417" s="3" t="s">
        <v>152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111</v>
      </c>
      <c r="O417" s="3"/>
      <c r="P417" s="3"/>
      <c r="Q417" s="3">
        <v>21.488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152</v>
      </c>
      <c r="D418" s="3"/>
      <c r="E418" s="3" t="s">
        <v>152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21</v>
      </c>
      <c r="O418" s="3"/>
      <c r="P418" s="3"/>
      <c r="Q418" s="3">
        <v>132.154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152</v>
      </c>
      <c r="D419" s="3"/>
      <c r="E419" s="3" t="s">
        <v>152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123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152</v>
      </c>
      <c r="D420" s="3"/>
      <c r="E420" s="3" t="s">
        <v>152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152</v>
      </c>
      <c r="D421" s="3"/>
      <c r="E421" s="3" t="s">
        <v>152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152</v>
      </c>
      <c r="D422" s="3"/>
      <c r="E422" s="3" t="s">
        <v>152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152</v>
      </c>
      <c r="D423" s="3"/>
      <c r="E423" s="3" t="s">
        <v>152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116</v>
      </c>
      <c r="O423" s="3"/>
      <c r="P423" s="3"/>
      <c r="Q423" s="3">
        <v>1.2430000000000001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152</v>
      </c>
      <c r="D424" s="3"/>
      <c r="E424" s="3" t="s">
        <v>152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252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153</v>
      </c>
      <c r="D425" s="3"/>
      <c r="E425" s="3" t="s">
        <v>153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453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153</v>
      </c>
      <c r="D426" s="3"/>
      <c r="E426" s="3" t="s">
        <v>153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114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153</v>
      </c>
      <c r="D427" s="3"/>
      <c r="E427" s="3" t="s">
        <v>153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253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153</v>
      </c>
      <c r="D428" s="3"/>
      <c r="E428" s="3" t="s">
        <v>153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254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153</v>
      </c>
      <c r="D429" s="3"/>
      <c r="E429" s="3" t="s">
        <v>153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115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153</v>
      </c>
      <c r="D430" s="3"/>
      <c r="E430" s="3" t="s">
        <v>153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0.74399999999999999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153</v>
      </c>
      <c r="D431" s="3"/>
      <c r="E431" s="3" t="s">
        <v>153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111</v>
      </c>
      <c r="O431" s="3"/>
      <c r="P431" s="3"/>
      <c r="Q431" s="3">
        <v>22.402999999999999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153</v>
      </c>
      <c r="D432" s="3"/>
      <c r="E432" s="3" t="s">
        <v>153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21</v>
      </c>
      <c r="O432" s="3"/>
      <c r="P432" s="3"/>
      <c r="Q432" s="3">
        <v>137.77699999999999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153</v>
      </c>
      <c r="D433" s="3"/>
      <c r="E433" s="3" t="s">
        <v>153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123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153</v>
      </c>
      <c r="D434" s="3"/>
      <c r="E434" s="3" t="s">
        <v>153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153</v>
      </c>
      <c r="D435" s="3"/>
      <c r="E435" s="3" t="s">
        <v>153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153</v>
      </c>
      <c r="D436" s="3"/>
      <c r="E436" s="3" t="s">
        <v>153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153</v>
      </c>
      <c r="D437" s="3"/>
      <c r="E437" s="3" t="s">
        <v>153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116</v>
      </c>
      <c r="O437" s="3"/>
      <c r="P437" s="3"/>
      <c r="Q437" s="3">
        <v>1.2430000000000001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153</v>
      </c>
      <c r="D438" s="3"/>
      <c r="E438" s="3" t="s">
        <v>153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255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154</v>
      </c>
      <c r="D439" s="3"/>
      <c r="E439" s="3" t="s">
        <v>154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454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154</v>
      </c>
      <c r="D440" s="3"/>
      <c r="E440" s="3" t="s">
        <v>154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114</v>
      </c>
      <c r="O440" s="3"/>
      <c r="P440" s="3"/>
      <c r="Q440" s="3">
        <v>2.0569999999999999</v>
      </c>
      <c r="R440" s="3" t="s">
        <v>17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154</v>
      </c>
      <c r="D441" s="3"/>
      <c r="E441" s="3" t="s">
        <v>154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256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154</v>
      </c>
      <c r="D442" s="3"/>
      <c r="E442" s="3" t="s">
        <v>154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257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154</v>
      </c>
      <c r="D443" s="3"/>
      <c r="E443" s="3" t="s">
        <v>154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115</v>
      </c>
      <c r="O443" s="3"/>
      <c r="P443" s="3"/>
      <c r="Q443" s="3">
        <v>2.0569999999999999</v>
      </c>
      <c r="R443" s="3" t="s">
        <v>17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154</v>
      </c>
      <c r="D444" s="3"/>
      <c r="E444" s="3" t="s">
        <v>154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109</v>
      </c>
      <c r="O444" s="3"/>
      <c r="P444" s="3"/>
      <c r="Q444" s="3">
        <v>0.81599999999999995</v>
      </c>
      <c r="R444" s="3" t="s">
        <v>110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154</v>
      </c>
      <c r="D445" s="3"/>
      <c r="E445" s="3" t="s">
        <v>154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111</v>
      </c>
      <c r="O445" s="3"/>
      <c r="P445" s="3"/>
      <c r="Q445" s="3">
        <v>23.317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154</v>
      </c>
      <c r="D446" s="3"/>
      <c r="E446" s="3" t="s">
        <v>154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21</v>
      </c>
      <c r="O446" s="3"/>
      <c r="P446" s="3"/>
      <c r="Q446" s="3">
        <v>143.40100000000001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154</v>
      </c>
      <c r="D447" s="3"/>
      <c r="E447" s="3" t="s">
        <v>154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123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154</v>
      </c>
      <c r="D448" s="3"/>
      <c r="E448" s="3" t="s">
        <v>154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154</v>
      </c>
      <c r="D449" s="3"/>
      <c r="E449" s="3" t="s">
        <v>154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154</v>
      </c>
      <c r="D450" s="3"/>
      <c r="E450" s="3" t="s">
        <v>154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154</v>
      </c>
      <c r="D451" s="3"/>
      <c r="E451" s="3" t="s">
        <v>154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116</v>
      </c>
      <c r="O451" s="3"/>
      <c r="P451" s="3"/>
      <c r="Q451" s="3">
        <v>1.2430000000000001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154</v>
      </c>
      <c r="D452" s="3"/>
      <c r="E452" s="3" t="s">
        <v>154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258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155</v>
      </c>
      <c r="D453" s="3"/>
      <c r="E453" s="3" t="s">
        <v>155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455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155</v>
      </c>
      <c r="D454" s="3"/>
      <c r="E454" s="3" t="s">
        <v>155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114</v>
      </c>
      <c r="O454" s="3"/>
      <c r="P454" s="3"/>
      <c r="Q454" s="3">
        <v>2.1589999999999998</v>
      </c>
      <c r="R454" s="3" t="s">
        <v>17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155</v>
      </c>
      <c r="D455" s="3"/>
      <c r="E455" s="3" t="s">
        <v>155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259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155</v>
      </c>
      <c r="D456" s="3"/>
      <c r="E456" s="3" t="s">
        <v>155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260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155</v>
      </c>
      <c r="D457" s="3"/>
      <c r="E457" s="3" t="s">
        <v>155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115</v>
      </c>
      <c r="O457" s="3"/>
      <c r="P457" s="3"/>
      <c r="Q457" s="3">
        <v>2.1589999999999998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155</v>
      </c>
      <c r="D458" s="3"/>
      <c r="E458" s="3" t="s">
        <v>155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109</v>
      </c>
      <c r="O458" s="3"/>
      <c r="P458" s="3"/>
      <c r="Q458" s="3">
        <v>0.40300000000000002</v>
      </c>
      <c r="R458" s="3" t="s">
        <v>110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155</v>
      </c>
      <c r="D459" s="3"/>
      <c r="E459" s="3" t="s">
        <v>155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111</v>
      </c>
      <c r="O459" s="3"/>
      <c r="P459" s="3"/>
      <c r="Q459" s="3">
        <v>18.440000000000001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155</v>
      </c>
      <c r="D460" s="3"/>
      <c r="E460" s="3" t="s">
        <v>155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21</v>
      </c>
      <c r="O460" s="3"/>
      <c r="P460" s="3"/>
      <c r="Q460" s="3">
        <v>113.408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155</v>
      </c>
      <c r="D461" s="3"/>
      <c r="E461" s="3" t="s">
        <v>155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123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155</v>
      </c>
      <c r="D462" s="3"/>
      <c r="E462" s="3" t="s">
        <v>155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155</v>
      </c>
      <c r="D463" s="3"/>
      <c r="E463" s="3" t="s">
        <v>155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155</v>
      </c>
      <c r="D464" s="3"/>
      <c r="E464" s="3" t="s">
        <v>155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155</v>
      </c>
      <c r="D465" s="3"/>
      <c r="E465" s="3" t="s">
        <v>155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116</v>
      </c>
      <c r="O465" s="3"/>
      <c r="P465" s="3"/>
      <c r="Q465" s="3">
        <v>1.2969999999999999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155</v>
      </c>
      <c r="D466" s="3"/>
      <c r="E466" s="3" t="s">
        <v>155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261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156</v>
      </c>
      <c r="D467" s="3"/>
      <c r="E467" s="3" t="s">
        <v>156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456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156</v>
      </c>
      <c r="D468" s="3"/>
      <c r="E468" s="3" t="s">
        <v>156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114</v>
      </c>
      <c r="O468" s="3"/>
      <c r="P468" s="3"/>
      <c r="Q468" s="3">
        <v>2.1589999999999998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156</v>
      </c>
      <c r="D469" s="3"/>
      <c r="E469" s="3" t="s">
        <v>156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262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156</v>
      </c>
      <c r="D470" s="3"/>
      <c r="E470" s="3" t="s">
        <v>156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263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156</v>
      </c>
      <c r="D471" s="3"/>
      <c r="E471" s="3" t="s">
        <v>156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115</v>
      </c>
      <c r="O471" s="3"/>
      <c r="P471" s="3"/>
      <c r="Q471" s="3">
        <v>2.1589999999999998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156</v>
      </c>
      <c r="D472" s="3"/>
      <c r="E472" s="3" t="s">
        <v>156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109</v>
      </c>
      <c r="O472" s="3"/>
      <c r="P472" s="3"/>
      <c r="Q472" s="3">
        <v>0.47899999999999998</v>
      </c>
      <c r="R472" s="3" t="s">
        <v>110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156</v>
      </c>
      <c r="D473" s="3"/>
      <c r="E473" s="3" t="s">
        <v>156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111</v>
      </c>
      <c r="O473" s="3"/>
      <c r="P473" s="3"/>
      <c r="Q473" s="3">
        <v>19.355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156</v>
      </c>
      <c r="D474" s="3"/>
      <c r="E474" s="3" t="s">
        <v>156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21</v>
      </c>
      <c r="O474" s="3"/>
      <c r="P474" s="3"/>
      <c r="Q474" s="3">
        <v>119.032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156</v>
      </c>
      <c r="D475" s="3"/>
      <c r="E475" s="3" t="s">
        <v>156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123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156</v>
      </c>
      <c r="D476" s="3"/>
      <c r="E476" s="3" t="s">
        <v>156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156</v>
      </c>
      <c r="D477" s="3"/>
      <c r="E477" s="3" t="s">
        <v>156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156</v>
      </c>
      <c r="D478" s="3"/>
      <c r="E478" s="3" t="s">
        <v>156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156</v>
      </c>
      <c r="D479" s="3"/>
      <c r="E479" s="3" t="s">
        <v>156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116</v>
      </c>
      <c r="O479" s="3"/>
      <c r="P479" s="3"/>
      <c r="Q479" s="3">
        <v>1.2969999999999999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156</v>
      </c>
      <c r="D480" s="3"/>
      <c r="E480" s="3" t="s">
        <v>156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264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157</v>
      </c>
      <c r="D481" s="3"/>
      <c r="E481" s="3" t="s">
        <v>157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457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157</v>
      </c>
      <c r="D482" s="3"/>
      <c r="E482" s="3" t="s">
        <v>157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114</v>
      </c>
      <c r="O482" s="3"/>
      <c r="P482" s="3"/>
      <c r="Q482" s="3">
        <v>2.1589999999999998</v>
      </c>
      <c r="R482" s="3" t="s">
        <v>17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157</v>
      </c>
      <c r="D483" s="3"/>
      <c r="E483" s="3" t="s">
        <v>157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265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157</v>
      </c>
      <c r="D484" s="3"/>
      <c r="E484" s="3" t="s">
        <v>157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266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157</v>
      </c>
      <c r="D485" s="3"/>
      <c r="E485" s="3" t="s">
        <v>157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115</v>
      </c>
      <c r="O485" s="3"/>
      <c r="P485" s="3"/>
      <c r="Q485" s="3">
        <v>2.1589999999999998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157</v>
      </c>
      <c r="D486" s="3"/>
      <c r="E486" s="3" t="s">
        <v>157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0.55500000000000005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157</v>
      </c>
      <c r="D487" s="3"/>
      <c r="E487" s="3" t="s">
        <v>157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111</v>
      </c>
      <c r="O487" s="3"/>
      <c r="P487" s="3"/>
      <c r="Q487" s="3">
        <v>20.268999999999998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157</v>
      </c>
      <c r="D488" s="3"/>
      <c r="E488" s="3" t="s">
        <v>157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21</v>
      </c>
      <c r="O488" s="3"/>
      <c r="P488" s="3"/>
      <c r="Q488" s="3">
        <v>124.65600000000001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157</v>
      </c>
      <c r="D489" s="3"/>
      <c r="E489" s="3" t="s">
        <v>157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123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157</v>
      </c>
      <c r="D490" s="3"/>
      <c r="E490" s="3" t="s">
        <v>157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157</v>
      </c>
      <c r="D491" s="3"/>
      <c r="E491" s="3" t="s">
        <v>157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157</v>
      </c>
      <c r="D492" s="3"/>
      <c r="E492" s="3" t="s">
        <v>157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157</v>
      </c>
      <c r="D493" s="3"/>
      <c r="E493" s="3" t="s">
        <v>157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116</v>
      </c>
      <c r="O493" s="3"/>
      <c r="P493" s="3"/>
      <c r="Q493" s="3">
        <v>1.2969999999999999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157</v>
      </c>
      <c r="D494" s="3"/>
      <c r="E494" s="3" t="s">
        <v>157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267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158</v>
      </c>
      <c r="D495" s="3"/>
      <c r="E495" s="3" t="s">
        <v>158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458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158</v>
      </c>
      <c r="D496" s="3"/>
      <c r="E496" s="3" t="s">
        <v>158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114</v>
      </c>
      <c r="O496" s="3"/>
      <c r="P496" s="3"/>
      <c r="Q496" s="3">
        <v>2.1589999999999998</v>
      </c>
      <c r="R496" s="3" t="s">
        <v>17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158</v>
      </c>
      <c r="D497" s="3"/>
      <c r="E497" s="3" t="s">
        <v>158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268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158</v>
      </c>
      <c r="D498" s="3"/>
      <c r="E498" s="3" t="s">
        <v>158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269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158</v>
      </c>
      <c r="D499" s="3"/>
      <c r="E499" s="3" t="s">
        <v>158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115</v>
      </c>
      <c r="O499" s="3"/>
      <c r="P499" s="3"/>
      <c r="Q499" s="3">
        <v>2.1589999999999998</v>
      </c>
      <c r="R499" s="3" t="s">
        <v>17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158</v>
      </c>
      <c r="D500" s="3"/>
      <c r="E500" s="3" t="s">
        <v>158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109</v>
      </c>
      <c r="O500" s="3"/>
      <c r="P500" s="3"/>
      <c r="Q500" s="3">
        <v>0.63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158</v>
      </c>
      <c r="D501" s="3"/>
      <c r="E501" s="3" t="s">
        <v>158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111</v>
      </c>
      <c r="O501" s="3"/>
      <c r="P501" s="3"/>
      <c r="Q501" s="3">
        <v>21.184000000000001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158</v>
      </c>
      <c r="D502" s="3"/>
      <c r="E502" s="3" t="s">
        <v>158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21</v>
      </c>
      <c r="O502" s="3"/>
      <c r="P502" s="3"/>
      <c r="Q502" s="3">
        <v>130.279</v>
      </c>
      <c r="R502" s="3" t="s">
        <v>17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158</v>
      </c>
      <c r="D503" s="3"/>
      <c r="E503" s="3" t="s">
        <v>158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123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158</v>
      </c>
      <c r="D504" s="3"/>
      <c r="E504" s="3" t="s">
        <v>158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158</v>
      </c>
      <c r="D505" s="3"/>
      <c r="E505" s="3" t="s">
        <v>158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158</v>
      </c>
      <c r="D506" s="3"/>
      <c r="E506" s="3" t="s">
        <v>158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158</v>
      </c>
      <c r="D507" s="3"/>
      <c r="E507" s="3" t="s">
        <v>158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116</v>
      </c>
      <c r="O507" s="3"/>
      <c r="P507" s="3"/>
      <c r="Q507" s="3">
        <v>1.2969999999999999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158</v>
      </c>
      <c r="D508" s="3"/>
      <c r="E508" s="3" t="s">
        <v>158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270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159</v>
      </c>
      <c r="D509" s="3"/>
      <c r="E509" s="3" t="s">
        <v>159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459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159</v>
      </c>
      <c r="D510" s="3"/>
      <c r="E510" s="3" t="s">
        <v>159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114</v>
      </c>
      <c r="O510" s="3"/>
      <c r="P510" s="3"/>
      <c r="Q510" s="3">
        <v>2.1589999999999998</v>
      </c>
      <c r="R510" s="3" t="s">
        <v>17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159</v>
      </c>
      <c r="D511" s="3"/>
      <c r="E511" s="3" t="s">
        <v>159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271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159</v>
      </c>
      <c r="D512" s="3"/>
      <c r="E512" s="3" t="s">
        <v>159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272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159</v>
      </c>
      <c r="D513" s="3"/>
      <c r="E513" s="3" t="s">
        <v>159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115</v>
      </c>
      <c r="O513" s="3"/>
      <c r="P513" s="3"/>
      <c r="Q513" s="3">
        <v>2.1589999999999998</v>
      </c>
      <c r="R513" s="3" t="s">
        <v>17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159</v>
      </c>
      <c r="D514" s="3"/>
      <c r="E514" s="3" t="s">
        <v>159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109</v>
      </c>
      <c r="O514" s="3"/>
      <c r="P514" s="3"/>
      <c r="Q514" s="3">
        <v>0.66800000000000004</v>
      </c>
      <c r="R514" s="3" t="s">
        <v>110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159</v>
      </c>
      <c r="D515" s="3"/>
      <c r="E515" s="3" t="s">
        <v>159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111</v>
      </c>
      <c r="O515" s="3"/>
      <c r="P515" s="3"/>
      <c r="Q515" s="3">
        <v>21.640999999999998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159</v>
      </c>
      <c r="D516" s="3"/>
      <c r="E516" s="3" t="s">
        <v>159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21</v>
      </c>
      <c r="O516" s="3"/>
      <c r="P516" s="3"/>
      <c r="Q516" s="3">
        <v>133.09100000000001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159</v>
      </c>
      <c r="D517" s="3"/>
      <c r="E517" s="3" t="s">
        <v>159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123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159</v>
      </c>
      <c r="D518" s="3"/>
      <c r="E518" s="3" t="s">
        <v>159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159</v>
      </c>
      <c r="D519" s="3"/>
      <c r="E519" s="3" t="s">
        <v>159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159</v>
      </c>
      <c r="D520" s="3"/>
      <c r="E520" s="3" t="s">
        <v>159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159</v>
      </c>
      <c r="D521" s="3"/>
      <c r="E521" s="3" t="s">
        <v>159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116</v>
      </c>
      <c r="O521" s="3"/>
      <c r="P521" s="3"/>
      <c r="Q521" s="3">
        <v>1.2969999999999999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159</v>
      </c>
      <c r="D522" s="3"/>
      <c r="E522" s="3" t="s">
        <v>159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273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160</v>
      </c>
      <c r="D523" s="3"/>
      <c r="E523" s="3" t="s">
        <v>160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460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160</v>
      </c>
      <c r="D524" s="3"/>
      <c r="E524" s="3" t="s">
        <v>160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114</v>
      </c>
      <c r="O524" s="3"/>
      <c r="P524" s="3"/>
      <c r="Q524" s="3">
        <v>2.1589999999999998</v>
      </c>
      <c r="R524" s="3" t="s">
        <v>17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160</v>
      </c>
      <c r="D525" s="3"/>
      <c r="E525" s="3" t="s">
        <v>160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274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160</v>
      </c>
      <c r="D526" s="3"/>
      <c r="E526" s="3" t="s">
        <v>160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275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160</v>
      </c>
      <c r="D527" s="3"/>
      <c r="E527" s="3" t="s">
        <v>160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115</v>
      </c>
      <c r="O527" s="3"/>
      <c r="P527" s="3"/>
      <c r="Q527" s="3">
        <v>2.1589999999999998</v>
      </c>
      <c r="R527" s="3" t="s">
        <v>17</v>
      </c>
      <c r="S527" s="3"/>
      <c r="T527" s="3">
        <v>10</v>
      </c>
      <c r="U527" s="3"/>
      <c r="V527" s="3" t="s">
        <v>18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160</v>
      </c>
      <c r="D528" s="3"/>
      <c r="E528" s="3" t="s">
        <v>160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109</v>
      </c>
      <c r="O528" s="3"/>
      <c r="P528" s="3"/>
      <c r="Q528" s="3">
        <v>0.70599999999999996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160</v>
      </c>
      <c r="D529" s="3"/>
      <c r="E529" s="3" t="s">
        <v>160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111</v>
      </c>
      <c r="O529" s="3"/>
      <c r="P529" s="3"/>
      <c r="Q529" s="3">
        <v>22.097999999999999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160</v>
      </c>
      <c r="D530" s="3"/>
      <c r="E530" s="3" t="s">
        <v>160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21</v>
      </c>
      <c r="O530" s="3"/>
      <c r="P530" s="3"/>
      <c r="Q530" s="3">
        <v>135.90299999999999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160</v>
      </c>
      <c r="D531" s="3"/>
      <c r="E531" s="3" t="s">
        <v>160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123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160</v>
      </c>
      <c r="D532" s="3"/>
      <c r="E532" s="3" t="s">
        <v>160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160</v>
      </c>
      <c r="D533" s="3"/>
      <c r="E533" s="3" t="s">
        <v>160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160</v>
      </c>
      <c r="D534" s="3"/>
      <c r="E534" s="3" t="s">
        <v>160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160</v>
      </c>
      <c r="D535" s="3"/>
      <c r="E535" s="3" t="s">
        <v>160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116</v>
      </c>
      <c r="O535" s="3"/>
      <c r="P535" s="3"/>
      <c r="Q535" s="3">
        <v>1.2969999999999999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160</v>
      </c>
      <c r="D536" s="3"/>
      <c r="E536" s="3" t="s">
        <v>160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276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161</v>
      </c>
      <c r="D537" s="3"/>
      <c r="E537" s="3" t="s">
        <v>161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461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161</v>
      </c>
      <c r="D538" s="3"/>
      <c r="E538" s="3" t="s">
        <v>161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114</v>
      </c>
      <c r="O538" s="3"/>
      <c r="P538" s="3"/>
      <c r="Q538" s="3">
        <v>2.1589999999999998</v>
      </c>
      <c r="R538" s="3" t="s">
        <v>17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161</v>
      </c>
      <c r="D539" s="3"/>
      <c r="E539" s="3" t="s">
        <v>161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277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161</v>
      </c>
      <c r="D540" s="3"/>
      <c r="E540" s="3" t="s">
        <v>161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278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161</v>
      </c>
      <c r="D541" s="3"/>
      <c r="E541" s="3" t="s">
        <v>161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115</v>
      </c>
      <c r="O541" s="3"/>
      <c r="P541" s="3"/>
      <c r="Q541" s="3">
        <v>2.1589999999999998</v>
      </c>
      <c r="R541" s="3" t="s">
        <v>17</v>
      </c>
      <c r="S541" s="3"/>
      <c r="T541" s="3">
        <v>10</v>
      </c>
      <c r="U541" s="3"/>
      <c r="V541" s="3" t="s">
        <v>18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161</v>
      </c>
      <c r="D542" s="3"/>
      <c r="E542" s="3" t="s">
        <v>161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109</v>
      </c>
      <c r="O542" s="3"/>
      <c r="P542" s="3"/>
      <c r="Q542" s="3">
        <v>0.78200000000000003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161</v>
      </c>
      <c r="D543" s="3"/>
      <c r="E543" s="3" t="s">
        <v>161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111</v>
      </c>
      <c r="O543" s="3"/>
      <c r="P543" s="3"/>
      <c r="Q543" s="3">
        <v>23.012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161</v>
      </c>
      <c r="D544" s="3"/>
      <c r="E544" s="3" t="s">
        <v>161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21</v>
      </c>
      <c r="O544" s="3"/>
      <c r="P544" s="3"/>
      <c r="Q544" s="3">
        <v>141.52600000000001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161</v>
      </c>
      <c r="D545" s="3"/>
      <c r="E545" s="3" t="s">
        <v>161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123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161</v>
      </c>
      <c r="D546" s="3"/>
      <c r="E546" s="3" t="s">
        <v>161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161</v>
      </c>
      <c r="D547" s="3"/>
      <c r="E547" s="3" t="s">
        <v>161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161</v>
      </c>
      <c r="D548" s="3"/>
      <c r="E548" s="3" t="s">
        <v>161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161</v>
      </c>
      <c r="D549" s="3"/>
      <c r="E549" s="3" t="s">
        <v>161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116</v>
      </c>
      <c r="O549" s="3"/>
      <c r="P549" s="3"/>
      <c r="Q549" s="3">
        <v>1.2969999999999999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161</v>
      </c>
      <c r="D550" s="3"/>
      <c r="E550" s="3" t="s">
        <v>161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279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162</v>
      </c>
      <c r="D551" s="3"/>
      <c r="E551" s="3" t="s">
        <v>162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462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162</v>
      </c>
      <c r="D552" s="3"/>
      <c r="E552" s="3" t="s">
        <v>162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114</v>
      </c>
      <c r="O552" s="3"/>
      <c r="P552" s="3"/>
      <c r="Q552" s="3">
        <v>2.1589999999999998</v>
      </c>
      <c r="R552" s="3" t="s">
        <v>17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162</v>
      </c>
      <c r="D553" s="3"/>
      <c r="E553" s="3" t="s">
        <v>162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280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162</v>
      </c>
      <c r="D554" s="3"/>
      <c r="E554" s="3" t="s">
        <v>162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281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162</v>
      </c>
      <c r="D555" s="3"/>
      <c r="E555" s="3" t="s">
        <v>162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115</v>
      </c>
      <c r="O555" s="3"/>
      <c r="P555" s="3"/>
      <c r="Q555" s="3">
        <v>2.1589999999999998</v>
      </c>
      <c r="R555" s="3" t="s">
        <v>17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162</v>
      </c>
      <c r="D556" s="3"/>
      <c r="E556" s="3" t="s">
        <v>162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109</v>
      </c>
      <c r="O556" s="3"/>
      <c r="P556" s="3"/>
      <c r="Q556" s="3">
        <v>0.85699999999999998</v>
      </c>
      <c r="R556" s="3" t="s">
        <v>110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162</v>
      </c>
      <c r="D557" s="3"/>
      <c r="E557" s="3" t="s">
        <v>162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111</v>
      </c>
      <c r="O557" s="3"/>
      <c r="P557" s="3"/>
      <c r="Q557" s="3">
        <v>23.927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162</v>
      </c>
      <c r="D558" s="3"/>
      <c r="E558" s="3" t="s">
        <v>162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21</v>
      </c>
      <c r="O558" s="3"/>
      <c r="P558" s="3"/>
      <c r="Q558" s="3">
        <v>147.15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162</v>
      </c>
      <c r="D559" s="3"/>
      <c r="E559" s="3" t="s">
        <v>162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123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162</v>
      </c>
      <c r="D560" s="3"/>
      <c r="E560" s="3" t="s">
        <v>162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162</v>
      </c>
      <c r="D561" s="3"/>
      <c r="E561" s="3" t="s">
        <v>162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162</v>
      </c>
      <c r="D562" s="3"/>
      <c r="E562" s="3" t="s">
        <v>162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162</v>
      </c>
      <c r="D563" s="3"/>
      <c r="E563" s="3" t="s">
        <v>162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116</v>
      </c>
      <c r="O563" s="3"/>
      <c r="P563" s="3"/>
      <c r="Q563" s="3">
        <v>1.2969999999999999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162</v>
      </c>
      <c r="D564" s="3"/>
      <c r="E564" s="3" t="s">
        <v>162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282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283</v>
      </c>
      <c r="D565" s="3"/>
      <c r="E565" s="3" t="s">
        <v>283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463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283</v>
      </c>
      <c r="D566" s="3"/>
      <c r="E566" s="3" t="s">
        <v>283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114</v>
      </c>
      <c r="O566" s="3"/>
      <c r="P566" s="3"/>
      <c r="Q566" s="3">
        <v>0.78700000000000003</v>
      </c>
      <c r="R566" s="3" t="s">
        <v>17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283</v>
      </c>
      <c r="D567" s="3"/>
      <c r="E567" s="3" t="s">
        <v>283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284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283</v>
      </c>
      <c r="D568" s="3"/>
      <c r="E568" s="3" t="s">
        <v>283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285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283</v>
      </c>
      <c r="D569" s="3"/>
      <c r="E569" s="3" t="s">
        <v>283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115</v>
      </c>
      <c r="O569" s="3"/>
      <c r="P569" s="3"/>
      <c r="Q569" s="3">
        <v>0.78700000000000003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283</v>
      </c>
      <c r="D570" s="3"/>
      <c r="E570" s="3" t="s">
        <v>283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109</v>
      </c>
      <c r="O570" s="3"/>
      <c r="P570" s="3"/>
      <c r="Q570" s="3">
        <v>0.313</v>
      </c>
      <c r="R570" s="3" t="s">
        <v>110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283</v>
      </c>
      <c r="D571" s="3"/>
      <c r="E571" s="3" t="s">
        <v>283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111</v>
      </c>
      <c r="O571" s="3"/>
      <c r="P571" s="3"/>
      <c r="Q571" s="3">
        <v>16.154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283</v>
      </c>
      <c r="D572" s="3"/>
      <c r="E572" s="3" t="s">
        <v>283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21</v>
      </c>
      <c r="O572" s="3"/>
      <c r="P572" s="3"/>
      <c r="Q572" s="3">
        <v>99.35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283</v>
      </c>
      <c r="D573" s="3"/>
      <c r="E573" s="3" t="s">
        <v>283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123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283</v>
      </c>
      <c r="D574" s="3"/>
      <c r="E574" s="3" t="s">
        <v>283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283</v>
      </c>
      <c r="D575" s="3"/>
      <c r="E575" s="3" t="s">
        <v>283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283</v>
      </c>
      <c r="D576" s="3"/>
      <c r="E576" s="3" t="s">
        <v>283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283</v>
      </c>
      <c r="D577" s="3"/>
      <c r="E577" s="3" t="s">
        <v>283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116</v>
      </c>
      <c r="O577" s="3"/>
      <c r="P577" s="3"/>
      <c r="Q577" s="3">
        <v>0.56699999999999995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283</v>
      </c>
      <c r="D578" s="3"/>
      <c r="E578" s="3" t="s">
        <v>283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286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287</v>
      </c>
      <c r="D579" s="3"/>
      <c r="E579" s="3" t="s">
        <v>287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464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287</v>
      </c>
      <c r="D580" s="3"/>
      <c r="E580" s="3" t="s">
        <v>287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114</v>
      </c>
      <c r="O580" s="3"/>
      <c r="P580" s="3"/>
      <c r="Q580" s="3">
        <v>0.94</v>
      </c>
      <c r="R580" s="3" t="s">
        <v>17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287</v>
      </c>
      <c r="D581" s="3"/>
      <c r="E581" s="3" t="s">
        <v>287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288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287</v>
      </c>
      <c r="D582" s="3"/>
      <c r="E582" s="3" t="s">
        <v>287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289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287</v>
      </c>
      <c r="D583" s="3"/>
      <c r="E583" s="3" t="s">
        <v>287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115</v>
      </c>
      <c r="O583" s="3"/>
      <c r="P583" s="3"/>
      <c r="Q583" s="3">
        <v>0.94</v>
      </c>
      <c r="R583" s="3" t="s">
        <v>17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287</v>
      </c>
      <c r="D584" s="3"/>
      <c r="E584" s="3" t="s">
        <v>287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109</v>
      </c>
      <c r="O584" s="3"/>
      <c r="P584" s="3"/>
      <c r="Q584" s="3">
        <v>0.377</v>
      </c>
      <c r="R584" s="3" t="s">
        <v>110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287</v>
      </c>
      <c r="D585" s="3"/>
      <c r="E585" s="3" t="s">
        <v>287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111</v>
      </c>
      <c r="O585" s="3"/>
      <c r="P585" s="3"/>
      <c r="Q585" s="3">
        <v>17.068999999999999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287</v>
      </c>
      <c r="D586" s="3"/>
      <c r="E586" s="3" t="s">
        <v>287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21</v>
      </c>
      <c r="O586" s="3"/>
      <c r="P586" s="3"/>
      <c r="Q586" s="3">
        <v>104.973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287</v>
      </c>
      <c r="D587" s="3"/>
      <c r="E587" s="3" t="s">
        <v>287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123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287</v>
      </c>
      <c r="D588" s="3"/>
      <c r="E588" s="3" t="s">
        <v>287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287</v>
      </c>
      <c r="D589" s="3"/>
      <c r="E589" s="3" t="s">
        <v>287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287</v>
      </c>
      <c r="D590" s="3"/>
      <c r="E590" s="3" t="s">
        <v>287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287</v>
      </c>
      <c r="D591" s="3"/>
      <c r="E591" s="3" t="s">
        <v>287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116</v>
      </c>
      <c r="O591" s="3"/>
      <c r="P591" s="3"/>
      <c r="Q591" s="3">
        <v>0.64900000000000002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287</v>
      </c>
      <c r="D592" s="3"/>
      <c r="E592" s="3" t="s">
        <v>287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290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291</v>
      </c>
      <c r="D593" s="3"/>
      <c r="E593" s="3" t="s">
        <v>291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465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291</v>
      </c>
      <c r="D594" s="3"/>
      <c r="E594" s="3" t="s">
        <v>291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114</v>
      </c>
      <c r="O594" s="3"/>
      <c r="P594" s="3"/>
      <c r="Q594" s="3">
        <v>1.0920000000000001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291</v>
      </c>
      <c r="D595" s="3"/>
      <c r="E595" s="3" t="s">
        <v>291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292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291</v>
      </c>
      <c r="D596" s="3"/>
      <c r="E596" s="3" t="s">
        <v>291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293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291</v>
      </c>
      <c r="D597" s="3"/>
      <c r="E597" s="3" t="s">
        <v>291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115</v>
      </c>
      <c r="O597" s="3"/>
      <c r="P597" s="3"/>
      <c r="Q597" s="3">
        <v>1.0920000000000001</v>
      </c>
      <c r="R597" s="3" t="s">
        <v>17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291</v>
      </c>
      <c r="D598" s="3"/>
      <c r="E598" s="3" t="s">
        <v>291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109</v>
      </c>
      <c r="O598" s="3"/>
      <c r="P598" s="3"/>
      <c r="Q598" s="3">
        <v>0.442</v>
      </c>
      <c r="R598" s="3" t="s">
        <v>110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291</v>
      </c>
      <c r="D599" s="3"/>
      <c r="E599" s="3" t="s">
        <v>291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111</v>
      </c>
      <c r="O599" s="3"/>
      <c r="P599" s="3"/>
      <c r="Q599" s="3">
        <v>17.983000000000001</v>
      </c>
      <c r="R599" s="3" t="s">
        <v>17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291</v>
      </c>
      <c r="D600" s="3"/>
      <c r="E600" s="3" t="s">
        <v>291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21</v>
      </c>
      <c r="O600" s="3"/>
      <c r="P600" s="3"/>
      <c r="Q600" s="3">
        <v>110.59699999999999</v>
      </c>
      <c r="R600" s="3" t="s">
        <v>17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291</v>
      </c>
      <c r="D601" s="3"/>
      <c r="E601" s="3" t="s">
        <v>291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123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291</v>
      </c>
      <c r="D602" s="3"/>
      <c r="E602" s="3" t="s">
        <v>291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291</v>
      </c>
      <c r="D603" s="3"/>
      <c r="E603" s="3" t="s">
        <v>291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291</v>
      </c>
      <c r="D604" s="3"/>
      <c r="E604" s="3" t="s">
        <v>291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291</v>
      </c>
      <c r="D605" s="3"/>
      <c r="E605" s="3" t="s">
        <v>291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116</v>
      </c>
      <c r="O605" s="3"/>
      <c r="P605" s="3"/>
      <c r="Q605" s="3">
        <v>0.73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291</v>
      </c>
      <c r="D606" s="3"/>
      <c r="E606" s="3" t="s">
        <v>291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294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295</v>
      </c>
      <c r="D607" s="3"/>
      <c r="E607" s="3" t="s">
        <v>295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466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295</v>
      </c>
      <c r="D608" s="3"/>
      <c r="E608" s="3" t="s">
        <v>295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114</v>
      </c>
      <c r="O608" s="3"/>
      <c r="P608" s="3"/>
      <c r="Q608" s="3">
        <v>1.2450000000000001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295</v>
      </c>
      <c r="D609" s="3"/>
      <c r="E609" s="3" t="s">
        <v>295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296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295</v>
      </c>
      <c r="D610" s="3"/>
      <c r="E610" s="3" t="s">
        <v>295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297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295</v>
      </c>
      <c r="D611" s="3"/>
      <c r="E611" s="3" t="s">
        <v>295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115</v>
      </c>
      <c r="O611" s="3"/>
      <c r="P611" s="3"/>
      <c r="Q611" s="3">
        <v>1.2450000000000001</v>
      </c>
      <c r="R611" s="3" t="s">
        <v>17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295</v>
      </c>
      <c r="D612" s="3"/>
      <c r="E612" s="3" t="s">
        <v>295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109</v>
      </c>
      <c r="O612" s="3"/>
      <c r="P612" s="3"/>
      <c r="Q612" s="3">
        <v>0.50700000000000001</v>
      </c>
      <c r="R612" s="3" t="s">
        <v>110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295</v>
      </c>
      <c r="D613" s="3"/>
      <c r="E613" s="3" t="s">
        <v>295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111</v>
      </c>
      <c r="O613" s="3"/>
      <c r="P613" s="3"/>
      <c r="Q613" s="3">
        <v>18.898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295</v>
      </c>
      <c r="D614" s="3"/>
      <c r="E614" s="3" t="s">
        <v>295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21</v>
      </c>
      <c r="O614" s="3"/>
      <c r="P614" s="3"/>
      <c r="Q614" s="3">
        <v>116.22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295</v>
      </c>
      <c r="D615" s="3"/>
      <c r="E615" s="3" t="s">
        <v>295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123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295</v>
      </c>
      <c r="D616" s="3"/>
      <c r="E616" s="3" t="s">
        <v>295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295</v>
      </c>
      <c r="D617" s="3"/>
      <c r="E617" s="3" t="s">
        <v>295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295</v>
      </c>
      <c r="D618" s="3"/>
      <c r="E618" s="3" t="s">
        <v>295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295</v>
      </c>
      <c r="D619" s="3"/>
      <c r="E619" s="3" t="s">
        <v>295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116</v>
      </c>
      <c r="O619" s="3"/>
      <c r="P619" s="3"/>
      <c r="Q619" s="3">
        <v>0.81100000000000005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295</v>
      </c>
      <c r="D620" s="3"/>
      <c r="E620" s="3" t="s">
        <v>295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298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299</v>
      </c>
      <c r="D621" s="3"/>
      <c r="E621" s="3" t="s">
        <v>299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467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299</v>
      </c>
      <c r="D622" s="3"/>
      <c r="E622" s="3" t="s">
        <v>299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114</v>
      </c>
      <c r="O622" s="3"/>
      <c r="P622" s="3"/>
      <c r="Q622" s="3">
        <v>1.5489999999999999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299</v>
      </c>
      <c r="D623" s="3"/>
      <c r="E623" s="3" t="s">
        <v>299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300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299</v>
      </c>
      <c r="D624" s="3"/>
      <c r="E624" s="3" t="s">
        <v>299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301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299</v>
      </c>
      <c r="D625" s="3"/>
      <c r="E625" s="3" t="s">
        <v>299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115</v>
      </c>
      <c r="O625" s="3"/>
      <c r="P625" s="3"/>
      <c r="Q625" s="3">
        <v>1.5489999999999999</v>
      </c>
      <c r="R625" s="3" t="s">
        <v>17</v>
      </c>
      <c r="S625" s="3"/>
      <c r="T625" s="3">
        <v>10</v>
      </c>
      <c r="U625" s="3"/>
      <c r="V625" s="3" t="s">
        <v>18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299</v>
      </c>
      <c r="D626" s="3"/>
      <c r="E626" s="3" t="s">
        <v>299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109</v>
      </c>
      <c r="O626" s="3"/>
      <c r="P626" s="3"/>
      <c r="Q626" s="3">
        <v>0.63600000000000001</v>
      </c>
      <c r="R626" s="3" t="s">
        <v>110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299</v>
      </c>
      <c r="D627" s="3"/>
      <c r="E627" s="3" t="s">
        <v>299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111</v>
      </c>
      <c r="O627" s="3"/>
      <c r="P627" s="3"/>
      <c r="Q627" s="3">
        <v>20.725999999999999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299</v>
      </c>
      <c r="D628" s="3"/>
      <c r="E628" s="3" t="s">
        <v>299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21</v>
      </c>
      <c r="O628" s="3"/>
      <c r="P628" s="3"/>
      <c r="Q628" s="3">
        <v>127.467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299</v>
      </c>
      <c r="D629" s="3"/>
      <c r="E629" s="3" t="s">
        <v>299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123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299</v>
      </c>
      <c r="D630" s="3"/>
      <c r="E630" s="3" t="s">
        <v>299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299</v>
      </c>
      <c r="D631" s="3"/>
      <c r="E631" s="3" t="s">
        <v>299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299</v>
      </c>
      <c r="D632" s="3"/>
      <c r="E632" s="3" t="s">
        <v>299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299</v>
      </c>
      <c r="D633" s="3"/>
      <c r="E633" s="3" t="s">
        <v>299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116</v>
      </c>
      <c r="O633" s="3"/>
      <c r="P633" s="3"/>
      <c r="Q633" s="3">
        <v>0.97299999999999998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299</v>
      </c>
      <c r="D634" s="3"/>
      <c r="E634" s="3" t="s">
        <v>299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302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303</v>
      </c>
      <c r="D635" s="3"/>
      <c r="E635" s="3" t="s">
        <v>303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468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303</v>
      </c>
      <c r="D636" s="3"/>
      <c r="E636" s="3" t="s">
        <v>303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114</v>
      </c>
      <c r="O636" s="3"/>
      <c r="P636" s="3"/>
      <c r="Q636" s="3">
        <v>1.702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303</v>
      </c>
      <c r="D637" s="3"/>
      <c r="E637" s="3" t="s">
        <v>303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304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303</v>
      </c>
      <c r="D638" s="3"/>
      <c r="E638" s="3" t="s">
        <v>303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305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303</v>
      </c>
      <c r="D639" s="3"/>
      <c r="E639" s="3" t="s">
        <v>303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115</v>
      </c>
      <c r="O639" s="3"/>
      <c r="P639" s="3"/>
      <c r="Q639" s="3">
        <v>1.702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303</v>
      </c>
      <c r="D640" s="3"/>
      <c r="E640" s="3" t="s">
        <v>303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0.70099999999999996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303</v>
      </c>
      <c r="D641" s="3"/>
      <c r="E641" s="3" t="s">
        <v>303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111</v>
      </c>
      <c r="O641" s="3"/>
      <c r="P641" s="3"/>
      <c r="Q641" s="3">
        <v>21.640999999999998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303</v>
      </c>
      <c r="D642" s="3"/>
      <c r="E642" s="3" t="s">
        <v>303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21</v>
      </c>
      <c r="O642" s="3"/>
      <c r="P642" s="3"/>
      <c r="Q642" s="3">
        <v>133.09100000000001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303</v>
      </c>
      <c r="D643" s="3"/>
      <c r="E643" s="3" t="s">
        <v>303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123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303</v>
      </c>
      <c r="D644" s="3"/>
      <c r="E644" s="3" t="s">
        <v>303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303</v>
      </c>
      <c r="D645" s="3"/>
      <c r="E645" s="3" t="s">
        <v>303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303</v>
      </c>
      <c r="D646" s="3"/>
      <c r="E646" s="3" t="s">
        <v>303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303</v>
      </c>
      <c r="D647" s="3"/>
      <c r="E647" s="3" t="s">
        <v>303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116</v>
      </c>
      <c r="O647" s="3"/>
      <c r="P647" s="3"/>
      <c r="Q647" s="3">
        <v>1.054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303</v>
      </c>
      <c r="D648" s="3"/>
      <c r="E648" s="3" t="s">
        <v>303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306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307</v>
      </c>
      <c r="D649" s="3"/>
      <c r="E649" s="3" t="s">
        <v>307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469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307</v>
      </c>
      <c r="D650" s="3"/>
      <c r="E650" s="3" t="s">
        <v>307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114</v>
      </c>
      <c r="O650" s="3"/>
      <c r="P650" s="3"/>
      <c r="Q650" s="3">
        <v>1.8540000000000001</v>
      </c>
      <c r="R650" s="3" t="s">
        <v>17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307</v>
      </c>
      <c r="D651" s="3"/>
      <c r="E651" s="3" t="s">
        <v>307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308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307</v>
      </c>
      <c r="D652" s="3"/>
      <c r="E652" s="3" t="s">
        <v>307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309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307</v>
      </c>
      <c r="D653" s="3"/>
      <c r="E653" s="3" t="s">
        <v>307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115</v>
      </c>
      <c r="O653" s="3"/>
      <c r="P653" s="3"/>
      <c r="Q653" s="3">
        <v>1.8540000000000001</v>
      </c>
      <c r="R653" s="3" t="s">
        <v>17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307</v>
      </c>
      <c r="D654" s="3"/>
      <c r="E654" s="3" t="s">
        <v>307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109</v>
      </c>
      <c r="O654" s="3"/>
      <c r="P654" s="3"/>
      <c r="Q654" s="3">
        <v>0.76600000000000001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307</v>
      </c>
      <c r="D655" s="3"/>
      <c r="E655" s="3" t="s">
        <v>307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111</v>
      </c>
      <c r="O655" s="3"/>
      <c r="P655" s="3"/>
      <c r="Q655" s="3">
        <v>22.555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307</v>
      </c>
      <c r="D656" s="3"/>
      <c r="E656" s="3" t="s">
        <v>307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21</v>
      </c>
      <c r="O656" s="3"/>
      <c r="P656" s="3"/>
      <c r="Q656" s="3">
        <v>138.714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307</v>
      </c>
      <c r="D657" s="3"/>
      <c r="E657" s="3" t="s">
        <v>307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123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307</v>
      </c>
      <c r="D658" s="3"/>
      <c r="E658" s="3" t="s">
        <v>307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307</v>
      </c>
      <c r="D659" s="3"/>
      <c r="E659" s="3" t="s">
        <v>307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307</v>
      </c>
      <c r="D660" s="3"/>
      <c r="E660" s="3" t="s">
        <v>307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307</v>
      </c>
      <c r="D661" s="3"/>
      <c r="E661" s="3" t="s">
        <v>307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116</v>
      </c>
      <c r="O661" s="3"/>
      <c r="P661" s="3"/>
      <c r="Q661" s="3">
        <v>1.135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307</v>
      </c>
      <c r="D662" s="3"/>
      <c r="E662" s="3" t="s">
        <v>307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310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311</v>
      </c>
      <c r="D663" s="3"/>
      <c r="E663" s="3" t="s">
        <v>311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470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311</v>
      </c>
      <c r="D664" s="3"/>
      <c r="E664" s="3" t="s">
        <v>311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114</v>
      </c>
      <c r="O664" s="3"/>
      <c r="P664" s="3"/>
      <c r="Q664" s="3">
        <v>0.78700000000000003</v>
      </c>
      <c r="R664" s="3" t="s">
        <v>17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311</v>
      </c>
      <c r="D665" s="3"/>
      <c r="E665" s="3" t="s">
        <v>311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312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311</v>
      </c>
      <c r="D666" s="3"/>
      <c r="E666" s="3" t="s">
        <v>311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313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311</v>
      </c>
      <c r="D667" s="3"/>
      <c r="E667" s="3" t="s">
        <v>311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115</v>
      </c>
      <c r="O667" s="3"/>
      <c r="P667" s="3"/>
      <c r="Q667" s="3">
        <v>0.78700000000000003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311</v>
      </c>
      <c r="D668" s="3"/>
      <c r="E668" s="3" t="s">
        <v>311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109</v>
      </c>
      <c r="O668" s="3"/>
      <c r="P668" s="3"/>
      <c r="Q668" s="3">
        <v>0.32600000000000001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311</v>
      </c>
      <c r="D669" s="3"/>
      <c r="E669" s="3" t="s">
        <v>311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111</v>
      </c>
      <c r="O669" s="3"/>
      <c r="P669" s="3"/>
      <c r="Q669" s="3">
        <v>16.611999999999998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311</v>
      </c>
      <c r="D670" s="3"/>
      <c r="E670" s="3" t="s">
        <v>311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21</v>
      </c>
      <c r="O670" s="3"/>
      <c r="P670" s="3"/>
      <c r="Q670" s="3">
        <v>102.161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311</v>
      </c>
      <c r="D671" s="3"/>
      <c r="E671" s="3" t="s">
        <v>311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123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311</v>
      </c>
      <c r="D672" s="3"/>
      <c r="E672" s="3" t="s">
        <v>311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311</v>
      </c>
      <c r="D673" s="3"/>
      <c r="E673" s="3" t="s">
        <v>311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311</v>
      </c>
      <c r="D674" s="3"/>
      <c r="E674" s="3" t="s">
        <v>311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311</v>
      </c>
      <c r="D675" s="3"/>
      <c r="E675" s="3" t="s">
        <v>311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116</v>
      </c>
      <c r="O675" s="3"/>
      <c r="P675" s="3"/>
      <c r="Q675" s="3">
        <v>0.56699999999999995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311</v>
      </c>
      <c r="D676" s="3"/>
      <c r="E676" s="3" t="s">
        <v>311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314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315</v>
      </c>
      <c r="D677" s="3"/>
      <c r="E677" s="3" t="s">
        <v>315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471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315</v>
      </c>
      <c r="D678" s="3"/>
      <c r="E678" s="3" t="s">
        <v>315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114</v>
      </c>
      <c r="O678" s="3"/>
      <c r="P678" s="3"/>
      <c r="Q678" s="3">
        <v>0.94</v>
      </c>
      <c r="R678" s="3" t="s">
        <v>17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315</v>
      </c>
      <c r="D679" s="3"/>
      <c r="E679" s="3" t="s">
        <v>315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316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315</v>
      </c>
      <c r="D680" s="3"/>
      <c r="E680" s="3" t="s">
        <v>315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317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315</v>
      </c>
      <c r="D681" s="3"/>
      <c r="E681" s="3" t="s">
        <v>315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115</v>
      </c>
      <c r="O681" s="3"/>
      <c r="P681" s="3"/>
      <c r="Q681" s="3">
        <v>0.94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315</v>
      </c>
      <c r="D682" s="3"/>
      <c r="E682" s="3" t="s">
        <v>315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109</v>
      </c>
      <c r="O682" s="3"/>
      <c r="P682" s="3"/>
      <c r="Q682" s="3">
        <v>0.39300000000000002</v>
      </c>
      <c r="R682" s="3" t="s">
        <v>110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315</v>
      </c>
      <c r="D683" s="3"/>
      <c r="E683" s="3" t="s">
        <v>315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111</v>
      </c>
      <c r="O683" s="3"/>
      <c r="P683" s="3"/>
      <c r="Q683" s="3">
        <v>17.526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315</v>
      </c>
      <c r="D684" s="3"/>
      <c r="E684" s="3" t="s">
        <v>315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21</v>
      </c>
      <c r="O684" s="3"/>
      <c r="P684" s="3"/>
      <c r="Q684" s="3">
        <v>107.785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315</v>
      </c>
      <c r="D685" s="3"/>
      <c r="E685" s="3" t="s">
        <v>315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123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315</v>
      </c>
      <c r="D686" s="3"/>
      <c r="E686" s="3" t="s">
        <v>315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315</v>
      </c>
      <c r="D687" s="3"/>
      <c r="E687" s="3" t="s">
        <v>315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315</v>
      </c>
      <c r="D688" s="3"/>
      <c r="E688" s="3" t="s">
        <v>315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315</v>
      </c>
      <c r="D689" s="3"/>
      <c r="E689" s="3" t="s">
        <v>315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116</v>
      </c>
      <c r="O689" s="3"/>
      <c r="P689" s="3"/>
      <c r="Q689" s="3">
        <v>0.64900000000000002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315</v>
      </c>
      <c r="D690" s="3"/>
      <c r="E690" s="3" t="s">
        <v>315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318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319</v>
      </c>
      <c r="D691" s="3"/>
      <c r="E691" s="3" t="s">
        <v>319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472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319</v>
      </c>
      <c r="D692" s="3"/>
      <c r="E692" s="3" t="s">
        <v>319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114</v>
      </c>
      <c r="O692" s="3"/>
      <c r="P692" s="3"/>
      <c r="Q692" s="3">
        <v>1.0920000000000001</v>
      </c>
      <c r="R692" s="3" t="s">
        <v>17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319</v>
      </c>
      <c r="D693" s="3"/>
      <c r="E693" s="3" t="s">
        <v>319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320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319</v>
      </c>
      <c r="D694" s="3"/>
      <c r="E694" s="3" t="s">
        <v>319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321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319</v>
      </c>
      <c r="D695" s="3"/>
      <c r="E695" s="3" t="s">
        <v>319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115</v>
      </c>
      <c r="O695" s="3"/>
      <c r="P695" s="3"/>
      <c r="Q695" s="3">
        <v>1.0920000000000001</v>
      </c>
      <c r="R695" s="3" t="s">
        <v>17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319</v>
      </c>
      <c r="D696" s="3"/>
      <c r="E696" s="3" t="s">
        <v>319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109</v>
      </c>
      <c r="O696" s="3"/>
      <c r="P696" s="3"/>
      <c r="Q696" s="3">
        <v>0.46100000000000002</v>
      </c>
      <c r="R696" s="3" t="s">
        <v>110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319</v>
      </c>
      <c r="D697" s="3"/>
      <c r="E697" s="3" t="s">
        <v>319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111</v>
      </c>
      <c r="O697" s="3"/>
      <c r="P697" s="3"/>
      <c r="Q697" s="3">
        <v>18.440000000000001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319</v>
      </c>
      <c r="D698" s="3"/>
      <c r="E698" s="3" t="s">
        <v>319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21</v>
      </c>
      <c r="O698" s="3"/>
      <c r="P698" s="3"/>
      <c r="Q698" s="3">
        <v>113.408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319</v>
      </c>
      <c r="D699" s="3"/>
      <c r="E699" s="3" t="s">
        <v>319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123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319</v>
      </c>
      <c r="D700" s="3"/>
      <c r="E700" s="3" t="s">
        <v>319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319</v>
      </c>
      <c r="D701" s="3"/>
      <c r="E701" s="3" t="s">
        <v>319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319</v>
      </c>
      <c r="D702" s="3"/>
      <c r="E702" s="3" t="s">
        <v>319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319</v>
      </c>
      <c r="D703" s="3"/>
      <c r="E703" s="3" t="s">
        <v>319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116</v>
      </c>
      <c r="O703" s="3"/>
      <c r="P703" s="3"/>
      <c r="Q703" s="3">
        <v>0.73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319</v>
      </c>
      <c r="D704" s="3"/>
      <c r="E704" s="3" t="s">
        <v>319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322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323</v>
      </c>
      <c r="D705" s="3"/>
      <c r="E705" s="3" t="s">
        <v>323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473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323</v>
      </c>
      <c r="D706" s="3"/>
      <c r="E706" s="3" t="s">
        <v>323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114</v>
      </c>
      <c r="O706" s="3"/>
      <c r="P706" s="3"/>
      <c r="Q706" s="3">
        <v>1.2450000000000001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323</v>
      </c>
      <c r="D707" s="3"/>
      <c r="E707" s="3" t="s">
        <v>323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324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323</v>
      </c>
      <c r="D708" s="3"/>
      <c r="E708" s="3" t="s">
        <v>323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325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323</v>
      </c>
      <c r="D709" s="3"/>
      <c r="E709" s="3" t="s">
        <v>323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115</v>
      </c>
      <c r="O709" s="3"/>
      <c r="P709" s="3"/>
      <c r="Q709" s="3">
        <v>1.2450000000000001</v>
      </c>
      <c r="R709" s="3" t="s">
        <v>17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323</v>
      </c>
      <c r="D710" s="3"/>
      <c r="E710" s="3" t="s">
        <v>323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109</v>
      </c>
      <c r="O710" s="3"/>
      <c r="P710" s="3"/>
      <c r="Q710" s="3">
        <v>0.52800000000000002</v>
      </c>
      <c r="R710" s="3" t="s">
        <v>110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323</v>
      </c>
      <c r="D711" s="3"/>
      <c r="E711" s="3" t="s">
        <v>323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111</v>
      </c>
      <c r="O711" s="3"/>
      <c r="P711" s="3"/>
      <c r="Q711" s="3">
        <v>19.355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323</v>
      </c>
      <c r="D712" s="3"/>
      <c r="E712" s="3" t="s">
        <v>323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21</v>
      </c>
      <c r="O712" s="3"/>
      <c r="P712" s="3"/>
      <c r="Q712" s="3">
        <v>119.032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323</v>
      </c>
      <c r="D713" s="3"/>
      <c r="E713" s="3" t="s">
        <v>323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123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323</v>
      </c>
      <c r="D714" s="3"/>
      <c r="E714" s="3" t="s">
        <v>323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323</v>
      </c>
      <c r="D715" s="3"/>
      <c r="E715" s="3" t="s">
        <v>323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323</v>
      </c>
      <c r="D716" s="3"/>
      <c r="E716" s="3" t="s">
        <v>323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323</v>
      </c>
      <c r="D717" s="3"/>
      <c r="E717" s="3" t="s">
        <v>323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116</v>
      </c>
      <c r="O717" s="3"/>
      <c r="P717" s="3"/>
      <c r="Q717" s="3">
        <v>0.81100000000000005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323</v>
      </c>
      <c r="D718" s="3"/>
      <c r="E718" s="3" t="s">
        <v>323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326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327</v>
      </c>
      <c r="D719" s="3"/>
      <c r="E719" s="3" t="s">
        <v>327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474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327</v>
      </c>
      <c r="D720" s="3"/>
      <c r="E720" s="3" t="s">
        <v>327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114</v>
      </c>
      <c r="O720" s="3"/>
      <c r="P720" s="3"/>
      <c r="Q720" s="3">
        <v>1.5489999999999999</v>
      </c>
      <c r="R720" s="3" t="s">
        <v>17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327</v>
      </c>
      <c r="D721" s="3"/>
      <c r="E721" s="3" t="s">
        <v>327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328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327</v>
      </c>
      <c r="D722" s="3"/>
      <c r="E722" s="3" t="s">
        <v>327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329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327</v>
      </c>
      <c r="D723" s="3"/>
      <c r="E723" s="3" t="s">
        <v>327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115</v>
      </c>
      <c r="O723" s="3"/>
      <c r="P723" s="3"/>
      <c r="Q723" s="3">
        <v>1.5489999999999999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327</v>
      </c>
      <c r="D724" s="3"/>
      <c r="E724" s="3" t="s">
        <v>327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0.66300000000000003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327</v>
      </c>
      <c r="D725" s="3"/>
      <c r="E725" s="3" t="s">
        <v>327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111</v>
      </c>
      <c r="O725" s="3"/>
      <c r="P725" s="3"/>
      <c r="Q725" s="3">
        <v>21.184000000000001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327</v>
      </c>
      <c r="D726" s="3"/>
      <c r="E726" s="3" t="s">
        <v>327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21</v>
      </c>
      <c r="O726" s="3"/>
      <c r="P726" s="3"/>
      <c r="Q726" s="3">
        <v>130.279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327</v>
      </c>
      <c r="D727" s="3"/>
      <c r="E727" s="3" t="s">
        <v>327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123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327</v>
      </c>
      <c r="D728" s="3"/>
      <c r="E728" s="3" t="s">
        <v>327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327</v>
      </c>
      <c r="D729" s="3"/>
      <c r="E729" s="3" t="s">
        <v>327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327</v>
      </c>
      <c r="D730" s="3"/>
      <c r="E730" s="3" t="s">
        <v>327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327</v>
      </c>
      <c r="D731" s="3"/>
      <c r="E731" s="3" t="s">
        <v>327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116</v>
      </c>
      <c r="O731" s="3"/>
      <c r="P731" s="3"/>
      <c r="Q731" s="3">
        <v>0.97299999999999998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327</v>
      </c>
      <c r="D732" s="3"/>
      <c r="E732" s="3" t="s">
        <v>327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330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18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331</v>
      </c>
      <c r="D733" s="3"/>
      <c r="E733" s="3" t="s">
        <v>331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475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331</v>
      </c>
      <c r="D734" s="3"/>
      <c r="E734" s="3" t="s">
        <v>331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114</v>
      </c>
      <c r="O734" s="3"/>
      <c r="P734" s="3"/>
      <c r="Q734" s="3">
        <v>1.702</v>
      </c>
      <c r="R734" s="3" t="s">
        <v>17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331</v>
      </c>
      <c r="D735" s="3"/>
      <c r="E735" s="3" t="s">
        <v>331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332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331</v>
      </c>
      <c r="D736" s="3"/>
      <c r="E736" s="3" t="s">
        <v>331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333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331</v>
      </c>
      <c r="D737" s="3"/>
      <c r="E737" s="3" t="s">
        <v>331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115</v>
      </c>
      <c r="O737" s="3"/>
      <c r="P737" s="3"/>
      <c r="Q737" s="3">
        <v>1.702</v>
      </c>
      <c r="R737" s="3" t="s">
        <v>17</v>
      </c>
      <c r="S737" s="3"/>
      <c r="T737" s="3">
        <v>10</v>
      </c>
      <c r="U737" s="3"/>
      <c r="V737" s="3" t="s">
        <v>18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331</v>
      </c>
      <c r="D738" s="3"/>
      <c r="E738" s="3" t="s">
        <v>331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109</v>
      </c>
      <c r="O738" s="3"/>
      <c r="P738" s="3"/>
      <c r="Q738" s="3">
        <v>0.73099999999999998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331</v>
      </c>
      <c r="D739" s="3"/>
      <c r="E739" s="3" t="s">
        <v>331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111</v>
      </c>
      <c r="O739" s="3"/>
      <c r="P739" s="3"/>
      <c r="Q739" s="3">
        <v>22.097999999999999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331</v>
      </c>
      <c r="D740" s="3"/>
      <c r="E740" s="3" t="s">
        <v>331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21</v>
      </c>
      <c r="O740" s="3"/>
      <c r="P740" s="3"/>
      <c r="Q740" s="3">
        <v>135.90299999999999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331</v>
      </c>
      <c r="D741" s="3"/>
      <c r="E741" s="3" t="s">
        <v>331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123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331</v>
      </c>
      <c r="D742" s="3"/>
      <c r="E742" s="3" t="s">
        <v>331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331</v>
      </c>
      <c r="D743" s="3"/>
      <c r="E743" s="3" t="s">
        <v>331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331</v>
      </c>
      <c r="D744" s="3"/>
      <c r="E744" s="3" t="s">
        <v>331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331</v>
      </c>
      <c r="D745" s="3"/>
      <c r="E745" s="3" t="s">
        <v>331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116</v>
      </c>
      <c r="O745" s="3"/>
      <c r="P745" s="3"/>
      <c r="Q745" s="3">
        <v>1.054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331</v>
      </c>
      <c r="D746" s="3"/>
      <c r="E746" s="3" t="s">
        <v>331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334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335</v>
      </c>
      <c r="D747" s="3"/>
      <c r="E747" s="3" t="s">
        <v>335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476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335</v>
      </c>
      <c r="D748" s="3"/>
      <c r="E748" s="3" t="s">
        <v>335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114</v>
      </c>
      <c r="O748" s="3"/>
      <c r="P748" s="3"/>
      <c r="Q748" s="3">
        <v>1.8540000000000001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335</v>
      </c>
      <c r="D749" s="3"/>
      <c r="E749" s="3" t="s">
        <v>335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336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335</v>
      </c>
      <c r="D750" s="3"/>
      <c r="E750" s="3" t="s">
        <v>335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337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335</v>
      </c>
      <c r="D751" s="3"/>
      <c r="E751" s="3" t="s">
        <v>335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115</v>
      </c>
      <c r="O751" s="3"/>
      <c r="P751" s="3"/>
      <c r="Q751" s="3">
        <v>1.8540000000000001</v>
      </c>
      <c r="R751" s="3" t="s">
        <v>17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335</v>
      </c>
      <c r="D752" s="3"/>
      <c r="E752" s="3" t="s">
        <v>335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109</v>
      </c>
      <c r="O752" s="3"/>
      <c r="P752" s="3"/>
      <c r="Q752" s="3">
        <v>0.79800000000000004</v>
      </c>
      <c r="R752" s="3" t="s">
        <v>110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335</v>
      </c>
      <c r="D753" s="3"/>
      <c r="E753" s="3" t="s">
        <v>335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111</v>
      </c>
      <c r="O753" s="3"/>
      <c r="P753" s="3"/>
      <c r="Q753" s="3">
        <v>23.012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335</v>
      </c>
      <c r="D754" s="3"/>
      <c r="E754" s="3" t="s">
        <v>335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21</v>
      </c>
      <c r="O754" s="3"/>
      <c r="P754" s="3"/>
      <c r="Q754" s="3">
        <v>141.52600000000001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335</v>
      </c>
      <c r="D755" s="3"/>
      <c r="E755" s="3" t="s">
        <v>335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123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335</v>
      </c>
      <c r="D756" s="3"/>
      <c r="E756" s="3" t="s">
        <v>335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335</v>
      </c>
      <c r="D757" s="3"/>
      <c r="E757" s="3" t="s">
        <v>335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335</v>
      </c>
      <c r="D758" s="3"/>
      <c r="E758" s="3" t="s">
        <v>335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335</v>
      </c>
      <c r="D759" s="3"/>
      <c r="E759" s="3" t="s">
        <v>335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116</v>
      </c>
      <c r="O759" s="3"/>
      <c r="P759" s="3"/>
      <c r="Q759" s="3">
        <v>1.135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335</v>
      </c>
      <c r="D760" s="3"/>
      <c r="E760" s="3" t="s">
        <v>335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338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339</v>
      </c>
      <c r="D761" s="3"/>
      <c r="E761" s="3" t="s">
        <v>339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477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339</v>
      </c>
      <c r="D762" s="3"/>
      <c r="E762" s="3" t="s">
        <v>339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114</v>
      </c>
      <c r="O762" s="3"/>
      <c r="P762" s="3"/>
      <c r="Q762" s="3">
        <v>0.78700000000000003</v>
      </c>
      <c r="R762" s="3" t="s">
        <v>17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339</v>
      </c>
      <c r="D763" s="3"/>
      <c r="E763" s="3" t="s">
        <v>339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340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339</v>
      </c>
      <c r="D764" s="3"/>
      <c r="E764" s="3" t="s">
        <v>339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341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339</v>
      </c>
      <c r="D765" s="3"/>
      <c r="E765" s="3" t="s">
        <v>339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115</v>
      </c>
      <c r="O765" s="3"/>
      <c r="P765" s="3"/>
      <c r="Q765" s="3">
        <v>0.78700000000000003</v>
      </c>
      <c r="R765" s="3" t="s">
        <v>17</v>
      </c>
      <c r="S765" s="3"/>
      <c r="T765" s="3">
        <v>10</v>
      </c>
      <c r="U765" s="3"/>
      <c r="V765" s="3" t="s">
        <v>18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339</v>
      </c>
      <c r="D766" s="3"/>
      <c r="E766" s="3" t="s">
        <v>339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109</v>
      </c>
      <c r="O766" s="3"/>
      <c r="P766" s="3"/>
      <c r="Q766" s="3">
        <v>0.33900000000000002</v>
      </c>
      <c r="R766" s="3" t="s">
        <v>110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339</v>
      </c>
      <c r="D767" s="3"/>
      <c r="E767" s="3" t="s">
        <v>339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111</v>
      </c>
      <c r="O767" s="3"/>
      <c r="P767" s="3"/>
      <c r="Q767" s="3">
        <v>17.068999999999999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339</v>
      </c>
      <c r="D768" s="3"/>
      <c r="E768" s="3" t="s">
        <v>339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21</v>
      </c>
      <c r="O768" s="3"/>
      <c r="P768" s="3"/>
      <c r="Q768" s="3">
        <v>104.973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339</v>
      </c>
      <c r="D769" s="3"/>
      <c r="E769" s="3" t="s">
        <v>339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123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339</v>
      </c>
      <c r="D770" s="3"/>
      <c r="E770" s="3" t="s">
        <v>339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339</v>
      </c>
      <c r="D771" s="3"/>
      <c r="E771" s="3" t="s">
        <v>339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339</v>
      </c>
      <c r="D772" s="3"/>
      <c r="E772" s="3" t="s">
        <v>339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339</v>
      </c>
      <c r="D773" s="3"/>
      <c r="E773" s="3" t="s">
        <v>339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116</v>
      </c>
      <c r="O773" s="3"/>
      <c r="P773" s="3"/>
      <c r="Q773" s="3">
        <v>1.216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339</v>
      </c>
      <c r="D774" s="3"/>
      <c r="E774" s="3" t="s">
        <v>339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342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343</v>
      </c>
      <c r="D775" s="3"/>
      <c r="E775" s="3" t="s">
        <v>343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478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343</v>
      </c>
      <c r="D776" s="3"/>
      <c r="E776" s="3" t="s">
        <v>343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114</v>
      </c>
      <c r="O776" s="3"/>
      <c r="P776" s="3"/>
      <c r="Q776" s="3">
        <v>0.94</v>
      </c>
      <c r="R776" s="3" t="s">
        <v>17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343</v>
      </c>
      <c r="D777" s="3"/>
      <c r="E777" s="3" t="s">
        <v>343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344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343</v>
      </c>
      <c r="D778" s="3"/>
      <c r="E778" s="3" t="s">
        <v>343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345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343</v>
      </c>
      <c r="D779" s="3"/>
      <c r="E779" s="3" t="s">
        <v>343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115</v>
      </c>
      <c r="O779" s="3"/>
      <c r="P779" s="3"/>
      <c r="Q779" s="3">
        <v>0.94</v>
      </c>
      <c r="R779" s="3" t="s">
        <v>17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343</v>
      </c>
      <c r="D780" s="3"/>
      <c r="E780" s="3" t="s">
        <v>343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109</v>
      </c>
      <c r="O780" s="3"/>
      <c r="P780" s="3"/>
      <c r="Q780" s="3">
        <v>0.40899999999999997</v>
      </c>
      <c r="R780" s="3" t="s">
        <v>110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343</v>
      </c>
      <c r="D781" s="3"/>
      <c r="E781" s="3" t="s">
        <v>343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111</v>
      </c>
      <c r="O781" s="3"/>
      <c r="P781" s="3"/>
      <c r="Q781" s="3">
        <v>17.983000000000001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343</v>
      </c>
      <c r="D782" s="3"/>
      <c r="E782" s="3" t="s">
        <v>343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21</v>
      </c>
      <c r="O782" s="3"/>
      <c r="P782" s="3"/>
      <c r="Q782" s="3">
        <v>110.59699999999999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343</v>
      </c>
      <c r="D783" s="3"/>
      <c r="E783" s="3" t="s">
        <v>343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123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343</v>
      </c>
      <c r="D784" s="3"/>
      <c r="E784" s="3" t="s">
        <v>343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343</v>
      </c>
      <c r="D785" s="3"/>
      <c r="E785" s="3" t="s">
        <v>343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343</v>
      </c>
      <c r="D786" s="3"/>
      <c r="E786" s="3" t="s">
        <v>343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27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343</v>
      </c>
      <c r="D787" s="3"/>
      <c r="E787" s="3" t="s">
        <v>343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116</v>
      </c>
      <c r="O787" s="3"/>
      <c r="P787" s="3"/>
      <c r="Q787" s="3">
        <v>1.216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343</v>
      </c>
      <c r="D788" s="3"/>
      <c r="E788" s="3" t="s">
        <v>343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346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347</v>
      </c>
      <c r="D789" s="3"/>
      <c r="E789" s="3" t="s">
        <v>347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479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347</v>
      </c>
      <c r="D790" s="3"/>
      <c r="E790" s="3" t="s">
        <v>347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114</v>
      </c>
      <c r="O790" s="3"/>
      <c r="P790" s="3"/>
      <c r="Q790" s="3">
        <v>1.0920000000000001</v>
      </c>
      <c r="R790" s="3" t="s">
        <v>17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347</v>
      </c>
      <c r="D791" s="3"/>
      <c r="E791" s="3" t="s">
        <v>347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348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347</v>
      </c>
      <c r="D792" s="3"/>
      <c r="E792" s="3" t="s">
        <v>347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349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347</v>
      </c>
      <c r="D793" s="3"/>
      <c r="E793" s="3" t="s">
        <v>347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115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347</v>
      </c>
      <c r="D794" s="3"/>
      <c r="E794" s="3" t="s">
        <v>347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109</v>
      </c>
      <c r="O794" s="3"/>
      <c r="P794" s="3"/>
      <c r="Q794" s="3">
        <v>0.47899999999999998</v>
      </c>
      <c r="R794" s="3" t="s">
        <v>110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347</v>
      </c>
      <c r="D795" s="3"/>
      <c r="E795" s="3" t="s">
        <v>347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111</v>
      </c>
      <c r="O795" s="3"/>
      <c r="P795" s="3"/>
      <c r="Q795" s="3">
        <v>18.898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347</v>
      </c>
      <c r="D796" s="3"/>
      <c r="E796" s="3" t="s">
        <v>347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21</v>
      </c>
      <c r="O796" s="3"/>
      <c r="P796" s="3"/>
      <c r="Q796" s="3">
        <v>116.22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347</v>
      </c>
      <c r="D797" s="3"/>
      <c r="E797" s="3" t="s">
        <v>347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123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347</v>
      </c>
      <c r="D798" s="3"/>
      <c r="E798" s="3" t="s">
        <v>347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347</v>
      </c>
      <c r="D799" s="3"/>
      <c r="E799" s="3" t="s">
        <v>347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347</v>
      </c>
      <c r="D800" s="3"/>
      <c r="E800" s="3" t="s">
        <v>347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347</v>
      </c>
      <c r="D801" s="3"/>
      <c r="E801" s="3" t="s">
        <v>347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116</v>
      </c>
      <c r="O801" s="3"/>
      <c r="P801" s="3"/>
      <c r="Q801" s="3">
        <v>1.216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347</v>
      </c>
      <c r="D802" s="3"/>
      <c r="E802" s="3" t="s">
        <v>347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350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351</v>
      </c>
      <c r="D803" s="3"/>
      <c r="E803" s="3" t="s">
        <v>351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480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351</v>
      </c>
      <c r="D804" s="3"/>
      <c r="E804" s="3" t="s">
        <v>351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114</v>
      </c>
      <c r="O804" s="3"/>
      <c r="P804" s="3"/>
      <c r="Q804" s="3">
        <v>1.2450000000000001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351</v>
      </c>
      <c r="D805" s="3"/>
      <c r="E805" s="3" t="s">
        <v>351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352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351</v>
      </c>
      <c r="D806" s="3"/>
      <c r="E806" s="3" t="s">
        <v>351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353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351</v>
      </c>
      <c r="D807" s="3"/>
      <c r="E807" s="3" t="s">
        <v>351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115</v>
      </c>
      <c r="O807" s="3"/>
      <c r="P807" s="3"/>
      <c r="Q807" s="3">
        <v>1.2450000000000001</v>
      </c>
      <c r="R807" s="3" t="s">
        <v>17</v>
      </c>
      <c r="S807" s="3"/>
      <c r="T807" s="3">
        <v>10</v>
      </c>
      <c r="U807" s="3"/>
      <c r="V807" s="3" t="s">
        <v>18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351</v>
      </c>
      <c r="D808" s="3"/>
      <c r="E808" s="3" t="s">
        <v>351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109</v>
      </c>
      <c r="O808" s="3"/>
      <c r="P808" s="3"/>
      <c r="Q808" s="3">
        <v>0.55000000000000004</v>
      </c>
      <c r="R808" s="3" t="s">
        <v>110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351</v>
      </c>
      <c r="D809" s="3"/>
      <c r="E809" s="3" t="s">
        <v>351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111</v>
      </c>
      <c r="O809" s="3"/>
      <c r="P809" s="3"/>
      <c r="Q809" s="3">
        <v>19.812000000000001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351</v>
      </c>
      <c r="D810" s="3"/>
      <c r="E810" s="3" t="s">
        <v>351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21</v>
      </c>
      <c r="O810" s="3"/>
      <c r="P810" s="3"/>
      <c r="Q810" s="3">
        <v>121.84399999999999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351</v>
      </c>
      <c r="D811" s="3"/>
      <c r="E811" s="3" t="s">
        <v>351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123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351</v>
      </c>
      <c r="D812" s="3"/>
      <c r="E812" s="3" t="s">
        <v>351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351</v>
      </c>
      <c r="D813" s="3"/>
      <c r="E813" s="3" t="s">
        <v>351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351</v>
      </c>
      <c r="D814" s="3"/>
      <c r="E814" s="3" t="s">
        <v>351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351</v>
      </c>
      <c r="D815" s="3"/>
      <c r="E815" s="3" t="s">
        <v>351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116</v>
      </c>
      <c r="O815" s="3"/>
      <c r="P815" s="3"/>
      <c r="Q815" s="3">
        <v>1.216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351</v>
      </c>
      <c r="D816" s="3"/>
      <c r="E816" s="3" t="s">
        <v>351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354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355</v>
      </c>
      <c r="D817" s="3"/>
      <c r="E817" s="3" t="s">
        <v>355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481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355</v>
      </c>
      <c r="D818" s="3"/>
      <c r="E818" s="3" t="s">
        <v>355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114</v>
      </c>
      <c r="O818" s="3"/>
      <c r="P818" s="3"/>
      <c r="Q818" s="3">
        <v>1.5489999999999999</v>
      </c>
      <c r="R818" s="3" t="s">
        <v>17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355</v>
      </c>
      <c r="D819" s="3"/>
      <c r="E819" s="3" t="s">
        <v>355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356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355</v>
      </c>
      <c r="D820" s="3"/>
      <c r="E820" s="3" t="s">
        <v>355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357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355</v>
      </c>
      <c r="D821" s="3"/>
      <c r="E821" s="3" t="s">
        <v>355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115</v>
      </c>
      <c r="O821" s="3"/>
      <c r="P821" s="3"/>
      <c r="Q821" s="3">
        <v>1.5489999999999999</v>
      </c>
      <c r="R821" s="3" t="s">
        <v>17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355</v>
      </c>
      <c r="D822" s="3"/>
      <c r="E822" s="3" t="s">
        <v>355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109</v>
      </c>
      <c r="O822" s="3"/>
      <c r="P822" s="3"/>
      <c r="Q822" s="3">
        <v>0.69</v>
      </c>
      <c r="R822" s="3" t="s">
        <v>110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355</v>
      </c>
      <c r="D823" s="3"/>
      <c r="E823" s="3" t="s">
        <v>355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111</v>
      </c>
      <c r="O823" s="3"/>
      <c r="P823" s="3"/>
      <c r="Q823" s="3">
        <v>21.640999999999998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355</v>
      </c>
      <c r="D824" s="3"/>
      <c r="E824" s="3" t="s">
        <v>355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21</v>
      </c>
      <c r="O824" s="3"/>
      <c r="P824" s="3"/>
      <c r="Q824" s="3">
        <v>133.09100000000001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355</v>
      </c>
      <c r="D825" s="3"/>
      <c r="E825" s="3" t="s">
        <v>355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123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355</v>
      </c>
      <c r="D826" s="3"/>
      <c r="E826" s="3" t="s">
        <v>355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355</v>
      </c>
      <c r="D827" s="3"/>
      <c r="E827" s="3" t="s">
        <v>355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355</v>
      </c>
      <c r="D828" s="3"/>
      <c r="E828" s="3" t="s">
        <v>355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355</v>
      </c>
      <c r="D829" s="3"/>
      <c r="E829" s="3" t="s">
        <v>355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116</v>
      </c>
      <c r="O829" s="3"/>
      <c r="P829" s="3"/>
      <c r="Q829" s="3">
        <v>1.216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355</v>
      </c>
      <c r="D830" s="3"/>
      <c r="E830" s="3" t="s">
        <v>355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358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359</v>
      </c>
      <c r="D831" s="3"/>
      <c r="E831" s="3" t="s">
        <v>359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482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359</v>
      </c>
      <c r="D832" s="3"/>
      <c r="E832" s="3" t="s">
        <v>359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114</v>
      </c>
      <c r="O832" s="3"/>
      <c r="P832" s="3"/>
      <c r="Q832" s="3">
        <v>1.702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359</v>
      </c>
      <c r="D833" s="3"/>
      <c r="E833" s="3" t="s">
        <v>359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360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359</v>
      </c>
      <c r="D834" s="3"/>
      <c r="E834" s="3" t="s">
        <v>359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361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359</v>
      </c>
      <c r="D835" s="3"/>
      <c r="E835" s="3" t="s">
        <v>359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115</v>
      </c>
      <c r="O835" s="3"/>
      <c r="P835" s="3"/>
      <c r="Q835" s="3">
        <v>1.702</v>
      </c>
      <c r="R835" s="3" t="s">
        <v>17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359</v>
      </c>
      <c r="D836" s="3"/>
      <c r="E836" s="3" t="s">
        <v>359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109</v>
      </c>
      <c r="O836" s="3"/>
      <c r="P836" s="3"/>
      <c r="Q836" s="3">
        <v>0.76</v>
      </c>
      <c r="R836" s="3" t="s">
        <v>110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359</v>
      </c>
      <c r="D837" s="3"/>
      <c r="E837" s="3" t="s">
        <v>359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111</v>
      </c>
      <c r="O837" s="3"/>
      <c r="P837" s="3"/>
      <c r="Q837" s="3">
        <v>22.555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359</v>
      </c>
      <c r="D838" s="3"/>
      <c r="E838" s="3" t="s">
        <v>359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21</v>
      </c>
      <c r="O838" s="3"/>
      <c r="P838" s="3"/>
      <c r="Q838" s="3">
        <v>138.714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359</v>
      </c>
      <c r="D839" s="3"/>
      <c r="E839" s="3" t="s">
        <v>359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123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359</v>
      </c>
      <c r="D840" s="3"/>
      <c r="E840" s="3" t="s">
        <v>359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359</v>
      </c>
      <c r="D841" s="3"/>
      <c r="E841" s="3" t="s">
        <v>359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359</v>
      </c>
      <c r="D842" s="3"/>
      <c r="E842" s="3" t="s">
        <v>359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359</v>
      </c>
      <c r="D843" s="3"/>
      <c r="E843" s="3" t="s">
        <v>359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116</v>
      </c>
      <c r="O843" s="3"/>
      <c r="P843" s="3"/>
      <c r="Q843" s="3">
        <v>1.216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359</v>
      </c>
      <c r="D844" s="3"/>
      <c r="E844" s="3" t="s">
        <v>359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362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363</v>
      </c>
      <c r="D845" s="3"/>
      <c r="E845" s="3" t="s">
        <v>363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483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363</v>
      </c>
      <c r="D846" s="3"/>
      <c r="E846" s="3" t="s">
        <v>363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114</v>
      </c>
      <c r="O846" s="3"/>
      <c r="P846" s="3"/>
      <c r="Q846" s="3">
        <v>1.8540000000000001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363</v>
      </c>
      <c r="D847" s="3"/>
      <c r="E847" s="3" t="s">
        <v>363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364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363</v>
      </c>
      <c r="D848" s="3"/>
      <c r="E848" s="3" t="s">
        <v>363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365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363</v>
      </c>
      <c r="D849" s="3"/>
      <c r="E849" s="3" t="s">
        <v>363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115</v>
      </c>
      <c r="O849" s="3"/>
      <c r="P849" s="3"/>
      <c r="Q849" s="3">
        <v>1.8540000000000001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363</v>
      </c>
      <c r="D850" s="3"/>
      <c r="E850" s="3" t="s">
        <v>363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0.83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363</v>
      </c>
      <c r="D851" s="3"/>
      <c r="E851" s="3" t="s">
        <v>363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111</v>
      </c>
      <c r="O851" s="3"/>
      <c r="P851" s="3"/>
      <c r="Q851" s="3">
        <v>23.47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363</v>
      </c>
      <c r="D852" s="3"/>
      <c r="E852" s="3" t="s">
        <v>363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21</v>
      </c>
      <c r="O852" s="3"/>
      <c r="P852" s="3"/>
      <c r="Q852" s="3">
        <v>144.33799999999999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363</v>
      </c>
      <c r="D853" s="3"/>
      <c r="E853" s="3" t="s">
        <v>363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123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363</v>
      </c>
      <c r="D854" s="3"/>
      <c r="E854" s="3" t="s">
        <v>363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363</v>
      </c>
      <c r="D855" s="3"/>
      <c r="E855" s="3" t="s">
        <v>363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363</v>
      </c>
      <c r="D856" s="3"/>
      <c r="E856" s="3" t="s">
        <v>363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363</v>
      </c>
      <c r="D857" s="3"/>
      <c r="E857" s="3" t="s">
        <v>363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116</v>
      </c>
      <c r="O857" s="3"/>
      <c r="P857" s="3"/>
      <c r="Q857" s="3">
        <v>1.216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363</v>
      </c>
      <c r="D858" s="3"/>
      <c r="E858" s="3" t="s">
        <v>363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366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367</v>
      </c>
      <c r="D859" s="3"/>
      <c r="E859" s="3" t="s">
        <v>367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484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367</v>
      </c>
      <c r="D860" s="3"/>
      <c r="E860" s="3" t="s">
        <v>367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114</v>
      </c>
      <c r="O860" s="3"/>
      <c r="P860" s="3"/>
      <c r="Q860" s="3">
        <v>2.0569999999999999</v>
      </c>
      <c r="R860" s="3" t="s">
        <v>17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367</v>
      </c>
      <c r="D861" s="3"/>
      <c r="E861" s="3" t="s">
        <v>367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368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367</v>
      </c>
      <c r="D862" s="3"/>
      <c r="E862" s="3" t="s">
        <v>367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369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367</v>
      </c>
      <c r="D863" s="3"/>
      <c r="E863" s="3" t="s">
        <v>367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115</v>
      </c>
      <c r="O863" s="3"/>
      <c r="P863" s="3"/>
      <c r="Q863" s="3">
        <v>2.0569999999999999</v>
      </c>
      <c r="R863" s="3" t="s">
        <v>17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367</v>
      </c>
      <c r="D864" s="3"/>
      <c r="E864" s="3" t="s">
        <v>367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109</v>
      </c>
      <c r="O864" s="3"/>
      <c r="P864" s="3"/>
      <c r="Q864" s="3">
        <v>0.34799999999999998</v>
      </c>
      <c r="R864" s="3" t="s">
        <v>110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367</v>
      </c>
      <c r="D865" s="3"/>
      <c r="E865" s="3" t="s">
        <v>367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111</v>
      </c>
      <c r="O865" s="3"/>
      <c r="P865" s="3"/>
      <c r="Q865" s="3">
        <v>17.373999999999999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367</v>
      </c>
      <c r="D866" s="3"/>
      <c r="E866" s="3" t="s">
        <v>367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21</v>
      </c>
      <c r="O866" s="3"/>
      <c r="P866" s="3"/>
      <c r="Q866" s="3">
        <v>106.848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367</v>
      </c>
      <c r="D867" s="3"/>
      <c r="E867" s="3" t="s">
        <v>367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123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367</v>
      </c>
      <c r="D868" s="3"/>
      <c r="E868" s="3" t="s">
        <v>367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367</v>
      </c>
      <c r="D869" s="3"/>
      <c r="E869" s="3" t="s">
        <v>367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367</v>
      </c>
      <c r="D870" s="3"/>
      <c r="E870" s="3" t="s">
        <v>367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367</v>
      </c>
      <c r="D871" s="3"/>
      <c r="E871" s="3" t="s">
        <v>367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116</v>
      </c>
      <c r="O871" s="3"/>
      <c r="P871" s="3"/>
      <c r="Q871" s="3">
        <v>1.2430000000000001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367</v>
      </c>
      <c r="D872" s="3"/>
      <c r="E872" s="3" t="s">
        <v>367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370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371</v>
      </c>
      <c r="D873" s="3"/>
      <c r="E873" s="3" t="s">
        <v>371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485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371</v>
      </c>
      <c r="D874" s="3"/>
      <c r="E874" s="3" t="s">
        <v>371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114</v>
      </c>
      <c r="O874" s="3"/>
      <c r="P874" s="3"/>
      <c r="Q874" s="3">
        <v>2.0569999999999999</v>
      </c>
      <c r="R874" s="3" t="s">
        <v>17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371</v>
      </c>
      <c r="D875" s="3"/>
      <c r="E875" s="3" t="s">
        <v>371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372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371</v>
      </c>
      <c r="D876" s="3"/>
      <c r="E876" s="3" t="s">
        <v>371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373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371</v>
      </c>
      <c r="D877" s="3"/>
      <c r="E877" s="3" t="s">
        <v>371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115</v>
      </c>
      <c r="O877" s="3"/>
      <c r="P877" s="3"/>
      <c r="Q877" s="3">
        <v>2.0569999999999999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371</v>
      </c>
      <c r="D878" s="3"/>
      <c r="E878" s="3" t="s">
        <v>371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109</v>
      </c>
      <c r="O878" s="3"/>
      <c r="P878" s="3"/>
      <c r="Q878" s="3">
        <v>0.42</v>
      </c>
      <c r="R878" s="3" t="s">
        <v>110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371</v>
      </c>
      <c r="D879" s="3"/>
      <c r="E879" s="3" t="s">
        <v>371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111</v>
      </c>
      <c r="O879" s="3"/>
      <c r="P879" s="3"/>
      <c r="Q879" s="3">
        <v>18.288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371</v>
      </c>
      <c r="D880" s="3"/>
      <c r="E880" s="3" t="s">
        <v>371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21</v>
      </c>
      <c r="O880" s="3"/>
      <c r="P880" s="3"/>
      <c r="Q880" s="3">
        <v>112.471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371</v>
      </c>
      <c r="D881" s="3"/>
      <c r="E881" s="3" t="s">
        <v>371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123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371</v>
      </c>
      <c r="D882" s="3"/>
      <c r="E882" s="3" t="s">
        <v>371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371</v>
      </c>
      <c r="D883" s="3"/>
      <c r="E883" s="3" t="s">
        <v>371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371</v>
      </c>
      <c r="D884" s="3"/>
      <c r="E884" s="3" t="s">
        <v>371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371</v>
      </c>
      <c r="D885" s="3"/>
      <c r="E885" s="3" t="s">
        <v>371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116</v>
      </c>
      <c r="O885" s="3"/>
      <c r="P885" s="3"/>
      <c r="Q885" s="3">
        <v>1.2430000000000001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371</v>
      </c>
      <c r="D886" s="3"/>
      <c r="E886" s="3" t="s">
        <v>371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374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375</v>
      </c>
      <c r="D887" s="3"/>
      <c r="E887" s="3" t="s">
        <v>375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486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375</v>
      </c>
      <c r="D888" s="3"/>
      <c r="E888" s="3" t="s">
        <v>375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114</v>
      </c>
      <c r="O888" s="3"/>
      <c r="P888" s="3"/>
      <c r="Q888" s="3">
        <v>2.0569999999999999</v>
      </c>
      <c r="R888" s="3" t="s">
        <v>17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375</v>
      </c>
      <c r="D889" s="3"/>
      <c r="E889" s="3" t="s">
        <v>375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376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375</v>
      </c>
      <c r="D890" s="3"/>
      <c r="E890" s="3" t="s">
        <v>375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377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375</v>
      </c>
      <c r="D891" s="3"/>
      <c r="E891" s="3" t="s">
        <v>375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115</v>
      </c>
      <c r="O891" s="3"/>
      <c r="P891" s="3"/>
      <c r="Q891" s="3">
        <v>2.0569999999999999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375</v>
      </c>
      <c r="D892" s="3"/>
      <c r="E892" s="3" t="s">
        <v>375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109</v>
      </c>
      <c r="O892" s="3"/>
      <c r="P892" s="3"/>
      <c r="Q892" s="3">
        <v>0.49199999999999999</v>
      </c>
      <c r="R892" s="3" t="s">
        <v>110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375</v>
      </c>
      <c r="D893" s="3"/>
      <c r="E893" s="3" t="s">
        <v>375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111</v>
      </c>
      <c r="O893" s="3"/>
      <c r="P893" s="3"/>
      <c r="Q893" s="3">
        <v>19.202000000000002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375</v>
      </c>
      <c r="D894" s="3"/>
      <c r="E894" s="3" t="s">
        <v>375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21</v>
      </c>
      <c r="O894" s="3"/>
      <c r="P894" s="3"/>
      <c r="Q894" s="3">
        <v>118.095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375</v>
      </c>
      <c r="D895" s="3"/>
      <c r="E895" s="3" t="s">
        <v>375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123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375</v>
      </c>
      <c r="D896" s="3"/>
      <c r="E896" s="3" t="s">
        <v>375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375</v>
      </c>
      <c r="D897" s="3"/>
      <c r="E897" s="3" t="s">
        <v>375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375</v>
      </c>
      <c r="D898" s="3"/>
      <c r="E898" s="3" t="s">
        <v>375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375</v>
      </c>
      <c r="D899" s="3"/>
      <c r="E899" s="3" t="s">
        <v>375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116</v>
      </c>
      <c r="O899" s="3"/>
      <c r="P899" s="3"/>
      <c r="Q899" s="3">
        <v>1.2430000000000001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375</v>
      </c>
      <c r="D900" s="3"/>
      <c r="E900" s="3" t="s">
        <v>375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378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379</v>
      </c>
      <c r="D901" s="3"/>
      <c r="E901" s="3" t="s">
        <v>379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487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379</v>
      </c>
      <c r="D902" s="3"/>
      <c r="E902" s="3" t="s">
        <v>379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114</v>
      </c>
      <c r="O902" s="3"/>
      <c r="P902" s="3"/>
      <c r="Q902" s="3">
        <v>2.0569999999999999</v>
      </c>
      <c r="R902" s="3" t="s">
        <v>17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379</v>
      </c>
      <c r="D903" s="3"/>
      <c r="E903" s="3" t="s">
        <v>379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380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379</v>
      </c>
      <c r="D904" s="3"/>
      <c r="E904" s="3" t="s">
        <v>379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381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379</v>
      </c>
      <c r="D905" s="3"/>
      <c r="E905" s="3" t="s">
        <v>379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115</v>
      </c>
      <c r="O905" s="3"/>
      <c r="P905" s="3"/>
      <c r="Q905" s="3">
        <v>2.0569999999999999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379</v>
      </c>
      <c r="D906" s="3"/>
      <c r="E906" s="3" t="s">
        <v>379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109</v>
      </c>
      <c r="O906" s="3"/>
      <c r="P906" s="3"/>
      <c r="Q906" s="3">
        <v>0.56399999999999995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379</v>
      </c>
      <c r="D907" s="3"/>
      <c r="E907" s="3" t="s">
        <v>379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111</v>
      </c>
      <c r="O907" s="3"/>
      <c r="P907" s="3"/>
      <c r="Q907" s="3">
        <v>20.117000000000001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379</v>
      </c>
      <c r="D908" s="3"/>
      <c r="E908" s="3" t="s">
        <v>379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21</v>
      </c>
      <c r="O908" s="3"/>
      <c r="P908" s="3"/>
      <c r="Q908" s="3">
        <v>123.718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379</v>
      </c>
      <c r="D909" s="3"/>
      <c r="E909" s="3" t="s">
        <v>379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123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379</v>
      </c>
      <c r="D910" s="3"/>
      <c r="E910" s="3" t="s">
        <v>379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379</v>
      </c>
      <c r="D911" s="3"/>
      <c r="E911" s="3" t="s">
        <v>379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379</v>
      </c>
      <c r="D912" s="3"/>
      <c r="E912" s="3" t="s">
        <v>379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27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379</v>
      </c>
      <c r="D913" s="3"/>
      <c r="E913" s="3" t="s">
        <v>379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116</v>
      </c>
      <c r="O913" s="3"/>
      <c r="P913" s="3"/>
      <c r="Q913" s="3">
        <v>1.2430000000000001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379</v>
      </c>
      <c r="D914" s="3"/>
      <c r="E914" s="3" t="s">
        <v>379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382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18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383</v>
      </c>
      <c r="D915" s="3"/>
      <c r="E915" s="3" t="s">
        <v>383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488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383</v>
      </c>
      <c r="D916" s="3"/>
      <c r="E916" s="3" t="s">
        <v>383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114</v>
      </c>
      <c r="O916" s="3"/>
      <c r="P916" s="3"/>
      <c r="Q916" s="3">
        <v>2.0569999999999999</v>
      </c>
      <c r="R916" s="3" t="s">
        <v>17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383</v>
      </c>
      <c r="D917" s="3"/>
      <c r="E917" s="3" t="s">
        <v>383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384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383</v>
      </c>
      <c r="D918" s="3"/>
      <c r="E918" s="3" t="s">
        <v>383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385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383</v>
      </c>
      <c r="D919" s="3"/>
      <c r="E919" s="3" t="s">
        <v>383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115</v>
      </c>
      <c r="O919" s="3"/>
      <c r="P919" s="3"/>
      <c r="Q919" s="3">
        <v>2.0569999999999999</v>
      </c>
      <c r="R919" s="3" t="s">
        <v>17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383</v>
      </c>
      <c r="D920" s="3"/>
      <c r="E920" s="3" t="s">
        <v>383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109</v>
      </c>
      <c r="O920" s="3"/>
      <c r="P920" s="3"/>
      <c r="Q920" s="3">
        <v>0.70799999999999996</v>
      </c>
      <c r="R920" s="3" t="s">
        <v>110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383</v>
      </c>
      <c r="D921" s="3"/>
      <c r="E921" s="3" t="s">
        <v>383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111</v>
      </c>
      <c r="O921" s="3"/>
      <c r="P921" s="3"/>
      <c r="Q921" s="3">
        <v>21.946000000000002</v>
      </c>
      <c r="R921" s="3" t="s">
        <v>17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383</v>
      </c>
      <c r="D922" s="3"/>
      <c r="E922" s="3" t="s">
        <v>383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21</v>
      </c>
      <c r="O922" s="3"/>
      <c r="P922" s="3"/>
      <c r="Q922" s="3">
        <v>134.965</v>
      </c>
      <c r="R922" s="3" t="s">
        <v>17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383</v>
      </c>
      <c r="D923" s="3"/>
      <c r="E923" s="3" t="s">
        <v>383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123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383</v>
      </c>
      <c r="D924" s="3"/>
      <c r="E924" s="3" t="s">
        <v>383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383</v>
      </c>
      <c r="D925" s="3"/>
      <c r="E925" s="3" t="s">
        <v>383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383</v>
      </c>
      <c r="D926" s="3"/>
      <c r="E926" s="3" t="s">
        <v>383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27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383</v>
      </c>
      <c r="D927" s="3"/>
      <c r="E927" s="3" t="s">
        <v>383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116</v>
      </c>
      <c r="O927" s="3"/>
      <c r="P927" s="3"/>
      <c r="Q927" s="3">
        <v>1.2430000000000001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383</v>
      </c>
      <c r="D928" s="3"/>
      <c r="E928" s="3" t="s">
        <v>383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386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387</v>
      </c>
      <c r="D929" s="3"/>
      <c r="E929" s="3" t="s">
        <v>387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489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387</v>
      </c>
      <c r="D930" s="3"/>
      <c r="E930" s="3" t="s">
        <v>387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114</v>
      </c>
      <c r="O930" s="3"/>
      <c r="P930" s="3"/>
      <c r="Q930" s="3">
        <v>2.0569999999999999</v>
      </c>
      <c r="R930" s="3" t="s">
        <v>17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387</v>
      </c>
      <c r="D931" s="3"/>
      <c r="E931" s="3" t="s">
        <v>387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388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387</v>
      </c>
      <c r="D932" s="3"/>
      <c r="E932" s="3" t="s">
        <v>387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389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387</v>
      </c>
      <c r="D933" s="3"/>
      <c r="E933" s="3" t="s">
        <v>387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115</v>
      </c>
      <c r="O933" s="3"/>
      <c r="P933" s="3"/>
      <c r="Q933" s="3">
        <v>2.0569999999999999</v>
      </c>
      <c r="R933" s="3" t="s">
        <v>17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387</v>
      </c>
      <c r="D934" s="3"/>
      <c r="E934" s="3" t="s">
        <v>387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109</v>
      </c>
      <c r="O934" s="3"/>
      <c r="P934" s="3"/>
      <c r="Q934" s="3">
        <v>0.78</v>
      </c>
      <c r="R934" s="3" t="s">
        <v>110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387</v>
      </c>
      <c r="D935" s="3"/>
      <c r="E935" s="3" t="s">
        <v>387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111</v>
      </c>
      <c r="O935" s="3"/>
      <c r="P935" s="3"/>
      <c r="Q935" s="3">
        <v>22.86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387</v>
      </c>
      <c r="D936" s="3"/>
      <c r="E936" s="3" t="s">
        <v>387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21</v>
      </c>
      <c r="O936" s="3"/>
      <c r="P936" s="3"/>
      <c r="Q936" s="3">
        <v>140.589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387</v>
      </c>
      <c r="D937" s="3"/>
      <c r="E937" s="3" t="s">
        <v>387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123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387</v>
      </c>
      <c r="D938" s="3"/>
      <c r="E938" s="3" t="s">
        <v>387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387</v>
      </c>
      <c r="D939" s="3"/>
      <c r="E939" s="3" t="s">
        <v>387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387</v>
      </c>
      <c r="D940" s="3"/>
      <c r="E940" s="3" t="s">
        <v>387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387</v>
      </c>
      <c r="D941" s="3"/>
      <c r="E941" s="3" t="s">
        <v>387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116</v>
      </c>
      <c r="O941" s="3"/>
      <c r="P941" s="3"/>
      <c r="Q941" s="3">
        <v>1.2430000000000001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387</v>
      </c>
      <c r="D942" s="3"/>
      <c r="E942" s="3" t="s">
        <v>387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390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391</v>
      </c>
      <c r="D943" s="3"/>
      <c r="E943" s="3" t="s">
        <v>391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490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391</v>
      </c>
      <c r="D944" s="3"/>
      <c r="E944" s="3" t="s">
        <v>391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114</v>
      </c>
      <c r="O944" s="3"/>
      <c r="P944" s="3"/>
      <c r="Q944" s="3">
        <v>2.0569999999999999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391</v>
      </c>
      <c r="D945" s="3"/>
      <c r="E945" s="3" t="s">
        <v>391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392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391</v>
      </c>
      <c r="D946" s="3"/>
      <c r="E946" s="3" t="s">
        <v>391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393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391</v>
      </c>
      <c r="D947" s="3"/>
      <c r="E947" s="3" t="s">
        <v>391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115</v>
      </c>
      <c r="O947" s="3"/>
      <c r="P947" s="3"/>
      <c r="Q947" s="3">
        <v>2.0569999999999999</v>
      </c>
      <c r="R947" s="3" t="s">
        <v>17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391</v>
      </c>
      <c r="D948" s="3"/>
      <c r="E948" s="3" t="s">
        <v>391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109</v>
      </c>
      <c r="O948" s="3"/>
      <c r="P948" s="3"/>
      <c r="Q948" s="3">
        <v>0.85199999999999998</v>
      </c>
      <c r="R948" s="3" t="s">
        <v>110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391</v>
      </c>
      <c r="D949" s="3"/>
      <c r="E949" s="3" t="s">
        <v>391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111</v>
      </c>
      <c r="O949" s="3"/>
      <c r="P949" s="3"/>
      <c r="Q949" s="3">
        <v>23.774000000000001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391</v>
      </c>
      <c r="D950" s="3"/>
      <c r="E950" s="3" t="s">
        <v>391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21</v>
      </c>
      <c r="O950" s="3"/>
      <c r="P950" s="3"/>
      <c r="Q950" s="3">
        <v>146.21299999999999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391</v>
      </c>
      <c r="D951" s="3"/>
      <c r="E951" s="3" t="s">
        <v>391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123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391</v>
      </c>
      <c r="D952" s="3"/>
      <c r="E952" s="3" t="s">
        <v>391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391</v>
      </c>
      <c r="D953" s="3"/>
      <c r="E953" s="3" t="s">
        <v>391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391</v>
      </c>
      <c r="D954" s="3"/>
      <c r="E954" s="3" t="s">
        <v>391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391</v>
      </c>
      <c r="D955" s="3"/>
      <c r="E955" s="3" t="s">
        <v>391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116</v>
      </c>
      <c r="O955" s="3"/>
      <c r="P955" s="3"/>
      <c r="Q955" s="3">
        <v>1.2430000000000001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391</v>
      </c>
      <c r="D956" s="3"/>
      <c r="E956" s="3" t="s">
        <v>391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394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395</v>
      </c>
      <c r="D957" s="3"/>
      <c r="E957" s="3" t="s">
        <v>395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491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395</v>
      </c>
      <c r="D958" s="3"/>
      <c r="E958" s="3" t="s">
        <v>395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114</v>
      </c>
      <c r="O958" s="3"/>
      <c r="P958" s="3"/>
      <c r="Q958" s="3">
        <v>2.1589999999999998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395</v>
      </c>
      <c r="D959" s="3"/>
      <c r="E959" s="3" t="s">
        <v>395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396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395</v>
      </c>
      <c r="D960" s="3"/>
      <c r="E960" s="3" t="s">
        <v>395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397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395</v>
      </c>
      <c r="D961" s="3"/>
      <c r="E961" s="3" t="s">
        <v>395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115</v>
      </c>
      <c r="O961" s="3"/>
      <c r="P961" s="3"/>
      <c r="Q961" s="3">
        <v>2.1589999999999998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395</v>
      </c>
      <c r="D962" s="3"/>
      <c r="E962" s="3" t="s">
        <v>395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0.36599999999999999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395</v>
      </c>
      <c r="D963" s="3"/>
      <c r="E963" s="3" t="s">
        <v>395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111</v>
      </c>
      <c r="O963" s="3"/>
      <c r="P963" s="3"/>
      <c r="Q963" s="3">
        <v>17.983000000000001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395</v>
      </c>
      <c r="D964" s="3"/>
      <c r="E964" s="3" t="s">
        <v>395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21</v>
      </c>
      <c r="O964" s="3"/>
      <c r="P964" s="3"/>
      <c r="Q964" s="3">
        <v>110.59699999999999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395</v>
      </c>
      <c r="D965" s="3"/>
      <c r="E965" s="3" t="s">
        <v>395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123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395</v>
      </c>
      <c r="D966" s="3"/>
      <c r="E966" s="3" t="s">
        <v>395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395</v>
      </c>
      <c r="D967" s="3"/>
      <c r="E967" s="3" t="s">
        <v>395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395</v>
      </c>
      <c r="D968" s="3"/>
      <c r="E968" s="3" t="s">
        <v>395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395</v>
      </c>
      <c r="D969" s="3"/>
      <c r="E969" s="3" t="s">
        <v>395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116</v>
      </c>
      <c r="O969" s="3"/>
      <c r="P969" s="3"/>
      <c r="Q969" s="3">
        <v>1.2969999999999999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395</v>
      </c>
      <c r="D970" s="3"/>
      <c r="E970" s="3" t="s">
        <v>395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398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399</v>
      </c>
      <c r="D971" s="3"/>
      <c r="E971" s="3" t="s">
        <v>399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492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399</v>
      </c>
      <c r="D972" s="3"/>
      <c r="E972" s="3" t="s">
        <v>399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114</v>
      </c>
      <c r="O972" s="3"/>
      <c r="P972" s="3"/>
      <c r="Q972" s="3">
        <v>2.1589999999999998</v>
      </c>
      <c r="R972" s="3" t="s">
        <v>17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399</v>
      </c>
      <c r="D973" s="3"/>
      <c r="E973" s="3" t="s">
        <v>399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400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399</v>
      </c>
      <c r="D974" s="3"/>
      <c r="E974" s="3" t="s">
        <v>399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401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399</v>
      </c>
      <c r="D975" s="3"/>
      <c r="E975" s="3" t="s">
        <v>399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115</v>
      </c>
      <c r="O975" s="3"/>
      <c r="P975" s="3"/>
      <c r="Q975" s="3">
        <v>2.1589999999999998</v>
      </c>
      <c r="R975" s="3" t="s">
        <v>17</v>
      </c>
      <c r="S975" s="3"/>
      <c r="T975" s="3">
        <v>10</v>
      </c>
      <c r="U975" s="3"/>
      <c r="V975" s="3" t="s">
        <v>18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399</v>
      </c>
      <c r="D976" s="3"/>
      <c r="E976" s="3" t="s">
        <v>399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109</v>
      </c>
      <c r="O976" s="3"/>
      <c r="P976" s="3"/>
      <c r="Q976" s="3">
        <v>0.441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399</v>
      </c>
      <c r="D977" s="3"/>
      <c r="E977" s="3" t="s">
        <v>399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111</v>
      </c>
      <c r="O977" s="3"/>
      <c r="P977" s="3"/>
      <c r="Q977" s="3">
        <v>18.898</v>
      </c>
      <c r="R977" s="3" t="s">
        <v>17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399</v>
      </c>
      <c r="D978" s="3"/>
      <c r="E978" s="3" t="s">
        <v>399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21</v>
      </c>
      <c r="O978" s="3"/>
      <c r="P978" s="3"/>
      <c r="Q978" s="3">
        <v>116.22</v>
      </c>
      <c r="R978" s="3" t="s">
        <v>17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399</v>
      </c>
      <c r="D979" s="3"/>
      <c r="E979" s="3" t="s">
        <v>399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123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399</v>
      </c>
      <c r="D980" s="3"/>
      <c r="E980" s="3" t="s">
        <v>399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399</v>
      </c>
      <c r="D981" s="3"/>
      <c r="E981" s="3" t="s">
        <v>399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399</v>
      </c>
      <c r="D982" s="3"/>
      <c r="E982" s="3" t="s">
        <v>399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399</v>
      </c>
      <c r="D983" s="3"/>
      <c r="E983" s="3" t="s">
        <v>399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116</v>
      </c>
      <c r="O983" s="3"/>
      <c r="P983" s="3"/>
      <c r="Q983" s="3">
        <v>1.2969999999999999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399</v>
      </c>
      <c r="D984" s="3"/>
      <c r="E984" s="3" t="s">
        <v>399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402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403</v>
      </c>
      <c r="D985" s="3"/>
      <c r="E985" s="3" t="s">
        <v>403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493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403</v>
      </c>
      <c r="D986" s="3"/>
      <c r="E986" s="3" t="s">
        <v>403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114</v>
      </c>
      <c r="O986" s="3"/>
      <c r="P986" s="3"/>
      <c r="Q986" s="3">
        <v>2.1589999999999998</v>
      </c>
      <c r="R986" s="3" t="s">
        <v>17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403</v>
      </c>
      <c r="D987" s="3"/>
      <c r="E987" s="3" t="s">
        <v>403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404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403</v>
      </c>
      <c r="D988" s="3"/>
      <c r="E988" s="3" t="s">
        <v>403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405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403</v>
      </c>
      <c r="D989" s="3"/>
      <c r="E989" s="3" t="s">
        <v>403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115</v>
      </c>
      <c r="O989" s="3"/>
      <c r="P989" s="3"/>
      <c r="Q989" s="3">
        <v>2.1589999999999998</v>
      </c>
      <c r="R989" s="3" t="s">
        <v>17</v>
      </c>
      <c r="S989" s="3"/>
      <c r="T989" s="3">
        <v>10</v>
      </c>
      <c r="U989" s="3"/>
      <c r="V989" s="3" t="s">
        <v>18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403</v>
      </c>
      <c r="D990" s="3"/>
      <c r="E990" s="3" t="s">
        <v>403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109</v>
      </c>
      <c r="O990" s="3"/>
      <c r="P990" s="3"/>
      <c r="Q990" s="3">
        <v>0.51700000000000002</v>
      </c>
      <c r="R990" s="3" t="s">
        <v>110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403</v>
      </c>
      <c r="D991" s="3"/>
      <c r="E991" s="3" t="s">
        <v>403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111</v>
      </c>
      <c r="O991" s="3"/>
      <c r="P991" s="3"/>
      <c r="Q991" s="3">
        <v>19.812000000000001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403</v>
      </c>
      <c r="D992" s="3"/>
      <c r="E992" s="3" t="s">
        <v>403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21</v>
      </c>
      <c r="O992" s="3"/>
      <c r="P992" s="3"/>
      <c r="Q992" s="3">
        <v>121.84399999999999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403</v>
      </c>
      <c r="D993" s="3"/>
      <c r="E993" s="3" t="s">
        <v>403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123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403</v>
      </c>
      <c r="D994" s="3"/>
      <c r="E994" s="3" t="s">
        <v>403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403</v>
      </c>
      <c r="D995" s="3"/>
      <c r="E995" s="3" t="s">
        <v>403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403</v>
      </c>
      <c r="D996" s="3"/>
      <c r="E996" s="3" t="s">
        <v>403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403</v>
      </c>
      <c r="D997" s="3"/>
      <c r="E997" s="3" t="s">
        <v>403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116</v>
      </c>
      <c r="O997" s="3"/>
      <c r="P997" s="3"/>
      <c r="Q997" s="3">
        <v>1.2969999999999999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403</v>
      </c>
      <c r="D998" s="3"/>
      <c r="E998" s="3" t="s">
        <v>403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406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407</v>
      </c>
      <c r="D999" s="3"/>
      <c r="E999" s="3" t="s">
        <v>407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494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407</v>
      </c>
      <c r="D1000" s="3"/>
      <c r="E1000" s="3" t="s">
        <v>407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114</v>
      </c>
      <c r="O1000" s="3"/>
      <c r="P1000" s="3"/>
      <c r="Q1000" s="3">
        <v>2.1589999999999998</v>
      </c>
      <c r="R1000" s="3" t="s">
        <v>17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407</v>
      </c>
      <c r="D1001" s="3"/>
      <c r="E1001" s="3" t="s">
        <v>407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408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407</v>
      </c>
      <c r="D1002" s="3"/>
      <c r="E1002" s="3" t="s">
        <v>407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409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407</v>
      </c>
      <c r="D1003" s="3"/>
      <c r="E1003" s="3" t="s">
        <v>407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115</v>
      </c>
      <c r="O1003" s="3"/>
      <c r="P1003" s="3"/>
      <c r="Q1003" s="3">
        <v>2.1589999999999998</v>
      </c>
      <c r="R1003" s="3" t="s">
        <v>17</v>
      </c>
      <c r="S1003" s="3"/>
      <c r="T1003" s="3">
        <v>10</v>
      </c>
      <c r="U1003" s="3"/>
      <c r="V1003" s="3" t="s">
        <v>18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407</v>
      </c>
      <c r="D1004" s="3"/>
      <c r="E1004" s="3" t="s">
        <v>407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109</v>
      </c>
      <c r="O1004" s="3"/>
      <c r="P1004" s="3"/>
      <c r="Q1004" s="3">
        <v>0.59199999999999997</v>
      </c>
      <c r="R1004" s="3" t="s">
        <v>110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407</v>
      </c>
      <c r="D1005" s="3"/>
      <c r="E1005" s="3" t="s">
        <v>407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111</v>
      </c>
      <c r="O1005" s="3"/>
      <c r="P1005" s="3"/>
      <c r="Q1005" s="3">
        <v>20.725999999999999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407</v>
      </c>
      <c r="D1006" s="3"/>
      <c r="E1006" s="3" t="s">
        <v>407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21</v>
      </c>
      <c r="O1006" s="3"/>
      <c r="P1006" s="3"/>
      <c r="Q1006" s="3">
        <v>127.467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407</v>
      </c>
      <c r="D1007" s="3"/>
      <c r="E1007" s="3" t="s">
        <v>407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123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407</v>
      </c>
      <c r="D1008" s="3"/>
      <c r="E1008" s="3" t="s">
        <v>407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407</v>
      </c>
      <c r="D1009" s="3"/>
      <c r="E1009" s="3" t="s">
        <v>407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407</v>
      </c>
      <c r="D1010" s="3"/>
      <c r="E1010" s="3" t="s">
        <v>407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407</v>
      </c>
      <c r="D1011" s="3"/>
      <c r="E1011" s="3" t="s">
        <v>407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116</v>
      </c>
      <c r="O1011" s="3"/>
      <c r="P1011" s="3"/>
      <c r="Q1011" s="3">
        <v>1.2969999999999999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407</v>
      </c>
      <c r="D1012" s="3"/>
      <c r="E1012" s="3" t="s">
        <v>407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410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411</v>
      </c>
      <c r="D1013" s="3"/>
      <c r="E1013" s="3" t="s">
        <v>411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495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411</v>
      </c>
      <c r="D1014" s="3"/>
      <c r="E1014" s="3" t="s">
        <v>411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114</v>
      </c>
      <c r="O1014" s="3"/>
      <c r="P1014" s="3"/>
      <c r="Q1014" s="3">
        <v>2.1589999999999998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411</v>
      </c>
      <c r="D1015" s="3"/>
      <c r="E1015" s="3" t="s">
        <v>411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412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411</v>
      </c>
      <c r="D1016" s="3"/>
      <c r="E1016" s="3" t="s">
        <v>411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413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411</v>
      </c>
      <c r="D1017" s="3"/>
      <c r="E1017" s="3" t="s">
        <v>411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115</v>
      </c>
      <c r="O1017" s="3"/>
      <c r="P1017" s="3"/>
      <c r="Q1017" s="3">
        <v>2.1589999999999998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411</v>
      </c>
      <c r="D1018" s="3"/>
      <c r="E1018" s="3" t="s">
        <v>411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109</v>
      </c>
      <c r="O1018" s="3"/>
      <c r="P1018" s="3"/>
      <c r="Q1018" s="3">
        <v>0.74399999999999999</v>
      </c>
      <c r="R1018" s="3" t="s">
        <v>110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411</v>
      </c>
      <c r="D1019" s="3"/>
      <c r="E1019" s="3" t="s">
        <v>411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111</v>
      </c>
      <c r="O1019" s="3"/>
      <c r="P1019" s="3"/>
      <c r="Q1019" s="3">
        <v>22.555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411</v>
      </c>
      <c r="D1020" s="3"/>
      <c r="E1020" s="3" t="s">
        <v>411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21</v>
      </c>
      <c r="O1020" s="3"/>
      <c r="P1020" s="3"/>
      <c r="Q1020" s="3">
        <v>138.714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411</v>
      </c>
      <c r="D1021" s="3"/>
      <c r="E1021" s="3" t="s">
        <v>411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123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411</v>
      </c>
      <c r="D1022" s="3"/>
      <c r="E1022" s="3" t="s">
        <v>411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411</v>
      </c>
      <c r="D1023" s="3"/>
      <c r="E1023" s="3" t="s">
        <v>411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411</v>
      </c>
      <c r="D1024" s="3"/>
      <c r="E1024" s="3" t="s">
        <v>411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411</v>
      </c>
      <c r="D1025" s="3"/>
      <c r="E1025" s="3" t="s">
        <v>411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116</v>
      </c>
      <c r="O1025" s="3"/>
      <c r="P1025" s="3"/>
      <c r="Q1025" s="3">
        <v>1.2969999999999999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411</v>
      </c>
      <c r="D1026" s="3"/>
      <c r="E1026" s="3" t="s">
        <v>411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414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415</v>
      </c>
      <c r="D1027" s="3"/>
      <c r="E1027" s="3" t="s">
        <v>415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496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415</v>
      </c>
      <c r="D1028" s="3"/>
      <c r="E1028" s="3" t="s">
        <v>415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114</v>
      </c>
      <c r="O1028" s="3"/>
      <c r="P1028" s="3"/>
      <c r="Q1028" s="3">
        <v>2.1589999999999998</v>
      </c>
      <c r="R1028" s="3" t="s">
        <v>17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415</v>
      </c>
      <c r="D1029" s="3"/>
      <c r="E1029" s="3" t="s">
        <v>415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416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415</v>
      </c>
      <c r="D1030" s="3"/>
      <c r="E1030" s="3" t="s">
        <v>415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417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415</v>
      </c>
      <c r="D1031" s="3"/>
      <c r="E1031" s="3" t="s">
        <v>415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115</v>
      </c>
      <c r="O1031" s="3"/>
      <c r="P1031" s="3"/>
      <c r="Q1031" s="3">
        <v>2.1589999999999998</v>
      </c>
      <c r="R1031" s="3" t="s">
        <v>17</v>
      </c>
      <c r="S1031" s="3"/>
      <c r="T1031" s="3">
        <v>10</v>
      </c>
      <c r="U1031" s="3"/>
      <c r="V1031" s="3" t="s">
        <v>18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415</v>
      </c>
      <c r="D1032" s="3"/>
      <c r="E1032" s="3" t="s">
        <v>415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109</v>
      </c>
      <c r="O1032" s="3"/>
      <c r="P1032" s="3"/>
      <c r="Q1032" s="3">
        <v>0.81899999999999995</v>
      </c>
      <c r="R1032" s="3" t="s">
        <v>110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415</v>
      </c>
      <c r="D1033" s="3"/>
      <c r="E1033" s="3" t="s">
        <v>415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111</v>
      </c>
      <c r="O1033" s="3"/>
      <c r="P1033" s="3"/>
      <c r="Q1033" s="3">
        <v>23.47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415</v>
      </c>
      <c r="D1034" s="3"/>
      <c r="E1034" s="3" t="s">
        <v>415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21</v>
      </c>
      <c r="O1034" s="3"/>
      <c r="P1034" s="3"/>
      <c r="Q1034" s="3">
        <v>144.33799999999999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415</v>
      </c>
      <c r="D1035" s="3"/>
      <c r="E1035" s="3" t="s">
        <v>415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123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415</v>
      </c>
      <c r="D1036" s="3"/>
      <c r="E1036" s="3" t="s">
        <v>415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415</v>
      </c>
      <c r="D1037" s="3"/>
      <c r="E1037" s="3" t="s">
        <v>415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415</v>
      </c>
      <c r="D1038" s="3"/>
      <c r="E1038" s="3" t="s">
        <v>415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415</v>
      </c>
      <c r="D1039" s="3"/>
      <c r="E1039" s="3" t="s">
        <v>415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116</v>
      </c>
      <c r="O1039" s="3"/>
      <c r="P1039" s="3"/>
      <c r="Q1039" s="3">
        <v>1.2969999999999999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415</v>
      </c>
      <c r="D1040" s="3"/>
      <c r="E1040" s="3" t="s">
        <v>415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418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419</v>
      </c>
      <c r="D1041" s="3"/>
      <c r="E1041" s="3" t="s">
        <v>419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497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419</v>
      </c>
      <c r="D1042" s="3"/>
      <c r="E1042" s="3" t="s">
        <v>419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114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419</v>
      </c>
      <c r="D1043" s="3"/>
      <c r="E1043" s="3" t="s">
        <v>419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420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419</v>
      </c>
      <c r="D1044" s="3"/>
      <c r="E1044" s="3" t="s">
        <v>419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421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419</v>
      </c>
      <c r="D1045" s="3"/>
      <c r="E1045" s="3" t="s">
        <v>419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115</v>
      </c>
      <c r="O1045" s="3"/>
      <c r="P1045" s="3"/>
      <c r="Q1045" s="3">
        <v>2.1589999999999998</v>
      </c>
      <c r="R1045" s="3" t="s">
        <v>17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419</v>
      </c>
      <c r="D1046" s="3"/>
      <c r="E1046" s="3" t="s">
        <v>419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109</v>
      </c>
      <c r="O1046" s="3"/>
      <c r="P1046" s="3"/>
      <c r="Q1046" s="3">
        <v>0.89500000000000002</v>
      </c>
      <c r="R1046" s="3" t="s">
        <v>110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419</v>
      </c>
      <c r="D1047" s="3"/>
      <c r="E1047" s="3" t="s">
        <v>419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111</v>
      </c>
      <c r="O1047" s="3"/>
      <c r="P1047" s="3"/>
      <c r="Q1047" s="3">
        <v>24.384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419</v>
      </c>
      <c r="D1048" s="3"/>
      <c r="E1048" s="3" t="s">
        <v>419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21</v>
      </c>
      <c r="O1048" s="3"/>
      <c r="P1048" s="3"/>
      <c r="Q1048" s="3">
        <v>149.96199999999999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419</v>
      </c>
      <c r="D1049" s="3"/>
      <c r="E1049" s="3" t="s">
        <v>419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123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419</v>
      </c>
      <c r="D1050" s="3"/>
      <c r="E1050" s="3" t="s">
        <v>419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419</v>
      </c>
      <c r="D1051" s="3"/>
      <c r="E1051" s="3" t="s">
        <v>419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419</v>
      </c>
      <c r="D1052" s="3"/>
      <c r="E1052" s="3" t="s">
        <v>419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419</v>
      </c>
      <c r="D1053" s="3"/>
      <c r="E1053" s="3" t="s">
        <v>419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116</v>
      </c>
      <c r="O1053" s="3"/>
      <c r="P1053" s="3"/>
      <c r="Q1053" s="3">
        <v>1.2969999999999999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419</v>
      </c>
      <c r="D1054" s="3"/>
      <c r="E1054" s="3" t="s">
        <v>419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422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2026-04-18T07:34:43Z</dcterms:modified>
</cp:coreProperties>
</file>