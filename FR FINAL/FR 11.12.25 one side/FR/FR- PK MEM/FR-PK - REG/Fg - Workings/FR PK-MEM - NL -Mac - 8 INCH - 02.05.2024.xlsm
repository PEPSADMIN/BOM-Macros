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E4" i="13" l="1"/>
  <c r="G6" i="13" l="1"/>
  <c r="H14" i="13" l="1"/>
  <c r="D14" i="13"/>
  <c r="G13" i="13"/>
  <c r="H13" i="13" s="1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H6" i="13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<sst xmlns="http://schemas.openxmlformats.org/spreadsheetml/2006/main" count="11045" uniqueCount="421">
  <si>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</si>
  <si>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</si>
  <si>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</si>
  <si>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</si>
  <si>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</si>
  <si>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</si>
  <si>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</si>
  <si>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</si>
  <si>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</si>
  <si>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</si>
  <si>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</si>
  <si>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</si>
  <si>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</si>
  <si>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</si>
  <si>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</si>
  <si>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</si>
  <si>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</si>
  <si>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</si>
  <si>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</si>
  <si>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</si>
  <si>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</si>
  <si>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</si>
  <si>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</si>
  <si>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</si>
  <si>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</si>
  <si>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</si>
  <si>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</si>
  <si>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</si>
  <si>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</si>
  <si>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</si>
  <si>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</si>
  <si>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</si>
  <si>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</si>
  <si>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</si>
  <si>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</si>
  <si>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</si>
  <si>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</si>
  <si>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</si>
  <si>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</si>
  <si>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</si>
  <si>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</si>
  <si>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</si>
  <si>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</si>
  <si>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</si>
  <si>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</si>
  <si>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</si>
  <si>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</si>
  <si>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</si>
  <si>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</si>
  <si>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</si>
  <si>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</si>
  <si>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</si>
  <si>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</si>
  <si>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</si>
  <si>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</si>
  <si>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</si>
  <si>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</si>
  <si>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</si>
  <si>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</si>
  <si>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</si>
  <si>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</si>
  <si>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</si>
  <si>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</si>
  <si>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</si>
  <si>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</si>
  <si>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</si>
  <si>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</si>
  <si>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</si>
  <si>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</si>
  <si>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</si>
  <si>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</si>
  <si>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</si>
  <si>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</si>
  <si>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</si>
  <si>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</si>
  <si>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</si>
  <si>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</si>
  <si>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</si>
  <si>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</si>
  <si>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</si>
  <si>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</si>
  <si>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</si>
  <si>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</si>
  <si>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</si>
  <si>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</si>
  <si>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</si>
  <si>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</si>
  <si>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</si>
  <si>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</si>
  <si>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</si>
  <si>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</si>
  <si>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</si>
  <si>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</si>
  <si>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</si>
  <si>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</si>
  <si>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</si>
  <si>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</si>
  <si>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</si>
  <si>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</si>
  <si>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</si>
  <si>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</si>
  <si>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</si>
  <si>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</si>
  <si>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</si>
  <si>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</si>
  <si>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</si>
  <si>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</si>
  <si>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</si>
  <si>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</si>
  <si>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</si>
  <si>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</si>
  <si>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</si>
  <si>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</si>
  <si>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</si>
  <si>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</si>
  <si>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</si>
  <si>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</si>
  <si>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</si>
  <si>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</si>
  <si>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</si>
  <si>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RTHTMTPKMFRG72X33X08</t>
  </si>
  <si>
    <t>RML-CS-PL-8.5</t>
  </si>
  <si>
    <t>RTHTMTPKMFRG72X39X08</t>
  </si>
  <si>
    <t>RTHTMTPKMFRG72X45X08</t>
  </si>
  <si>
    <t>RTHTMTPKMFRG72X51X08</t>
  </si>
  <si>
    <t>RTHTMTPKMFRG72X54X08</t>
  </si>
  <si>
    <t>RTHTMTPKMFRG72X57X08</t>
  </si>
  <si>
    <t>RTHTMTPKMFRG72X63X08</t>
  </si>
  <si>
    <t>RTHTMTPKMFRG72X69X08</t>
  </si>
  <si>
    <t>RTHTMTPKMFRG75X33X08</t>
  </si>
  <si>
    <t>RTHTMTPKMFRG75X39X08</t>
  </si>
  <si>
    <t>RTHTMTPKMFRG75X45X08</t>
  </si>
  <si>
    <t>RTHTMTPKMFRG75X51X08</t>
  </si>
  <si>
    <t>RTHTMTPKMFRG75X54X08</t>
  </si>
  <si>
    <t>RTHTMTPKMFRG75X57X08</t>
  </si>
  <si>
    <t>RTHTMTPKMFRG75X63X08</t>
  </si>
  <si>
    <t>RTHTMTPKMFRG75X69X08</t>
  </si>
  <si>
    <t>RTHTMTPKMFRG78X33X08</t>
  </si>
  <si>
    <t>RTHTMTPKMFRG78X39X08</t>
  </si>
  <si>
    <t>RTHTMTPKMFRG78X45X08</t>
  </si>
  <si>
    <t>RTHTMTPKMFRG78X51X08</t>
  </si>
  <si>
    <t>RTHTMTPKMFRG78X54X08</t>
  </si>
  <si>
    <t>RTHTMTPKMFRG78X57X08</t>
  </si>
  <si>
    <t>RTHTMTPKMFRG78X63X08</t>
  </si>
  <si>
    <t>RTHTMTPKMFRG78X69X08</t>
  </si>
  <si>
    <t>RTHTMTPKMFRG80X33X08</t>
  </si>
  <si>
    <t>RTHTMTPKMFRG80X39X08</t>
  </si>
  <si>
    <t>RTHTMTPKMFRG80X45X08</t>
  </si>
  <si>
    <t>RTHTMTPKMFRG80X51X08</t>
  </si>
  <si>
    <t>RTHTMTPKMFRG80X54X08</t>
  </si>
  <si>
    <t>RTHTMTPKMFRG80X57X08</t>
  </si>
  <si>
    <t>RTHTMTPKMFRG80X63X08</t>
  </si>
  <si>
    <t>RTHTMTPKMFRG80X69X08</t>
  </si>
  <si>
    <t>RTHTMTPKMFRG84X33X08</t>
  </si>
  <si>
    <t>RTHTMTPKMFRG84X39X08</t>
  </si>
  <si>
    <t>RTHTMTPKMFRG84X45X08</t>
  </si>
  <si>
    <t>RTHTMTPKMFRG84X51X08</t>
  </si>
  <si>
    <t>RTHTMTPKMFRG84X54X08</t>
  </si>
  <si>
    <t>RTHTMTPKMFRG84X57X08</t>
  </si>
  <si>
    <t>RTHTMTPKMFRG84X63X08</t>
  </si>
  <si>
    <t>RTHTMTPKMFRG84X69X08</t>
  </si>
  <si>
    <t>SFG-FRPKOSRG-MEM-BOR-72X33X08</t>
  </si>
  <si>
    <t>SFG-FRPKOSRG-MEM-BOR-72X39X08</t>
  </si>
  <si>
    <t>SFG-FRPKOSRG-MEM-BOR-72X45X08</t>
  </si>
  <si>
    <t>SFG-FRPKOSRG-MEM-BOR-72X51X08</t>
  </si>
  <si>
    <t>SFG-FRPKOSRG-MEM-BOR-72X54X08</t>
  </si>
  <si>
    <t>SFG-FRPKOSRG-MEM-BOR-72X57X08</t>
  </si>
  <si>
    <t>SFG-FRPKOSRG-MEM-BOR-72X63X08</t>
  </si>
  <si>
    <t>SFG-FRPKOSRG-MEM-BOR-72X69X08</t>
  </si>
  <si>
    <t>SFG-FRPKOSRG-MEM-BOR-75X33X08</t>
  </si>
  <si>
    <t>SFG-FRPKOSRG-MEM-BOR-75X39X08</t>
  </si>
  <si>
    <t>SFG-FRPKOSRG-MEM-BOR-75X45X08</t>
  </si>
  <si>
    <t>SFG-FRPKOSRG-MEM-BOR-75X51X08</t>
  </si>
  <si>
    <t>SFG-FRPKOSRG-MEM-BOR-75X54X08</t>
  </si>
  <si>
    <t>SFG-FRPKOSRG-MEM-BOR-75X57X08</t>
  </si>
  <si>
    <t>SFG-FRPKOSRG-MEM-BOR-75X63X08</t>
  </si>
  <si>
    <t>SFG-FRPKOSRG-MEM-BOR-75X69X08</t>
  </si>
  <si>
    <t>SFG-FRPKOSRG-MEM-BOR-78X33X08</t>
  </si>
  <si>
    <t>SFG-FRPKOSRG-MEM-BOR-78X39X08</t>
  </si>
  <si>
    <t>SFG-FRPKOSRG-MEM-BOR-78X45X08</t>
  </si>
  <si>
    <t>SFG-FRPKOSRG-MEM-BOR-78X51X08</t>
  </si>
  <si>
    <t>SFG-FRPKOSRG-MEM-BOR-78X54X08</t>
  </si>
  <si>
    <t>SFG-FRPKOSRG-MEM-BOR-78X57X08</t>
  </si>
  <si>
    <t>SFG-FRPKOSRG-MEM-BOR-78X63X08</t>
  </si>
  <si>
    <t>SFG-FRPKOSRG-MEM-BOR-78X69X08</t>
  </si>
  <si>
    <t>SFG-FRPKOSRG-MEM-BOR-80X33X08</t>
  </si>
  <si>
    <t>SFG-FRPKOSRG-MEM-BOR-80X39X08</t>
  </si>
  <si>
    <t>SFG-FRPKOSRG-MEM-BOR-80X45X08</t>
  </si>
  <si>
    <t>SFG-FRPKOSRG-MEM-BOR-80X51X08</t>
  </si>
  <si>
    <t>SFG-FRPKOSRG-MEM-BOR-80X54X08</t>
  </si>
  <si>
    <t>SFG-FRPKOSRG-MEM-BOR-80X57X08</t>
  </si>
  <si>
    <t>SFG-FRPKOSRG-MEM-BOR-80X63X08</t>
  </si>
  <si>
    <t>SFG-FRPKOSRG-MEM-BOR-80X69X08</t>
  </si>
  <si>
    <t>SFG-FRPKOSRG-MEM-BOR-84X33X08</t>
  </si>
  <si>
    <t>SFG-FRPKOSRG-MEM-BOR-84X39X08</t>
  </si>
  <si>
    <t>SFG-FRPKOSRG-MEM-BOR-84X45X08</t>
  </si>
  <si>
    <t>SFG-FRPKOSRG-MEM-BOR-84X51X08</t>
  </si>
  <si>
    <t>SFG-FRPKOSRG-MEM-BOR-84X54X08</t>
  </si>
  <si>
    <t>SFG-FRPKOSRG-MEM-BOR-84X57X08</t>
  </si>
  <si>
    <t>SFG-FRPKOSRG-MEM-BOR-84X63X08</t>
  </si>
  <si>
    <t>SFG-FRPKOSRG-MEM-BOR-84X69X08</t>
  </si>
  <si>
    <t>OEPKBOXSR71.50X32.50X170</t>
  </si>
  <si>
    <t>60D-RB-MAT-FOAM-71.50X32.50X15MM</t>
  </si>
  <si>
    <t>OEPKBOXSR71.50X38.50X170</t>
  </si>
  <si>
    <t>60D-RB-MAT-FOAM-71.50X38.50X15MM</t>
  </si>
  <si>
    <t>OEPKBOXSR71.50X44.50X170</t>
  </si>
  <si>
    <t>60D-RB-MAT-FOAM-71.50X44.50X15MM</t>
  </si>
  <si>
    <t>OEPKBOXSR71.50X50.50X170</t>
  </si>
  <si>
    <t>60D-RB-MAT-FOAM-71.50X50.50X15MM</t>
  </si>
  <si>
    <t>OEPKBOXSR71.50X53.50X170</t>
  </si>
  <si>
    <t>60D-RB-MAT-FOAM-71.50X53.50X15MM</t>
  </si>
  <si>
    <t>OEPKBOXSR71.50X56.50X170</t>
  </si>
  <si>
    <t>60D-RB-MAT-FOAM-71.50X56.50X15MM</t>
  </si>
  <si>
    <t>OEPKBOXSR71.50X62.50X170</t>
  </si>
  <si>
    <t>60D-RB-MAT-FOAM-71.50X62.50X15MM</t>
  </si>
  <si>
    <t>OEPKBOXSR71.50X68.50X170</t>
  </si>
  <si>
    <t>60D-RB-MAT-FOAM-71.50X68.50X15MM</t>
  </si>
  <si>
    <t>OEPKBOXSR74.50X32.50X170</t>
  </si>
  <si>
    <t>60D-RB-MAT-FOAM-74.50X32.50X15MM</t>
  </si>
  <si>
    <t>OEPKBOXSR74.50X38.50X170</t>
  </si>
  <si>
    <t>60D-RB-MAT-FOAM-74.50X38.50X15MM</t>
  </si>
  <si>
    <t>OEPKBOXSR74.50X44.50X170</t>
  </si>
  <si>
    <t>60D-RB-MAT-FOAM-74.50X44.50X15MM</t>
  </si>
  <si>
    <t>OEPKBOXSR74.50X50.50X170</t>
  </si>
  <si>
    <t>60D-RB-MAT-FOAM-74.50X50.50X15MM</t>
  </si>
  <si>
    <t>OEPKBOXSR74.50X53.50X170</t>
  </si>
  <si>
    <t>60D-RB-MAT-FOAM-74.50X53.50X15MM</t>
  </si>
  <si>
    <t>OEPKBOXSR74.50X56.50X170</t>
  </si>
  <si>
    <t>60D-RB-MAT-FOAM-74.50X56.50X15MM</t>
  </si>
  <si>
    <t>OEPKBOXSR74.50X62.50X170</t>
  </si>
  <si>
    <t>60D-RB-MAT-FOAM-74.50X62.50X15MM</t>
  </si>
  <si>
    <t>OEPKBOXSR74.50X68.50X170</t>
  </si>
  <si>
    <t>60D-RB-MAT-FOAM-74.50X68.50X15MM</t>
  </si>
  <si>
    <t>OEPKBOXSR77.50X32.50X170</t>
  </si>
  <si>
    <t>60D-RB-MAT-FOAM-77.50X32.50X15MM</t>
  </si>
  <si>
    <t>OEPKBOXSR77.50X38.50X170</t>
  </si>
  <si>
    <t>60D-RB-MAT-FOAM-77.50X38.50X15MM</t>
  </si>
  <si>
    <t>OEPKBOXSR77.50X44.50X170</t>
  </si>
  <si>
    <t>60D-RB-MAT-FOAM-77.50X44.50X15MM</t>
  </si>
  <si>
    <t>OEPKBOXSR77.50X50.50X170</t>
  </si>
  <si>
    <t>60D-RB-MAT-FOAM-77.50X50.50X15MM</t>
  </si>
  <si>
    <t>OEPKBOXSR77.50X53.50X170</t>
  </si>
  <si>
    <t>60D-RB-MAT-FOAM-77.50X53.50X15MM</t>
  </si>
  <si>
    <t>OEPKBOXSR77.50X56.50X170</t>
  </si>
  <si>
    <t>60D-RB-MAT-FOAM-77.50X56.50X15MM</t>
  </si>
  <si>
    <t>OEPKBOXSR77.50X62.50X170</t>
  </si>
  <si>
    <t>60D-RB-MAT-FOAM-77.50X62.50X15MM</t>
  </si>
  <si>
    <t>OEPKBOXSR77.50X68.50X170</t>
  </si>
  <si>
    <t>60D-RB-MAT-FOAM-77.50X68.50X15MM</t>
  </si>
  <si>
    <t>OEPKBOXSR79.50X32.50X170</t>
  </si>
  <si>
    <t>60D-RB-MAT-FOAM-79.50X32.50X15MM</t>
  </si>
  <si>
    <t>OEPKBOXSR79.50X38.50X170</t>
  </si>
  <si>
    <t>60D-RB-MAT-FOAM-79.50X38.50X15MM</t>
  </si>
  <si>
    <t>OEPKBOXSR79.50X44.50X170</t>
  </si>
  <si>
    <t>60D-RB-MAT-FOAM-79.50X44.50X15MM</t>
  </si>
  <si>
    <t>OEPKBOXSR79.50X50.50X170</t>
  </si>
  <si>
    <t>60D-RB-MAT-FOAM-79.50X50.50X15MM</t>
  </si>
  <si>
    <t>OEPKBOXSR79.50X53.50X170</t>
  </si>
  <si>
    <t>60D-RB-MAT-FOAM-79.50X53.50X15MM</t>
  </si>
  <si>
    <t>OEPKBOXSR79.50X56.50X170</t>
  </si>
  <si>
    <t>60D-RB-MAT-FOAM-79.50X56.50X15MM</t>
  </si>
  <si>
    <t>OEPKBOXSR79.50X62.50X170</t>
  </si>
  <si>
    <t>60D-RB-MAT-FOAM-79.50X62.50X15MM</t>
  </si>
  <si>
    <t>OEPKBOXSR79.50X68.50X170</t>
  </si>
  <si>
    <t>60D-RB-MAT-FOAM-79.50X68.50X15MM</t>
  </si>
  <si>
    <t>OEPKBOXSR83.50X32.50X170</t>
  </si>
  <si>
    <t>60D-RB-MAT-FOAM-83.50X32.50X15MM</t>
  </si>
  <si>
    <t>OEPKBOXSR83.50X38.50X170</t>
  </si>
  <si>
    <t>60D-RB-MAT-FOAM-83.50X38.50X15MM</t>
  </si>
  <si>
    <t>OEPKBOXSR83.50X44.50X170</t>
  </si>
  <si>
    <t>60D-RB-MAT-FOAM-83.50X44.50X15MM</t>
  </si>
  <si>
    <t>OEPKBOXSR83.50X50.50X170</t>
  </si>
  <si>
    <t>60D-RB-MAT-FOAM-83.50X50.50X15MM</t>
  </si>
  <si>
    <t>OEPKBOXSR83.50X53.50X170</t>
  </si>
  <si>
    <t>60D-RB-MAT-FOAM-83.50X53.50X15MM</t>
  </si>
  <si>
    <t>OEPKBOXSR83.50X56.50X170</t>
  </si>
  <si>
    <t>60D-RB-MAT-FOAM-83.50X56.50X15MM</t>
  </si>
  <si>
    <t>OEPKBOXSR83.50X62.50X170</t>
  </si>
  <si>
    <t>60D-RB-MAT-FOAM-83.50X62.50X15MM</t>
  </si>
  <si>
    <t>OEPKBOXSR83.50X68.50X170</t>
  </si>
  <si>
    <t>60D-RB-MAT-FOAM-83.50X68.50X15MM</t>
  </si>
  <si>
    <t>RTHTMTPKMFRG72X30X08</t>
  </si>
  <si>
    <t>OEPKBOXSR71.50X29.50X170</t>
  </si>
  <si>
    <t>SFG-FRPKOSRG-MEM-BOR-72X30X08</t>
  </si>
  <si>
    <t>60D-RB-MAT-FOAM-71.50X29.50X15MM</t>
  </si>
  <si>
    <t>RTHTMTPKMFRG72X36X08</t>
  </si>
  <si>
    <t>OEPKBOXSR71.50X35.50X170</t>
  </si>
  <si>
    <t>SFG-FRPKOSRG-MEM-BOR-72X36X08</t>
  </si>
  <si>
    <t>60D-RB-MAT-FOAM-71.50X35.50X15MM</t>
  </si>
  <si>
    <t>RTHTMTPKMFRG72X42X08</t>
  </si>
  <si>
    <t>OEPKBOXSR71.50X41.50X170</t>
  </si>
  <si>
    <t>SFG-FRPKOSRG-MEM-BOR-72X42X08</t>
  </si>
  <si>
    <t>60D-RB-MAT-FOAM-71.50X41.50X15MM</t>
  </si>
  <si>
    <t>RTHTMTPKMFRG72X48X08</t>
  </si>
  <si>
    <t>OEPKBOXSR71.50X47.50X170</t>
  </si>
  <si>
    <t>SFG-FRPKOSRG-MEM-BOR-72X48X08</t>
  </si>
  <si>
    <t>60D-RB-MAT-FOAM-71.50X47.50X15MM</t>
  </si>
  <si>
    <t>RTHTMTPKMFRG72X60X08</t>
  </si>
  <si>
    <t>OEPKBOXSR71.50X59.50X170</t>
  </si>
  <si>
    <t>SFG-FRPKOSRG-MEM-BOR-72X60X08</t>
  </si>
  <si>
    <t>60D-RB-MAT-FOAM-71.50X59.50X15MM</t>
  </si>
  <si>
    <t>RTHTMTPKMFRG72X66X08</t>
  </si>
  <si>
    <t>OEPKBOXSR71.50X65.50X170</t>
  </si>
  <si>
    <t>SFG-FRPKOSRG-MEM-BOR-72X66X08</t>
  </si>
  <si>
    <t>60D-RB-MAT-FOAM-71.50X65.50X15MM</t>
  </si>
  <si>
    <t>RTHTMTPKMFRG72X72X08</t>
  </si>
  <si>
    <t>OEPKBOXSR71.50X71.50X170</t>
  </si>
  <si>
    <t>SFG-FRPKOSRG-MEM-BOR-72X72X08</t>
  </si>
  <si>
    <t>60D-RB-MAT-FOAM-71.50X71.50X15MM</t>
  </si>
  <si>
    <t>RTHTMTPKMFRG75X30X08</t>
  </si>
  <si>
    <t>OEPKBOXSR74.50X29.50X170</t>
  </si>
  <si>
    <t>SFG-FRPKOSRG-MEM-BOR-75X30X08</t>
  </si>
  <si>
    <t>60D-RB-MAT-FOAM-74.50X29.50X15MM</t>
  </si>
  <si>
    <t>RTHTMTPKMFRG75X36X08</t>
  </si>
  <si>
    <t>OEPKBOXSR74.50X35.50X170</t>
  </si>
  <si>
    <t>SFG-FRPKOSRG-MEM-BOR-75X36X08</t>
  </si>
  <si>
    <t>60D-RB-MAT-FOAM-74.50X35.50X15MM</t>
  </si>
  <si>
    <t>RTHTMTPKMFRG75X42X08</t>
  </si>
  <si>
    <t>OEPKBOXSR74.50X41.50X170</t>
  </si>
  <si>
    <t>SFG-FRPKOSRG-MEM-BOR-75X42X08</t>
  </si>
  <si>
    <t>60D-RB-MAT-FOAM-74.50X41.50X15MM</t>
  </si>
  <si>
    <t>RTHTMTPKMFRG75X48X08</t>
  </si>
  <si>
    <t>OEPKBOXSR74.50X47.50X170</t>
  </si>
  <si>
    <t>SFG-FRPKOSRG-MEM-BOR-75X48X08</t>
  </si>
  <si>
    <t>60D-RB-MAT-FOAM-74.50X47.50X15MM</t>
  </si>
  <si>
    <t>RTHTMTPKMFRG75X60X08</t>
  </si>
  <si>
    <t>OEPKBOXSR74.50X59.50X170</t>
  </si>
  <si>
    <t>SFG-FRPKOSRG-MEM-BOR-75X60X08</t>
  </si>
  <si>
    <t>60D-RB-MAT-FOAM-74.50X59.50X15MM</t>
  </si>
  <si>
    <t>RTHTMTPKMFRG75X66X08</t>
  </si>
  <si>
    <t>OEPKBOXSR74.50X65.50X170</t>
  </si>
  <si>
    <t>SFG-FRPKOSRG-MEM-BOR-75X66X08</t>
  </si>
  <si>
    <t>60D-RB-MAT-FOAM-74.50X65.50X15MM</t>
  </si>
  <si>
    <t>RTHTMTPKMFRG75X72X08</t>
  </si>
  <si>
    <t>OEPKBOXSR74.50X71.50X170</t>
  </si>
  <si>
    <t>SFG-FRPKOSRG-MEM-BOR-75X72X08</t>
  </si>
  <si>
    <t>60D-RB-MAT-FOAM-74.50X71.50X15MM</t>
  </si>
  <si>
    <t>RTHTMTPKMFRG78X30X08</t>
  </si>
  <si>
    <t>OEPKBOXSR77.50X29.50X170</t>
  </si>
  <si>
    <t>SFG-FRPKOSRG-MEM-BOR-78X30X08</t>
  </si>
  <si>
    <t>60D-RB-MAT-FOAM-77.50X29.50X15MM</t>
  </si>
  <si>
    <t>RTHTMTPKMFRG78X36X08</t>
  </si>
  <si>
    <t>OEPKBOXSR77.50X35.50X170</t>
  </si>
  <si>
    <t>SFG-FRPKOSRG-MEM-BOR-78X36X08</t>
  </si>
  <si>
    <t>60D-RB-MAT-FOAM-77.50X35.50X15MM</t>
  </si>
  <si>
    <t>RTHTMTPKMFRG78X42X08</t>
  </si>
  <si>
    <t>OEPKBOXSR77.50X41.50X170</t>
  </si>
  <si>
    <t>SFG-FRPKOSRG-MEM-BOR-78X42X08</t>
  </si>
  <si>
    <t>60D-RB-MAT-FOAM-77.50X41.50X15MM</t>
  </si>
  <si>
    <t>RTHTMTPKMFRG78X48X08</t>
  </si>
  <si>
    <t>OEPKBOXSR77.50X47.50X170</t>
  </si>
  <si>
    <t>SFG-FRPKOSRG-MEM-BOR-78X48X08</t>
  </si>
  <si>
    <t>60D-RB-MAT-FOAM-77.50X47.50X15MM</t>
  </si>
  <si>
    <t>RTHTMTPKMFRG78X60X08</t>
  </si>
  <si>
    <t>OEPKBOXSR77.50X59.50X170</t>
  </si>
  <si>
    <t>SFG-FRPKOSRG-MEM-BOR-78X60X08</t>
  </si>
  <si>
    <t>60D-RB-MAT-FOAM-77.50X59.50X15MM</t>
  </si>
  <si>
    <t>RTHTMTPKMFRG78X66X08</t>
  </si>
  <si>
    <t>OEPKBOXSR77.50X65.50X170</t>
  </si>
  <si>
    <t>SFG-FRPKOSRG-MEM-BOR-78X66X08</t>
  </si>
  <si>
    <t>60D-RB-MAT-FOAM-77.50X65.50X15MM</t>
  </si>
  <si>
    <t>RTHTMTPKMFRG78X72X08</t>
  </si>
  <si>
    <t>OEPKBOXSR77.50X71.50X170</t>
  </si>
  <si>
    <t>SFG-FRPKOSRG-MEM-BOR-78X72X08</t>
  </si>
  <si>
    <t>60D-RB-MAT-FOAM-77.50X71.50X15MM</t>
  </si>
  <si>
    <t>RTHTMTPKMFRG80X30X08</t>
  </si>
  <si>
    <t>OEPKBOXSR79.50X29.50X170</t>
  </si>
  <si>
    <t>SFG-FRPKOSRG-MEM-BOR-80X30X08</t>
  </si>
  <si>
    <t>60D-RB-MAT-FOAM-79.50X29.50X15MM</t>
  </si>
  <si>
    <t>RTHTMTPKMFRG80X36X08</t>
  </si>
  <si>
    <t>OEPKBOXSR79.50X35.50X170</t>
  </si>
  <si>
    <t>SFG-FRPKOSRG-MEM-BOR-80X36X08</t>
  </si>
  <si>
    <t>60D-RB-MAT-FOAM-79.50X35.50X15MM</t>
  </si>
  <si>
    <t>RTHTMTPKMFRG80X42X08</t>
  </si>
  <si>
    <t>OEPKBOXSR79.50X41.50X170</t>
  </si>
  <si>
    <t>SFG-FRPKOSRG-MEM-BOR-80X42X08</t>
  </si>
  <si>
    <t>60D-RB-MAT-FOAM-79.50X41.50X15MM</t>
  </si>
  <si>
    <t>RTHTMTPKMFRG80X48X08</t>
  </si>
  <si>
    <t>OEPKBOXSR79.50X47.50X170</t>
  </si>
  <si>
    <t>SFG-FRPKOSRG-MEM-BOR-80X48X08</t>
  </si>
  <si>
    <t>60D-RB-MAT-FOAM-79.50X47.50X15MM</t>
  </si>
  <si>
    <t>RTHTMTPKMFRG80X60X08</t>
  </si>
  <si>
    <t>OEPKBOXSR79.50X59.50X170</t>
  </si>
  <si>
    <t>SFG-FRPKOSRG-MEM-BOR-80X60X08</t>
  </si>
  <si>
    <t>60D-RB-MAT-FOAM-79.50X59.50X15MM</t>
  </si>
  <si>
    <t>RTHTMTPKMFRG80X66X08</t>
  </si>
  <si>
    <t>OEPKBOXSR79.50X65.50X170</t>
  </si>
  <si>
    <t>SFG-FRPKOSRG-MEM-BOR-80X66X08</t>
  </si>
  <si>
    <t>60D-RB-MAT-FOAM-79.50X65.50X15MM</t>
  </si>
  <si>
    <t>RTHTMTPKMFRG80X72X08</t>
  </si>
  <si>
    <t>OEPKBOXSR79.50X71.50X170</t>
  </si>
  <si>
    <t>SFG-FRPKOSRG-MEM-BOR-80X72X08</t>
  </si>
  <si>
    <t>60D-RB-MAT-FOAM-79.50X71.50X15MM</t>
  </si>
  <si>
    <t>RTHTMTPKMFRG84X30X08</t>
  </si>
  <si>
    <t>OEPKBOXSR83.50X29.50X170</t>
  </si>
  <si>
    <t>SFG-FRPKOSRG-MEM-BOR-84X30X08</t>
  </si>
  <si>
    <t>60D-RB-MAT-FOAM-83.50X29.50X15MM</t>
  </si>
  <si>
    <t>RTHTMTPKMFRG84X36X08</t>
  </si>
  <si>
    <t>OEPKBOXSR83.50X35.50X170</t>
  </si>
  <si>
    <t>SFG-FRPKOSRG-MEM-BOR-84X36X08</t>
  </si>
  <si>
    <t>60D-RB-MAT-FOAM-83.50X35.50X15MM</t>
  </si>
  <si>
    <t>RTHTMTPKMFRG84X42X08</t>
  </si>
  <si>
    <t>OEPKBOXSR83.50X41.50X170</t>
  </si>
  <si>
    <t>SFG-FRPKOSRG-MEM-BOR-84X42X08</t>
  </si>
  <si>
    <t>60D-RB-MAT-FOAM-83.50X41.50X15MM</t>
  </si>
  <si>
    <t>RTHTMTPKMFRG84X48X08</t>
  </si>
  <si>
    <t>OEPKBOXSR83.50X47.50X170</t>
  </si>
  <si>
    <t>SFG-FRPKOSRG-MEM-BOR-84X48X08</t>
  </si>
  <si>
    <t>60D-RB-MAT-FOAM-83.50X47.50X15MM</t>
  </si>
  <si>
    <t>RTHTMTPKMFRG84X60X08</t>
  </si>
  <si>
    <t>OEPKBOXSR83.50X59.50X170</t>
  </si>
  <si>
    <t>SFG-FRPKOSRG-MEM-BOR-84X60X08</t>
  </si>
  <si>
    <t>60D-RB-MAT-FOAM-83.50X59.50X15MM</t>
  </si>
  <si>
    <t>RTHTMTPKMFRG84X66X08</t>
  </si>
  <si>
    <t>OEPKBOXSR83.50X65.50X170</t>
  </si>
  <si>
    <t>SFG-FRPKOSRG-MEM-BOR-84X66X08</t>
  </si>
  <si>
    <t>60D-RB-MAT-FOAM-83.50X65.50X15MM</t>
  </si>
  <si>
    <t>RTHTMTPKMFRG84X72X08</t>
  </si>
  <si>
    <t>OEPKBOXSR83.50X71.50X170</t>
  </si>
  <si>
    <t>SFG-FRPKOSRG-MEM-BOR-84X72X08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</si>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</sst>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1121</xdr:colOff>
      <xdr:row>9</xdr:row>
      <xdr:rowOff>130549</xdr:rowOff>
    </xdr:from>
    <xdr:to>
      <xdr:col>15</xdr:col>
      <xdr:colOff>313765</xdr:colOff>
      <xdr:row>13</xdr:row>
      <xdr:rowOff>63874</xdr:rowOff>
    </xdr:to>
    <xdr:sp macro="[0]!Macro1" textlink="">
      <xdr:nvSpPr>
        <xdr:cNvPr id="13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705415" y="1845049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7" sqref="M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RTHTMTPKMFRG84X72X08</v>
      </c>
      <c r="E2" s="1" t="str">
        <f>"OEPKBOXSR"&amp;(K2-0.5)&amp;"0"&amp;"X"&amp;(L2-0.5)&amp;"0"&amp;"X"&amp;IF(M2=6,"110",IF(M2=8,"170",IF(M2&gt;9,"200",0)))</f>
        <v>OEPKBOXSR83.50X71.50X170</v>
      </c>
      <c r="F2" s="11" t="s">
        <v>11</v>
      </c>
      <c r="G2" s="10">
        <v>1</v>
      </c>
      <c r="H2" s="10">
        <f t="shared" ref="H2:H5" si="0">ROUND(G2,3)</f>
        <v>1</v>
      </c>
      <c r="I2" s="20" t="s">
        <v>17</v>
      </c>
      <c r="J2" s="5"/>
      <c r="K2" s="6">
        <v>84</v>
      </c>
      <c r="L2" s="6">
        <v>72</v>
      </c>
      <c r="M2" s="38">
        <v>8</v>
      </c>
      <c r="N2" s="6"/>
      <c r="P2" s="4" t="s">
        <v>95</v>
      </c>
      <c r="R2" s="35" t="s">
        <v>96</v>
      </c>
      <c r="S2" s="35" t="s">
        <v>97</v>
      </c>
      <c r="T2" s="35">
        <v>8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7" si="1">"RTHTMTPKMFRG"&amp;$K$2&amp;"X"&amp;$L$2&amp;"X"&amp;IF($M$2&gt;9,$M$2,"0"&amp;$M$2)</f>
        <v>RTHTMTPKMFRG84X72X08</v>
      </c>
      <c r="E3" s="19" t="s">
        <v>116</v>
      </c>
      <c r="F3" s="11" t="s">
        <v>16</v>
      </c>
      <c r="G3" s="26">
        <f>IF(K2&lt;79,(L2+1),(K2+1))*0.0254</f>
        <v>2.1589999999999998</v>
      </c>
      <c r="H3" s="10">
        <f t="shared" ref="H3:H14" si="2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8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1"/>
        <v>RTHTMTPKMFRG84X72X08</v>
      </c>
      <c r="E4" s="27" t="str">
        <f>"SFG-FRPKOSRG-MEM-BOR-"&amp;K2&amp;"X"&amp;L2&amp;"X"&amp;IF(M2&gt;9,M2,"0"&amp;M2)</f>
        <v>SFG-FRPKOSRG-MEM-BOR-84X72X08</v>
      </c>
      <c r="F4" s="8" t="s">
        <v>11</v>
      </c>
      <c r="G4" s="10">
        <v>1</v>
      </c>
      <c r="H4" s="10">
        <f t="shared" si="2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8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117</v>
      </c>
      <c r="D5" s="7" t="str">
        <f t="shared" si="1"/>
        <v>RTHTMTPKMFRG84X72X08</v>
      </c>
      <c r="E5" s="42" t="s">
        <v>118</v>
      </c>
      <c r="F5" s="11" t="s">
        <v>16</v>
      </c>
      <c r="G5" s="10">
        <f>IF(K2&lt;79,(L2+1),(K2+1))*0.0254</f>
        <v>2.1589999999999998</v>
      </c>
      <c r="H5" s="10">
        <f t="shared" si="2"/>
        <v>2.1589999999999998</v>
      </c>
      <c r="I5" s="20" t="s">
        <v>17</v>
      </c>
      <c r="J5" s="12"/>
      <c r="O5" s="18"/>
      <c r="R5" s="35" t="s">
        <v>96</v>
      </c>
      <c r="S5" s="35" t="s">
        <v>100</v>
      </c>
      <c r="T5" s="35">
        <v>8</v>
      </c>
      <c r="U5" s="36" t="s">
        <v>114</v>
      </c>
    </row>
    <row r="6" spans="1:21" x14ac:dyDescent="0.25">
      <c r="A6" s="37">
        <v>5</v>
      </c>
      <c r="B6" s="7" t="s">
        <v>18</v>
      </c>
      <c r="C6" s="41" t="s">
        <v>115</v>
      </c>
      <c r="D6" s="7" t="str">
        <f t="shared" si="1"/>
        <v>RTHTMTPKMFRG84X72X08</v>
      </c>
      <c r="E6" s="21" t="s">
        <v>109</v>
      </c>
      <c r="F6" s="15" t="s">
        <v>110</v>
      </c>
      <c r="G6" s="23">
        <f>((K2-1)*(L2-1)/144)*0.00729*2</f>
        <v>0.59666625000000006</v>
      </c>
      <c r="H6" s="10">
        <f t="shared" si="2"/>
        <v>0.59699999999999998</v>
      </c>
      <c r="I6" s="8" t="s">
        <v>15</v>
      </c>
      <c r="J6" s="12"/>
      <c r="R6" s="35" t="s">
        <v>96</v>
      </c>
      <c r="S6" s="35" t="s">
        <v>101</v>
      </c>
      <c r="T6" s="35">
        <v>8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1"/>
        <v>RTHTMTPKMFRG84X72X08</v>
      </c>
      <c r="E7" s="21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8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RTHTMTPKMFRG84X72X08</v>
      </c>
      <c r="E8" s="21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8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1"/>
        <v>RTHTMTPKMFRG84X72X08</v>
      </c>
      <c r="E9" s="21" t="str">
        <f>IF(M2=6,"RML-CS-PL-6.5""",IF(M2=8,"RML-CS-PL-8.5",IF(M2=10,"RML-CS-PL-10.5",IF(M2=12,"RML-CS-PL-12.25"))))</f>
        <v>RML-CS-PL-8.5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8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RTHTMTPKMFRG84X72X08</v>
      </c>
      <c r="E10" s="21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8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RTHTMTPKMFRG84X72X08</v>
      </c>
      <c r="E11" s="21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8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RTHTMTPKMFRG84X72X08</v>
      </c>
      <c r="E12" s="21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8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RTHTMTPKMFRG84X72X08</v>
      </c>
      <c r="E13" s="9" t="s">
        <v>119</v>
      </c>
      <c r="F13" s="11" t="s">
        <v>14</v>
      </c>
      <c r="G13" s="24">
        <f>IF(K2&lt;79,((L2*2)+(M2*2)+4),((K2*2)+(M2*2)+4))*0.0254*89.5*0.0254*0.00009*1300</f>
        <v>1.27008907272</v>
      </c>
      <c r="H13" s="10">
        <f t="shared" si="2"/>
        <v>1.27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8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1"/>
        <v>RTHTMTPKMFRG84X72X08</v>
      </c>
      <c r="E14" s="40" t="str">
        <f>"60D-RB-MAT-FOAM-"&amp;(K2-0.5)&amp;"0"&amp;"X"&amp;(L2-0.5)&amp;"0"&amp;"X15MM"</f>
        <v>60D-RB-MAT-FOAM-83.50X71.50X15MM</v>
      </c>
      <c r="F14" s="8" t="s">
        <v>11</v>
      </c>
      <c r="G14" s="14">
        <v>1</v>
      </c>
      <c r="H14" s="10">
        <f t="shared" si="2"/>
        <v>1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8</v>
      </c>
      <c r="U14" s="36" t="s">
        <v>114</v>
      </c>
    </row>
    <row r="15" spans="1:21" x14ac:dyDescent="0.25">
      <c r="J15" s="12"/>
      <c r="N15"/>
      <c r="O15"/>
      <c r="R15" s="35" t="s">
        <v>105</v>
      </c>
      <c r="S15" s="35" t="s">
        <v>102</v>
      </c>
      <c r="T15" s="35">
        <v>8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8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8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8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8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8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8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8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8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8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8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8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8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8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8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8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8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8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8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8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8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8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8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8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8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8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8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8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8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8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8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8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8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8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8</v>
      </c>
      <c r="U49" s="36"/>
    </row>
    <row r="50" spans="14:21" x14ac:dyDescent="0.25">
      <c r="R50" s="35">
        <v>75</v>
      </c>
      <c r="S50" s="35">
        <v>36</v>
      </c>
      <c r="T50" s="35">
        <v>8</v>
      </c>
      <c r="U50" s="36"/>
    </row>
    <row r="51" spans="14:21" x14ac:dyDescent="0.25">
      <c r="R51" s="35">
        <v>75</v>
      </c>
      <c r="S51" s="35">
        <v>42</v>
      </c>
      <c r="T51" s="35">
        <v>8</v>
      </c>
      <c r="U51" s="36"/>
    </row>
    <row r="52" spans="14:21" x14ac:dyDescent="0.25">
      <c r="R52" s="35">
        <v>75</v>
      </c>
      <c r="S52" s="35">
        <v>48</v>
      </c>
      <c r="T52" s="35">
        <v>8</v>
      </c>
      <c r="U52" s="36"/>
    </row>
    <row r="53" spans="14:21" x14ac:dyDescent="0.25">
      <c r="R53" s="35">
        <v>75</v>
      </c>
      <c r="S53" s="35">
        <v>60</v>
      </c>
      <c r="T53" s="35">
        <v>8</v>
      </c>
      <c r="U53" s="36"/>
    </row>
    <row r="54" spans="14:21" x14ac:dyDescent="0.25">
      <c r="R54" s="35">
        <v>75</v>
      </c>
      <c r="S54" s="35">
        <v>66</v>
      </c>
      <c r="T54" s="35">
        <v>8</v>
      </c>
      <c r="U54" s="36"/>
    </row>
    <row r="55" spans="14:21" x14ac:dyDescent="0.25">
      <c r="R55" s="35">
        <v>75</v>
      </c>
      <c r="S55" s="35">
        <v>72</v>
      </c>
      <c r="T55" s="35">
        <v>8</v>
      </c>
      <c r="U55" s="36"/>
    </row>
    <row r="56" spans="14:21" x14ac:dyDescent="0.25">
      <c r="R56" s="35">
        <v>78</v>
      </c>
      <c r="S56" s="35">
        <v>30</v>
      </c>
      <c r="T56" s="35">
        <v>8</v>
      </c>
      <c r="U56" s="36"/>
    </row>
    <row r="57" spans="14:21" x14ac:dyDescent="0.25">
      <c r="R57" s="35">
        <v>78</v>
      </c>
      <c r="S57" s="35">
        <v>36</v>
      </c>
      <c r="T57" s="35">
        <v>8</v>
      </c>
      <c r="U57" s="36"/>
    </row>
    <row r="58" spans="14:21" x14ac:dyDescent="0.25">
      <c r="R58" s="35">
        <v>78</v>
      </c>
      <c r="S58" s="35">
        <v>42</v>
      </c>
      <c r="T58" s="35">
        <v>8</v>
      </c>
      <c r="U58" s="36"/>
    </row>
    <row r="59" spans="14:21" x14ac:dyDescent="0.25">
      <c r="R59" s="35">
        <v>78</v>
      </c>
      <c r="S59" s="35">
        <v>48</v>
      </c>
      <c r="T59" s="35">
        <v>8</v>
      </c>
      <c r="U59" s="36"/>
    </row>
    <row r="60" spans="14:21" x14ac:dyDescent="0.25">
      <c r="R60" s="35">
        <v>78</v>
      </c>
      <c r="S60" s="35">
        <v>60</v>
      </c>
      <c r="T60" s="35">
        <v>8</v>
      </c>
      <c r="U60" s="36"/>
    </row>
    <row r="61" spans="14:21" x14ac:dyDescent="0.25">
      <c r="R61" s="35">
        <v>78</v>
      </c>
      <c r="S61" s="35">
        <v>66</v>
      </c>
      <c r="T61" s="35">
        <v>8</v>
      </c>
      <c r="U61" s="36"/>
    </row>
    <row r="62" spans="14:21" x14ac:dyDescent="0.25">
      <c r="R62" s="35">
        <v>78</v>
      </c>
      <c r="S62" s="35">
        <v>72</v>
      </c>
      <c r="T62" s="35">
        <v>8</v>
      </c>
      <c r="U62" s="36"/>
    </row>
    <row r="63" spans="14:21" x14ac:dyDescent="0.25">
      <c r="R63" s="35">
        <v>80</v>
      </c>
      <c r="S63" s="35">
        <v>30</v>
      </c>
      <c r="T63" s="35">
        <v>8</v>
      </c>
      <c r="U63" s="36"/>
    </row>
    <row r="64" spans="14:21" x14ac:dyDescent="0.25">
      <c r="R64" s="35">
        <v>80</v>
      </c>
      <c r="S64" s="35">
        <v>36</v>
      </c>
      <c r="T64" s="35">
        <v>8</v>
      </c>
      <c r="U64" s="36"/>
    </row>
    <row r="65" spans="18:21" x14ac:dyDescent="0.25">
      <c r="R65" s="35">
        <v>80</v>
      </c>
      <c r="S65" s="35">
        <v>42</v>
      </c>
      <c r="T65" s="35">
        <v>8</v>
      </c>
      <c r="U65" s="36"/>
    </row>
    <row r="66" spans="18:21" x14ac:dyDescent="0.25">
      <c r="R66" s="35">
        <v>80</v>
      </c>
      <c r="S66" s="35">
        <v>48</v>
      </c>
      <c r="T66" s="35">
        <v>8</v>
      </c>
      <c r="U66" s="36"/>
    </row>
    <row r="67" spans="18:21" x14ac:dyDescent="0.25">
      <c r="R67" s="35">
        <v>80</v>
      </c>
      <c r="S67" s="35">
        <v>60</v>
      </c>
      <c r="T67" s="35">
        <v>8</v>
      </c>
      <c r="U67" s="36"/>
    </row>
    <row r="68" spans="18:21" x14ac:dyDescent="0.25">
      <c r="R68" s="35">
        <v>80</v>
      </c>
      <c r="S68" s="35">
        <v>66</v>
      </c>
      <c r="T68" s="35">
        <v>8</v>
      </c>
      <c r="U68" s="36"/>
    </row>
    <row r="69" spans="18:21" x14ac:dyDescent="0.25">
      <c r="R69" s="35">
        <v>80</v>
      </c>
      <c r="S69" s="35">
        <v>72</v>
      </c>
      <c r="T69" s="35">
        <v>8</v>
      </c>
      <c r="U69" s="36"/>
    </row>
    <row r="70" spans="18:21" x14ac:dyDescent="0.25">
      <c r="R70" s="35">
        <v>84</v>
      </c>
      <c r="S70" s="35">
        <v>30</v>
      </c>
      <c r="T70" s="35">
        <v>8</v>
      </c>
      <c r="U70" s="36"/>
    </row>
    <row r="71" spans="18:21" x14ac:dyDescent="0.25">
      <c r="R71" s="35">
        <v>84</v>
      </c>
      <c r="S71" s="35">
        <v>36</v>
      </c>
      <c r="T71" s="35">
        <v>8</v>
      </c>
      <c r="U71" s="36"/>
    </row>
    <row r="72" spans="18:21" x14ac:dyDescent="0.25">
      <c r="R72" s="35">
        <v>84</v>
      </c>
      <c r="S72" s="35">
        <v>42</v>
      </c>
      <c r="T72" s="35">
        <v>8</v>
      </c>
      <c r="U72" s="36"/>
    </row>
    <row r="73" spans="18:21" x14ac:dyDescent="0.25">
      <c r="R73" s="35">
        <v>84</v>
      </c>
      <c r="S73" s="35">
        <v>48</v>
      </c>
      <c r="T73" s="35">
        <v>8</v>
      </c>
      <c r="U73" s="36"/>
    </row>
    <row r="74" spans="18:21" x14ac:dyDescent="0.25">
      <c r="R74" s="35">
        <v>84</v>
      </c>
      <c r="S74" s="35">
        <v>60</v>
      </c>
      <c r="T74" s="35">
        <v>8</v>
      </c>
      <c r="U74" s="36"/>
    </row>
    <row r="75" spans="18:21" x14ac:dyDescent="0.25">
      <c r="R75" s="35">
        <v>84</v>
      </c>
      <c r="S75" s="35">
        <v>66</v>
      </c>
      <c r="T75" s="35">
        <v>8</v>
      </c>
      <c r="U75" s="36"/>
    </row>
    <row r="76" spans="18:21" x14ac:dyDescent="0.25">
      <c r="R76" s="35">
        <v>84</v>
      </c>
      <c r="S76" s="35">
        <v>72</v>
      </c>
      <c r="T76" s="35">
        <v>8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120</v>
      </c>
      <c r="C2">
        <v>10</v>
      </c>
      <c r="D2" t="s">
        <v>201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120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120</v>
      </c>
      <c r="C4">
        <v>30</v>
      </c>
      <c r="D4" t="s">
        <v>161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120</v>
      </c>
      <c r="C5">
        <v>40</v>
      </c>
      <c r="D5" t="s">
        <v>118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120</v>
      </c>
      <c r="C6">
        <v>50</v>
      </c>
      <c r="D6" t="s">
        <v>109</v>
      </c>
      <c r="E6" t="s">
        <v>110</v>
      </c>
      <c r="F6">
        <v>0.23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121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119</v>
      </c>
      <c r="E13" t="s">
        <v>14</v>
      </c>
      <c r="F13">
        <v>0.58099999999999996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202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122</v>
      </c>
      <c r="C15">
        <v>10</v>
      </c>
      <c r="D15" t="s">
        <v>203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20</v>
      </c>
      <c r="D16" t="s">
        <v>116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122</v>
      </c>
      <c r="C17">
        <v>30</v>
      </c>
      <c r="D17" t="s">
        <v>162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122</v>
      </c>
      <c r="C18">
        <v>40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50</v>
      </c>
      <c r="D19" t="s">
        <v>109</v>
      </c>
      <c r="E19" t="s">
        <v>110</v>
      </c>
      <c r="F19">
        <v>0.27300000000000002</v>
      </c>
      <c r="G19" t="s">
        <v>15</v>
      </c>
    </row>
    <row r="20" spans="1:7" x14ac:dyDescent="0.25">
      <c r="A20">
        <v>2</v>
      </c>
      <c r="B20" t="s">
        <v>122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122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122</v>
      </c>
      <c r="C22">
        <v>80</v>
      </c>
      <c r="D22" t="s">
        <v>121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122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122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122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120</v>
      </c>
      <c r="D26" t="s">
        <v>119</v>
      </c>
      <c r="E26" t="s">
        <v>14</v>
      </c>
      <c r="F26">
        <v>0.66200000000000003</v>
      </c>
      <c r="G26" t="s">
        <v>15</v>
      </c>
    </row>
    <row r="27" spans="1:7" x14ac:dyDescent="0.25">
      <c r="A27">
        <v>2</v>
      </c>
      <c r="B27" t="s">
        <v>122</v>
      </c>
      <c r="C27">
        <v>130</v>
      </c>
      <c r="D27" t="s">
        <v>204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123</v>
      </c>
      <c r="C28">
        <v>10</v>
      </c>
      <c r="D28" t="s">
        <v>205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123</v>
      </c>
      <c r="C29">
        <v>20</v>
      </c>
      <c r="D29" t="s">
        <v>116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123</v>
      </c>
      <c r="C30">
        <v>30</v>
      </c>
      <c r="D30" t="s">
        <v>163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123</v>
      </c>
      <c r="C31">
        <v>40</v>
      </c>
      <c r="D31" t="s">
        <v>118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123</v>
      </c>
      <c r="C32">
        <v>50</v>
      </c>
      <c r="D32" t="s">
        <v>109</v>
      </c>
      <c r="E32" t="s">
        <v>110</v>
      </c>
      <c r="F32">
        <v>0.316</v>
      </c>
      <c r="G32" t="s">
        <v>15</v>
      </c>
    </row>
    <row r="33" spans="1:7" x14ac:dyDescent="0.25">
      <c r="A33">
        <v>3</v>
      </c>
      <c r="B33" t="s">
        <v>123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123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123</v>
      </c>
      <c r="C35">
        <v>80</v>
      </c>
      <c r="D35" t="s">
        <v>121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123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123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123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123</v>
      </c>
      <c r="C39">
        <v>120</v>
      </c>
      <c r="D39" t="s">
        <v>119</v>
      </c>
      <c r="E39" t="s">
        <v>14</v>
      </c>
      <c r="F39">
        <v>0.74299999999999999</v>
      </c>
      <c r="G39" t="s">
        <v>15</v>
      </c>
    </row>
    <row r="40" spans="1:7" x14ac:dyDescent="0.25">
      <c r="A40">
        <v>3</v>
      </c>
      <c r="B40" t="s">
        <v>123</v>
      </c>
      <c r="C40">
        <v>130</v>
      </c>
      <c r="D40" t="s">
        <v>206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124</v>
      </c>
      <c r="C41">
        <v>10</v>
      </c>
      <c r="D41" t="s">
        <v>207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124</v>
      </c>
      <c r="C42">
        <v>20</v>
      </c>
      <c r="D42" t="s">
        <v>116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124</v>
      </c>
      <c r="C43">
        <v>30</v>
      </c>
      <c r="D43" t="s">
        <v>164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124</v>
      </c>
      <c r="C44">
        <v>40</v>
      </c>
      <c r="D44" t="s">
        <v>118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124</v>
      </c>
      <c r="C45">
        <v>50</v>
      </c>
      <c r="D45" t="s">
        <v>109</v>
      </c>
      <c r="E45" t="s">
        <v>110</v>
      </c>
      <c r="F45">
        <v>0.35899999999999999</v>
      </c>
      <c r="G45" t="s">
        <v>15</v>
      </c>
    </row>
    <row r="46" spans="1:7" x14ac:dyDescent="0.25">
      <c r="A46">
        <v>4</v>
      </c>
      <c r="B46" t="s">
        <v>124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124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124</v>
      </c>
      <c r="C48">
        <v>80</v>
      </c>
      <c r="D48" t="s">
        <v>121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124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124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124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124</v>
      </c>
      <c r="C52">
        <v>120</v>
      </c>
      <c r="D52" t="s">
        <v>119</v>
      </c>
      <c r="E52" t="s">
        <v>14</v>
      </c>
      <c r="F52">
        <v>0.82399999999999995</v>
      </c>
      <c r="G52" t="s">
        <v>15</v>
      </c>
    </row>
    <row r="53" spans="1:7" x14ac:dyDescent="0.25">
      <c r="A53">
        <v>4</v>
      </c>
      <c r="B53" t="s">
        <v>124</v>
      </c>
      <c r="C53">
        <v>130</v>
      </c>
      <c r="D53" t="s">
        <v>208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125</v>
      </c>
      <c r="C54">
        <v>10</v>
      </c>
      <c r="D54" t="s">
        <v>209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125</v>
      </c>
      <c r="C55">
        <v>20</v>
      </c>
      <c r="D55" t="s">
        <v>116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125</v>
      </c>
      <c r="C56">
        <v>30</v>
      </c>
      <c r="D56" t="s">
        <v>165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125</v>
      </c>
      <c r="C57">
        <v>40</v>
      </c>
      <c r="D57" t="s">
        <v>118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125</v>
      </c>
      <c r="C58">
        <v>50</v>
      </c>
      <c r="D58" t="s">
        <v>109</v>
      </c>
      <c r="E58" t="s">
        <v>110</v>
      </c>
      <c r="F58">
        <v>0.38100000000000001</v>
      </c>
      <c r="G58" t="s">
        <v>15</v>
      </c>
    </row>
    <row r="59" spans="1:7" x14ac:dyDescent="0.25">
      <c r="A59">
        <v>5</v>
      </c>
      <c r="B59" t="s">
        <v>125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125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125</v>
      </c>
      <c r="C61">
        <v>80</v>
      </c>
      <c r="D61" t="s">
        <v>121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125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125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125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125</v>
      </c>
      <c r="C65">
        <v>120</v>
      </c>
      <c r="D65" t="s">
        <v>119</v>
      </c>
      <c r="E65" t="s">
        <v>14</v>
      </c>
      <c r="F65">
        <v>0.86499999999999999</v>
      </c>
      <c r="G65" t="s">
        <v>15</v>
      </c>
    </row>
    <row r="66" spans="1:7" x14ac:dyDescent="0.25">
      <c r="A66">
        <v>5</v>
      </c>
      <c r="B66" t="s">
        <v>125</v>
      </c>
      <c r="C66">
        <v>130</v>
      </c>
      <c r="D66" t="s">
        <v>210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126</v>
      </c>
      <c r="C67">
        <v>10</v>
      </c>
      <c r="D67" t="s">
        <v>211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126</v>
      </c>
      <c r="C68">
        <v>20</v>
      </c>
      <c r="D68" t="s">
        <v>116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126</v>
      </c>
      <c r="C69">
        <v>30</v>
      </c>
      <c r="D69" t="s">
        <v>166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126</v>
      </c>
      <c r="C70">
        <v>40</v>
      </c>
      <c r="D70" t="s">
        <v>118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126</v>
      </c>
      <c r="C71">
        <v>50</v>
      </c>
      <c r="D71" t="s">
        <v>109</v>
      </c>
      <c r="E71" t="s">
        <v>110</v>
      </c>
      <c r="F71">
        <v>0.40300000000000002</v>
      </c>
      <c r="G71" t="s">
        <v>15</v>
      </c>
    </row>
    <row r="72" spans="1:7" x14ac:dyDescent="0.25">
      <c r="A72">
        <v>6</v>
      </c>
      <c r="B72" t="s">
        <v>126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126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126</v>
      </c>
      <c r="C74">
        <v>80</v>
      </c>
      <c r="D74" t="s">
        <v>121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126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126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126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126</v>
      </c>
      <c r="C78">
        <v>120</v>
      </c>
      <c r="D78" t="s">
        <v>119</v>
      </c>
      <c r="E78" t="s">
        <v>14</v>
      </c>
      <c r="F78">
        <v>0.90500000000000003</v>
      </c>
      <c r="G78" t="s">
        <v>15</v>
      </c>
    </row>
    <row r="79" spans="1:7" x14ac:dyDescent="0.25">
      <c r="A79">
        <v>6</v>
      </c>
      <c r="B79" t="s">
        <v>126</v>
      </c>
      <c r="C79">
        <v>130</v>
      </c>
      <c r="D79" t="s">
        <v>212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127</v>
      </c>
      <c r="C80">
        <v>10</v>
      </c>
      <c r="D80" t="s">
        <v>213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127</v>
      </c>
      <c r="C81">
        <v>20</v>
      </c>
      <c r="D81" t="s">
        <v>116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127</v>
      </c>
      <c r="C82">
        <v>30</v>
      </c>
      <c r="D82" t="s">
        <v>167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127</v>
      </c>
      <c r="C83">
        <v>40</v>
      </c>
      <c r="D83" t="s">
        <v>118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127</v>
      </c>
      <c r="C84">
        <v>50</v>
      </c>
      <c r="D84" t="s">
        <v>109</v>
      </c>
      <c r="E84" t="s">
        <v>110</v>
      </c>
      <c r="F84">
        <v>0.44600000000000001</v>
      </c>
      <c r="G84" t="s">
        <v>15</v>
      </c>
    </row>
    <row r="85" spans="1:7" x14ac:dyDescent="0.25">
      <c r="A85">
        <v>7</v>
      </c>
      <c r="B85" t="s">
        <v>127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127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127</v>
      </c>
      <c r="C87">
        <v>80</v>
      </c>
      <c r="D87" t="s">
        <v>121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127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127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127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127</v>
      </c>
      <c r="C91">
        <v>120</v>
      </c>
      <c r="D91" t="s">
        <v>119</v>
      </c>
      <c r="E91" t="s">
        <v>14</v>
      </c>
      <c r="F91">
        <v>0.98599999999999999</v>
      </c>
      <c r="G91" t="s">
        <v>15</v>
      </c>
    </row>
    <row r="92" spans="1:7" x14ac:dyDescent="0.25">
      <c r="A92">
        <v>7</v>
      </c>
      <c r="B92" t="s">
        <v>127</v>
      </c>
      <c r="C92">
        <v>130</v>
      </c>
      <c r="D92" t="s">
        <v>214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128</v>
      </c>
      <c r="C93">
        <v>10</v>
      </c>
      <c r="D93" t="s">
        <v>215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128</v>
      </c>
      <c r="C94">
        <v>20</v>
      </c>
      <c r="D94" t="s">
        <v>116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128</v>
      </c>
      <c r="C95">
        <v>30</v>
      </c>
      <c r="D95" t="s">
        <v>168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128</v>
      </c>
      <c r="C96">
        <v>40</v>
      </c>
      <c r="D96" t="s">
        <v>118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128</v>
      </c>
      <c r="C97">
        <v>50</v>
      </c>
      <c r="D97" t="s">
        <v>109</v>
      </c>
      <c r="E97" t="s">
        <v>110</v>
      </c>
      <c r="F97">
        <v>0.48899999999999999</v>
      </c>
      <c r="G97" t="s">
        <v>15</v>
      </c>
    </row>
    <row r="98" spans="1:7" x14ac:dyDescent="0.25">
      <c r="A98">
        <v>8</v>
      </c>
      <c r="B98" t="s">
        <v>128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128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128</v>
      </c>
      <c r="C100">
        <v>80</v>
      </c>
      <c r="D100" t="s">
        <v>121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128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128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128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128</v>
      </c>
      <c r="C104">
        <v>120</v>
      </c>
      <c r="D104" t="s">
        <v>119</v>
      </c>
      <c r="E104" t="s">
        <v>14</v>
      </c>
      <c r="F104">
        <v>1.0669999999999999</v>
      </c>
      <c r="G104" t="s">
        <v>15</v>
      </c>
    </row>
    <row r="105" spans="1:7" x14ac:dyDescent="0.25">
      <c r="A105">
        <v>8</v>
      </c>
      <c r="B105" t="s">
        <v>128</v>
      </c>
      <c r="C105">
        <v>130</v>
      </c>
      <c r="D105" t="s">
        <v>216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129</v>
      </c>
      <c r="C106">
        <v>10</v>
      </c>
      <c r="D106" t="s">
        <v>217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129</v>
      </c>
      <c r="C107">
        <v>20</v>
      </c>
      <c r="D107" t="s">
        <v>116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129</v>
      </c>
      <c r="C108">
        <v>30</v>
      </c>
      <c r="D108" t="s">
        <v>169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129</v>
      </c>
      <c r="C109">
        <v>40</v>
      </c>
      <c r="D109" t="s">
        <v>118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129</v>
      </c>
      <c r="C110">
        <v>50</v>
      </c>
      <c r="D110" t="s">
        <v>109</v>
      </c>
      <c r="E110" t="s">
        <v>110</v>
      </c>
      <c r="F110">
        <v>0.24</v>
      </c>
      <c r="G110" t="s">
        <v>15</v>
      </c>
    </row>
    <row r="111" spans="1:7" x14ac:dyDescent="0.25">
      <c r="A111">
        <v>9</v>
      </c>
      <c r="B111" t="s">
        <v>129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129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129</v>
      </c>
      <c r="C113">
        <v>80</v>
      </c>
      <c r="D113" t="s">
        <v>121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129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129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129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129</v>
      </c>
      <c r="C117">
        <v>120</v>
      </c>
      <c r="D117" t="s">
        <v>119</v>
      </c>
      <c r="E117" t="s">
        <v>14</v>
      </c>
      <c r="F117">
        <v>0.58099999999999996</v>
      </c>
      <c r="G117" t="s">
        <v>15</v>
      </c>
    </row>
    <row r="118" spans="1:7" x14ac:dyDescent="0.25">
      <c r="A118">
        <v>9</v>
      </c>
      <c r="B118" t="s">
        <v>129</v>
      </c>
      <c r="C118">
        <v>130</v>
      </c>
      <c r="D118" t="s">
        <v>218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130</v>
      </c>
      <c r="C119">
        <v>10</v>
      </c>
      <c r="D119" t="s">
        <v>219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130</v>
      </c>
      <c r="C120">
        <v>20</v>
      </c>
      <c r="D120" t="s">
        <v>116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130</v>
      </c>
      <c r="C121">
        <v>30</v>
      </c>
      <c r="D121" t="s">
        <v>170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130</v>
      </c>
      <c r="C122">
        <v>40</v>
      </c>
      <c r="D122" t="s">
        <v>118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130</v>
      </c>
      <c r="C123">
        <v>50</v>
      </c>
      <c r="D123" t="s">
        <v>109</v>
      </c>
      <c r="E123" t="s">
        <v>110</v>
      </c>
      <c r="F123">
        <v>0.28499999999999998</v>
      </c>
      <c r="G123" t="s">
        <v>15</v>
      </c>
    </row>
    <row r="124" spans="1:7" x14ac:dyDescent="0.25">
      <c r="A124">
        <v>10</v>
      </c>
      <c r="B124" t="s">
        <v>130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130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130</v>
      </c>
      <c r="C126">
        <v>80</v>
      </c>
      <c r="D126" t="s">
        <v>121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130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130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130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130</v>
      </c>
      <c r="C130">
        <v>120</v>
      </c>
      <c r="D130" t="s">
        <v>119</v>
      </c>
      <c r="E130" t="s">
        <v>14</v>
      </c>
      <c r="F130">
        <v>0.66200000000000003</v>
      </c>
      <c r="G130" t="s">
        <v>15</v>
      </c>
    </row>
    <row r="131" spans="1:7" x14ac:dyDescent="0.25">
      <c r="A131">
        <v>10</v>
      </c>
      <c r="B131" t="s">
        <v>130</v>
      </c>
      <c r="C131">
        <v>130</v>
      </c>
      <c r="D131" t="s">
        <v>220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131</v>
      </c>
      <c r="C132">
        <v>10</v>
      </c>
      <c r="D132" t="s">
        <v>221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131</v>
      </c>
      <c r="C133">
        <v>20</v>
      </c>
      <c r="D133" t="s">
        <v>116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131</v>
      </c>
      <c r="C134">
        <v>30</v>
      </c>
      <c r="D134" t="s">
        <v>171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131</v>
      </c>
      <c r="C135">
        <v>40</v>
      </c>
      <c r="D135" t="s">
        <v>118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131</v>
      </c>
      <c r="C136">
        <v>50</v>
      </c>
      <c r="D136" t="s">
        <v>109</v>
      </c>
      <c r="E136" t="s">
        <v>110</v>
      </c>
      <c r="F136">
        <v>0.33</v>
      </c>
      <c r="G136" t="s">
        <v>15</v>
      </c>
    </row>
    <row r="137" spans="1:7" x14ac:dyDescent="0.25">
      <c r="A137">
        <v>11</v>
      </c>
      <c r="B137" t="s">
        <v>131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131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131</v>
      </c>
      <c r="C139">
        <v>80</v>
      </c>
      <c r="D139" t="s">
        <v>121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131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131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131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131</v>
      </c>
      <c r="C143">
        <v>120</v>
      </c>
      <c r="D143" t="s">
        <v>119</v>
      </c>
      <c r="E143" t="s">
        <v>14</v>
      </c>
      <c r="F143">
        <v>0.74299999999999999</v>
      </c>
      <c r="G143" t="s">
        <v>15</v>
      </c>
    </row>
    <row r="144" spans="1:7" x14ac:dyDescent="0.25">
      <c r="A144">
        <v>11</v>
      </c>
      <c r="B144" t="s">
        <v>131</v>
      </c>
      <c r="C144">
        <v>130</v>
      </c>
      <c r="D144" t="s">
        <v>222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132</v>
      </c>
      <c r="C145">
        <v>10</v>
      </c>
      <c r="D145" t="s">
        <v>223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132</v>
      </c>
      <c r="C146">
        <v>20</v>
      </c>
      <c r="D146" t="s">
        <v>116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132</v>
      </c>
      <c r="C147">
        <v>30</v>
      </c>
      <c r="D147" t="s">
        <v>172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132</v>
      </c>
      <c r="C148">
        <v>40</v>
      </c>
      <c r="D148" t="s">
        <v>118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132</v>
      </c>
      <c r="C149">
        <v>50</v>
      </c>
      <c r="D149" t="s">
        <v>109</v>
      </c>
      <c r="E149" t="s">
        <v>110</v>
      </c>
      <c r="F149">
        <v>0.375</v>
      </c>
      <c r="G149" t="s">
        <v>15</v>
      </c>
    </row>
    <row r="150" spans="1:7" x14ac:dyDescent="0.25">
      <c r="A150">
        <v>12</v>
      </c>
      <c r="B150" t="s">
        <v>132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132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132</v>
      </c>
      <c r="C152">
        <v>80</v>
      </c>
      <c r="D152" t="s">
        <v>121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132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132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132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132</v>
      </c>
      <c r="C156">
        <v>120</v>
      </c>
      <c r="D156" t="s">
        <v>119</v>
      </c>
      <c r="E156" t="s">
        <v>14</v>
      </c>
      <c r="F156">
        <v>0.82399999999999995</v>
      </c>
      <c r="G156" t="s">
        <v>15</v>
      </c>
    </row>
    <row r="157" spans="1:7" x14ac:dyDescent="0.25">
      <c r="A157">
        <v>12</v>
      </c>
      <c r="B157" t="s">
        <v>132</v>
      </c>
      <c r="C157">
        <v>130</v>
      </c>
      <c r="D157" t="s">
        <v>224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133</v>
      </c>
      <c r="C158">
        <v>10</v>
      </c>
      <c r="D158" t="s">
        <v>225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133</v>
      </c>
      <c r="C159">
        <v>20</v>
      </c>
      <c r="D159" t="s">
        <v>116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133</v>
      </c>
      <c r="C160">
        <v>30</v>
      </c>
      <c r="D160" t="s">
        <v>173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133</v>
      </c>
      <c r="C161">
        <v>40</v>
      </c>
      <c r="D161" t="s">
        <v>118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133</v>
      </c>
      <c r="C162">
        <v>50</v>
      </c>
      <c r="D162" t="s">
        <v>109</v>
      </c>
      <c r="E162" t="s">
        <v>110</v>
      </c>
      <c r="F162">
        <v>0.39700000000000002</v>
      </c>
      <c r="G162" t="s">
        <v>15</v>
      </c>
    </row>
    <row r="163" spans="1:7" x14ac:dyDescent="0.25">
      <c r="A163">
        <v>13</v>
      </c>
      <c r="B163" t="s">
        <v>133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133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133</v>
      </c>
      <c r="C165">
        <v>80</v>
      </c>
      <c r="D165" t="s">
        <v>121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133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133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133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133</v>
      </c>
      <c r="C169">
        <v>120</v>
      </c>
      <c r="D169" t="s">
        <v>119</v>
      </c>
      <c r="E169" t="s">
        <v>14</v>
      </c>
      <c r="F169">
        <v>0.86499999999999999</v>
      </c>
      <c r="G169" t="s">
        <v>15</v>
      </c>
    </row>
    <row r="170" spans="1:7" x14ac:dyDescent="0.25">
      <c r="A170">
        <v>13</v>
      </c>
      <c r="B170" t="s">
        <v>133</v>
      </c>
      <c r="C170">
        <v>130</v>
      </c>
      <c r="D170" t="s">
        <v>226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134</v>
      </c>
      <c r="C171">
        <v>10</v>
      </c>
      <c r="D171" t="s">
        <v>227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134</v>
      </c>
      <c r="C172">
        <v>20</v>
      </c>
      <c r="D172" t="s">
        <v>116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134</v>
      </c>
      <c r="C173">
        <v>30</v>
      </c>
      <c r="D173" t="s">
        <v>174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134</v>
      </c>
      <c r="C174">
        <v>40</v>
      </c>
      <c r="D174" t="s">
        <v>118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134</v>
      </c>
      <c r="C175">
        <v>50</v>
      </c>
      <c r="D175" t="s">
        <v>109</v>
      </c>
      <c r="E175" t="s">
        <v>110</v>
      </c>
      <c r="F175">
        <v>0.42</v>
      </c>
      <c r="G175" t="s">
        <v>15</v>
      </c>
    </row>
    <row r="176" spans="1:7" x14ac:dyDescent="0.25">
      <c r="A176">
        <v>14</v>
      </c>
      <c r="B176" t="s">
        <v>134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134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134</v>
      </c>
      <c r="C178">
        <v>80</v>
      </c>
      <c r="D178" t="s">
        <v>121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134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134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134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134</v>
      </c>
      <c r="C182">
        <v>120</v>
      </c>
      <c r="D182" t="s">
        <v>119</v>
      </c>
      <c r="E182" t="s">
        <v>14</v>
      </c>
      <c r="F182">
        <v>0.90500000000000003</v>
      </c>
      <c r="G182" t="s">
        <v>15</v>
      </c>
    </row>
    <row r="183" spans="1:7" x14ac:dyDescent="0.25">
      <c r="A183">
        <v>14</v>
      </c>
      <c r="B183" t="s">
        <v>134</v>
      </c>
      <c r="C183">
        <v>130</v>
      </c>
      <c r="D183" t="s">
        <v>228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135</v>
      </c>
      <c r="C184">
        <v>10</v>
      </c>
      <c r="D184" t="s">
        <v>229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135</v>
      </c>
      <c r="C185">
        <v>20</v>
      </c>
      <c r="D185" t="s">
        <v>116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135</v>
      </c>
      <c r="C186">
        <v>30</v>
      </c>
      <c r="D186" t="s">
        <v>175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135</v>
      </c>
      <c r="C187">
        <v>40</v>
      </c>
      <c r="D187" t="s">
        <v>118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135</v>
      </c>
      <c r="C188">
        <v>50</v>
      </c>
      <c r="D188" t="s">
        <v>109</v>
      </c>
      <c r="E188" t="s">
        <v>110</v>
      </c>
      <c r="F188">
        <v>0.46500000000000002</v>
      </c>
      <c r="G188" t="s">
        <v>15</v>
      </c>
    </row>
    <row r="189" spans="1:7" x14ac:dyDescent="0.25">
      <c r="A189">
        <v>15</v>
      </c>
      <c r="B189" t="s">
        <v>135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135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135</v>
      </c>
      <c r="C191">
        <v>80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135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135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135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135</v>
      </c>
      <c r="C195">
        <v>120</v>
      </c>
      <c r="D195" t="s">
        <v>119</v>
      </c>
      <c r="E195" t="s">
        <v>14</v>
      </c>
      <c r="F195">
        <v>0.98599999999999999</v>
      </c>
      <c r="G195" t="s">
        <v>15</v>
      </c>
    </row>
    <row r="196" spans="1:7" x14ac:dyDescent="0.25">
      <c r="A196">
        <v>15</v>
      </c>
      <c r="B196" t="s">
        <v>135</v>
      </c>
      <c r="C196">
        <v>130</v>
      </c>
      <c r="D196" t="s">
        <v>230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136</v>
      </c>
      <c r="C197">
        <v>10</v>
      </c>
      <c r="D197" t="s">
        <v>231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136</v>
      </c>
      <c r="C198">
        <v>20</v>
      </c>
      <c r="D198" t="s">
        <v>116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136</v>
      </c>
      <c r="C199">
        <v>30</v>
      </c>
      <c r="D199" t="s">
        <v>176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136</v>
      </c>
      <c r="C200">
        <v>40</v>
      </c>
      <c r="D200" t="s">
        <v>118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136</v>
      </c>
      <c r="C201">
        <v>50</v>
      </c>
      <c r="D201" t="s">
        <v>109</v>
      </c>
      <c r="E201" t="s">
        <v>110</v>
      </c>
      <c r="F201">
        <v>0.50900000000000001</v>
      </c>
      <c r="G201" t="s">
        <v>15</v>
      </c>
    </row>
    <row r="202" spans="1:7" x14ac:dyDescent="0.25">
      <c r="A202">
        <v>16</v>
      </c>
      <c r="B202" t="s">
        <v>136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136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136</v>
      </c>
      <c r="C204">
        <v>80</v>
      </c>
      <c r="D204" t="s">
        <v>121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136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136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136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136</v>
      </c>
      <c r="C208">
        <v>120</v>
      </c>
      <c r="D208" t="s">
        <v>119</v>
      </c>
      <c r="E208" t="s">
        <v>14</v>
      </c>
      <c r="F208">
        <v>1.0669999999999999</v>
      </c>
      <c r="G208" t="s">
        <v>15</v>
      </c>
    </row>
    <row r="209" spans="1:7" x14ac:dyDescent="0.25">
      <c r="A209">
        <v>16</v>
      </c>
      <c r="B209" t="s">
        <v>136</v>
      </c>
      <c r="C209">
        <v>130</v>
      </c>
      <c r="D209" t="s">
        <v>232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137</v>
      </c>
      <c r="C210">
        <v>10</v>
      </c>
      <c r="D210" t="s">
        <v>233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137</v>
      </c>
      <c r="C211">
        <v>20</v>
      </c>
      <c r="D211" t="s">
        <v>116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137</v>
      </c>
      <c r="C212">
        <v>30</v>
      </c>
      <c r="D212" t="s">
        <v>177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137</v>
      </c>
      <c r="C213">
        <v>40</v>
      </c>
      <c r="D213" t="s">
        <v>118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137</v>
      </c>
      <c r="C214">
        <v>50</v>
      </c>
      <c r="D214" t="s">
        <v>109</v>
      </c>
      <c r="E214" t="s">
        <v>110</v>
      </c>
      <c r="F214">
        <v>0.249</v>
      </c>
      <c r="G214" t="s">
        <v>15</v>
      </c>
    </row>
    <row r="215" spans="1:7" x14ac:dyDescent="0.25">
      <c r="A215">
        <v>17</v>
      </c>
      <c r="B215" t="s">
        <v>137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137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137</v>
      </c>
      <c r="C217">
        <v>80</v>
      </c>
      <c r="D217" t="s">
        <v>121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137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137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137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137</v>
      </c>
      <c r="C221">
        <v>120</v>
      </c>
      <c r="D221" t="s">
        <v>119</v>
      </c>
      <c r="E221" t="s">
        <v>14</v>
      </c>
      <c r="F221">
        <v>0.58099999999999996</v>
      </c>
      <c r="G221" t="s">
        <v>15</v>
      </c>
    </row>
    <row r="222" spans="1:7" x14ac:dyDescent="0.25">
      <c r="A222">
        <v>17</v>
      </c>
      <c r="B222" t="s">
        <v>137</v>
      </c>
      <c r="C222">
        <v>130</v>
      </c>
      <c r="D222" t="s">
        <v>234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138</v>
      </c>
      <c r="C223">
        <v>10</v>
      </c>
      <c r="D223" t="s">
        <v>235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138</v>
      </c>
      <c r="C224">
        <v>20</v>
      </c>
      <c r="D224" t="s">
        <v>116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138</v>
      </c>
      <c r="C225">
        <v>30</v>
      </c>
      <c r="D225" t="s">
        <v>178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138</v>
      </c>
      <c r="C226">
        <v>40</v>
      </c>
      <c r="D226" t="s">
        <v>118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138</v>
      </c>
      <c r="C227">
        <v>50</v>
      </c>
      <c r="D227" t="s">
        <v>109</v>
      </c>
      <c r="E227" t="s">
        <v>110</v>
      </c>
      <c r="F227">
        <v>0.29599999999999999</v>
      </c>
      <c r="G227" t="s">
        <v>15</v>
      </c>
    </row>
    <row r="228" spans="1:7" x14ac:dyDescent="0.25">
      <c r="A228">
        <v>18</v>
      </c>
      <c r="B228" t="s">
        <v>138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138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138</v>
      </c>
      <c r="C230">
        <v>80</v>
      </c>
      <c r="D230" t="s">
        <v>121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138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138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138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138</v>
      </c>
      <c r="C234">
        <v>120</v>
      </c>
      <c r="D234" t="s">
        <v>119</v>
      </c>
      <c r="E234" t="s">
        <v>14</v>
      </c>
      <c r="F234">
        <v>0.66200000000000003</v>
      </c>
      <c r="G234" t="s">
        <v>15</v>
      </c>
    </row>
    <row r="235" spans="1:7" x14ac:dyDescent="0.25">
      <c r="A235">
        <v>18</v>
      </c>
      <c r="B235" t="s">
        <v>138</v>
      </c>
      <c r="C235">
        <v>130</v>
      </c>
      <c r="D235" t="s">
        <v>236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139</v>
      </c>
      <c r="C236">
        <v>10</v>
      </c>
      <c r="D236" t="s">
        <v>237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139</v>
      </c>
      <c r="C237">
        <v>20</v>
      </c>
      <c r="D237" t="s">
        <v>116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139</v>
      </c>
      <c r="C238">
        <v>30</v>
      </c>
      <c r="D238" t="s">
        <v>179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139</v>
      </c>
      <c r="C239">
        <v>40</v>
      </c>
      <c r="D239" t="s">
        <v>118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139</v>
      </c>
      <c r="C240">
        <v>50</v>
      </c>
      <c r="D240" t="s">
        <v>109</v>
      </c>
      <c r="E240" t="s">
        <v>110</v>
      </c>
      <c r="F240">
        <v>0.34300000000000003</v>
      </c>
      <c r="G240" t="s">
        <v>15</v>
      </c>
    </row>
    <row r="241" spans="1:7" x14ac:dyDescent="0.25">
      <c r="A241">
        <v>19</v>
      </c>
      <c r="B241" t="s">
        <v>139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139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139</v>
      </c>
      <c r="C243">
        <v>80</v>
      </c>
      <c r="D243" t="s">
        <v>121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139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139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139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139</v>
      </c>
      <c r="C247">
        <v>120</v>
      </c>
      <c r="D247" t="s">
        <v>119</v>
      </c>
      <c r="E247" t="s">
        <v>14</v>
      </c>
      <c r="F247">
        <v>0.74299999999999999</v>
      </c>
      <c r="G247" t="s">
        <v>15</v>
      </c>
    </row>
    <row r="248" spans="1:7" x14ac:dyDescent="0.25">
      <c r="A248">
        <v>19</v>
      </c>
      <c r="B248" t="s">
        <v>139</v>
      </c>
      <c r="C248">
        <v>130</v>
      </c>
      <c r="D248" t="s">
        <v>238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140</v>
      </c>
      <c r="C249">
        <v>10</v>
      </c>
      <c r="D249" t="s">
        <v>239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140</v>
      </c>
      <c r="C250">
        <v>20</v>
      </c>
      <c r="D250" t="s">
        <v>116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140</v>
      </c>
      <c r="C251">
        <v>30</v>
      </c>
      <c r="D251" t="s">
        <v>180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140</v>
      </c>
      <c r="C252">
        <v>40</v>
      </c>
      <c r="D252" t="s">
        <v>118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140</v>
      </c>
      <c r="C253">
        <v>50</v>
      </c>
      <c r="D253" t="s">
        <v>109</v>
      </c>
      <c r="E253" t="s">
        <v>110</v>
      </c>
      <c r="F253">
        <v>0.39</v>
      </c>
      <c r="G253" t="s">
        <v>15</v>
      </c>
    </row>
    <row r="254" spans="1:7" x14ac:dyDescent="0.25">
      <c r="A254">
        <v>20</v>
      </c>
      <c r="B254" t="s">
        <v>140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140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140</v>
      </c>
      <c r="C256">
        <v>80</v>
      </c>
      <c r="D256" t="s">
        <v>121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140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140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140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140</v>
      </c>
      <c r="C260">
        <v>120</v>
      </c>
      <c r="D260" t="s">
        <v>119</v>
      </c>
      <c r="E260" t="s">
        <v>14</v>
      </c>
      <c r="F260">
        <v>0.82399999999999995</v>
      </c>
      <c r="G260" t="s">
        <v>15</v>
      </c>
    </row>
    <row r="261" spans="1:7" x14ac:dyDescent="0.25">
      <c r="A261">
        <v>20</v>
      </c>
      <c r="B261" t="s">
        <v>140</v>
      </c>
      <c r="C261">
        <v>130</v>
      </c>
      <c r="D261" t="s">
        <v>240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141</v>
      </c>
      <c r="C262">
        <v>10</v>
      </c>
      <c r="D262" t="s">
        <v>241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141</v>
      </c>
      <c r="C263">
        <v>20</v>
      </c>
      <c r="D263" t="s">
        <v>116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141</v>
      </c>
      <c r="C264">
        <v>30</v>
      </c>
      <c r="D264" t="s">
        <v>181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141</v>
      </c>
      <c r="C265">
        <v>40</v>
      </c>
      <c r="D265" t="s">
        <v>118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141</v>
      </c>
      <c r="C266">
        <v>50</v>
      </c>
      <c r="D266" t="s">
        <v>109</v>
      </c>
      <c r="E266" t="s">
        <v>110</v>
      </c>
      <c r="F266">
        <v>0.41299999999999998</v>
      </c>
      <c r="G266" t="s">
        <v>15</v>
      </c>
    </row>
    <row r="267" spans="1:7" x14ac:dyDescent="0.25">
      <c r="A267">
        <v>21</v>
      </c>
      <c r="B267" t="s">
        <v>141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141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141</v>
      </c>
      <c r="C269">
        <v>80</v>
      </c>
      <c r="D269" t="s">
        <v>121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141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141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141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141</v>
      </c>
      <c r="C273">
        <v>120</v>
      </c>
      <c r="D273" t="s">
        <v>119</v>
      </c>
      <c r="E273" t="s">
        <v>14</v>
      </c>
      <c r="F273">
        <v>0.86499999999999999</v>
      </c>
      <c r="G273" t="s">
        <v>15</v>
      </c>
    </row>
    <row r="274" spans="1:7" x14ac:dyDescent="0.25">
      <c r="A274">
        <v>21</v>
      </c>
      <c r="B274" t="s">
        <v>141</v>
      </c>
      <c r="C274">
        <v>130</v>
      </c>
      <c r="D274" t="s">
        <v>242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142</v>
      </c>
      <c r="C275">
        <v>10</v>
      </c>
      <c r="D275" t="s">
        <v>243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142</v>
      </c>
      <c r="C276">
        <v>20</v>
      </c>
      <c r="D276" t="s">
        <v>116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142</v>
      </c>
      <c r="C277">
        <v>30</v>
      </c>
      <c r="D277" t="s">
        <v>182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142</v>
      </c>
      <c r="C278">
        <v>40</v>
      </c>
      <c r="D278" t="s">
        <v>118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142</v>
      </c>
      <c r="C279">
        <v>50</v>
      </c>
      <c r="D279" t="s">
        <v>109</v>
      </c>
      <c r="E279" t="s">
        <v>110</v>
      </c>
      <c r="F279">
        <v>0.437</v>
      </c>
      <c r="G279" t="s">
        <v>15</v>
      </c>
    </row>
    <row r="280" spans="1:7" x14ac:dyDescent="0.25">
      <c r="A280">
        <v>22</v>
      </c>
      <c r="B280" t="s">
        <v>142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142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142</v>
      </c>
      <c r="C282">
        <v>80</v>
      </c>
      <c r="D282" t="s">
        <v>121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142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142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142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142</v>
      </c>
      <c r="C286">
        <v>120</v>
      </c>
      <c r="D286" t="s">
        <v>119</v>
      </c>
      <c r="E286" t="s">
        <v>14</v>
      </c>
      <c r="F286">
        <v>0.90500000000000003</v>
      </c>
      <c r="G286" t="s">
        <v>15</v>
      </c>
    </row>
    <row r="287" spans="1:7" x14ac:dyDescent="0.25">
      <c r="A287">
        <v>22</v>
      </c>
      <c r="B287" t="s">
        <v>142</v>
      </c>
      <c r="C287">
        <v>130</v>
      </c>
      <c r="D287" t="s">
        <v>244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143</v>
      </c>
      <c r="C288">
        <v>10</v>
      </c>
      <c r="D288" t="s">
        <v>245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143</v>
      </c>
      <c r="C289">
        <v>20</v>
      </c>
      <c r="D289" t="s">
        <v>116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143</v>
      </c>
      <c r="C290">
        <v>30</v>
      </c>
      <c r="D290" t="s">
        <v>183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143</v>
      </c>
      <c r="C291">
        <v>40</v>
      </c>
      <c r="D291" t="s">
        <v>118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143</v>
      </c>
      <c r="C292">
        <v>50</v>
      </c>
      <c r="D292" t="s">
        <v>109</v>
      </c>
      <c r="E292" t="s">
        <v>110</v>
      </c>
      <c r="F292">
        <v>0.48299999999999998</v>
      </c>
      <c r="G292" t="s">
        <v>15</v>
      </c>
    </row>
    <row r="293" spans="1:7" x14ac:dyDescent="0.25">
      <c r="A293">
        <v>23</v>
      </c>
      <c r="B293" t="s">
        <v>143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143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143</v>
      </c>
      <c r="C295">
        <v>80</v>
      </c>
      <c r="D295" t="s">
        <v>121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143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143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143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143</v>
      </c>
      <c r="C299">
        <v>120</v>
      </c>
      <c r="D299" t="s">
        <v>119</v>
      </c>
      <c r="E299" t="s">
        <v>14</v>
      </c>
      <c r="F299">
        <v>0.98599999999999999</v>
      </c>
      <c r="G299" t="s">
        <v>15</v>
      </c>
    </row>
    <row r="300" spans="1:7" x14ac:dyDescent="0.25">
      <c r="A300">
        <v>23</v>
      </c>
      <c r="B300" t="s">
        <v>143</v>
      </c>
      <c r="C300">
        <v>130</v>
      </c>
      <c r="D300" t="s">
        <v>246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144</v>
      </c>
      <c r="C301">
        <v>10</v>
      </c>
      <c r="D301" t="s">
        <v>247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144</v>
      </c>
      <c r="C302">
        <v>20</v>
      </c>
      <c r="D302" t="s">
        <v>116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144</v>
      </c>
      <c r="C303">
        <v>30</v>
      </c>
      <c r="D303" t="s">
        <v>184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144</v>
      </c>
      <c r="C304">
        <v>40</v>
      </c>
      <c r="D304" t="s">
        <v>118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144</v>
      </c>
      <c r="C305">
        <v>50</v>
      </c>
      <c r="D305" t="s">
        <v>109</v>
      </c>
      <c r="E305" t="s">
        <v>110</v>
      </c>
      <c r="F305">
        <v>0.53</v>
      </c>
      <c r="G305" t="s">
        <v>15</v>
      </c>
    </row>
    <row r="306" spans="1:7" x14ac:dyDescent="0.25">
      <c r="A306">
        <v>24</v>
      </c>
      <c r="B306" t="s">
        <v>144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144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144</v>
      </c>
      <c r="C308">
        <v>80</v>
      </c>
      <c r="D308" t="s">
        <v>121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144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144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144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144</v>
      </c>
      <c r="C312">
        <v>120</v>
      </c>
      <c r="D312" t="s">
        <v>119</v>
      </c>
      <c r="E312" t="s">
        <v>14</v>
      </c>
      <c r="F312">
        <v>1.0669999999999999</v>
      </c>
      <c r="G312" t="s">
        <v>15</v>
      </c>
    </row>
    <row r="313" spans="1:7" x14ac:dyDescent="0.25">
      <c r="A313">
        <v>24</v>
      </c>
      <c r="B313" t="s">
        <v>144</v>
      </c>
      <c r="C313">
        <v>130</v>
      </c>
      <c r="D313" t="s">
        <v>248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145</v>
      </c>
      <c r="C314">
        <v>10</v>
      </c>
      <c r="D314" t="s">
        <v>249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145</v>
      </c>
      <c r="C315">
        <v>20</v>
      </c>
      <c r="D315" t="s">
        <v>116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145</v>
      </c>
      <c r="C316">
        <v>30</v>
      </c>
      <c r="D316" t="s">
        <v>185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145</v>
      </c>
      <c r="C317">
        <v>40</v>
      </c>
      <c r="D317" t="s">
        <v>118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145</v>
      </c>
      <c r="C318">
        <v>50</v>
      </c>
      <c r="D318" t="s">
        <v>109</v>
      </c>
      <c r="E318" t="s">
        <v>110</v>
      </c>
      <c r="F318">
        <v>0.25600000000000001</v>
      </c>
      <c r="G318" t="s">
        <v>15</v>
      </c>
    </row>
    <row r="319" spans="1:7" x14ac:dyDescent="0.25">
      <c r="A319">
        <v>25</v>
      </c>
      <c r="B319" t="s">
        <v>145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145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145</v>
      </c>
      <c r="C321">
        <v>80</v>
      </c>
      <c r="D321" t="s">
        <v>121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145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145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145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145</v>
      </c>
      <c r="C325">
        <v>120</v>
      </c>
      <c r="D325" t="s">
        <v>119</v>
      </c>
      <c r="E325" t="s">
        <v>14</v>
      </c>
      <c r="F325">
        <v>1.216</v>
      </c>
      <c r="G325" t="s">
        <v>15</v>
      </c>
    </row>
    <row r="326" spans="1:7" x14ac:dyDescent="0.25">
      <c r="A326">
        <v>25</v>
      </c>
      <c r="B326" t="s">
        <v>145</v>
      </c>
      <c r="C326">
        <v>130</v>
      </c>
      <c r="D326" t="s">
        <v>250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146</v>
      </c>
      <c r="C327">
        <v>10</v>
      </c>
      <c r="D327" t="s">
        <v>251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146</v>
      </c>
      <c r="C328">
        <v>20</v>
      </c>
      <c r="D328" t="s">
        <v>116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146</v>
      </c>
      <c r="C329">
        <v>30</v>
      </c>
      <c r="D329" t="s">
        <v>186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146</v>
      </c>
      <c r="C330">
        <v>40</v>
      </c>
      <c r="D330" t="s">
        <v>118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146</v>
      </c>
      <c r="C331">
        <v>50</v>
      </c>
      <c r="D331" t="s">
        <v>109</v>
      </c>
      <c r="E331" t="s">
        <v>110</v>
      </c>
      <c r="F331">
        <v>0.30399999999999999</v>
      </c>
      <c r="G331" t="s">
        <v>15</v>
      </c>
    </row>
    <row r="332" spans="1:7" x14ac:dyDescent="0.25">
      <c r="A332">
        <v>26</v>
      </c>
      <c r="B332" t="s">
        <v>146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146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146</v>
      </c>
      <c r="C334">
        <v>80</v>
      </c>
      <c r="D334" t="s">
        <v>121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146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146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146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146</v>
      </c>
      <c r="C338">
        <v>120</v>
      </c>
      <c r="D338" t="s">
        <v>119</v>
      </c>
      <c r="E338" t="s">
        <v>14</v>
      </c>
      <c r="F338">
        <v>1.216</v>
      </c>
      <c r="G338" t="s">
        <v>15</v>
      </c>
    </row>
    <row r="339" spans="1:7" x14ac:dyDescent="0.25">
      <c r="A339">
        <v>26</v>
      </c>
      <c r="B339" t="s">
        <v>146</v>
      </c>
      <c r="C339">
        <v>130</v>
      </c>
      <c r="D339" t="s">
        <v>252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147</v>
      </c>
      <c r="C340">
        <v>10</v>
      </c>
      <c r="D340" t="s">
        <v>253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147</v>
      </c>
      <c r="C341">
        <v>20</v>
      </c>
      <c r="D341" t="s">
        <v>116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147</v>
      </c>
      <c r="C342">
        <v>30</v>
      </c>
      <c r="D342" t="s">
        <v>187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147</v>
      </c>
      <c r="C343">
        <v>40</v>
      </c>
      <c r="D343" t="s">
        <v>118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147</v>
      </c>
      <c r="C344">
        <v>50</v>
      </c>
      <c r="D344" t="s">
        <v>109</v>
      </c>
      <c r="E344" t="s">
        <v>110</v>
      </c>
      <c r="F344">
        <v>0.35199999999999998</v>
      </c>
      <c r="G344" t="s">
        <v>15</v>
      </c>
    </row>
    <row r="345" spans="1:7" x14ac:dyDescent="0.25">
      <c r="A345">
        <v>27</v>
      </c>
      <c r="B345" t="s">
        <v>147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147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147</v>
      </c>
      <c r="C347">
        <v>80</v>
      </c>
      <c r="D347" t="s">
        <v>121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147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147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147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147</v>
      </c>
      <c r="C351">
        <v>120</v>
      </c>
      <c r="D351" t="s">
        <v>119</v>
      </c>
      <c r="E351" t="s">
        <v>14</v>
      </c>
      <c r="F351">
        <v>1.216</v>
      </c>
      <c r="G351" t="s">
        <v>15</v>
      </c>
    </row>
    <row r="352" spans="1:7" x14ac:dyDescent="0.25">
      <c r="A352">
        <v>27</v>
      </c>
      <c r="B352" t="s">
        <v>147</v>
      </c>
      <c r="C352">
        <v>130</v>
      </c>
      <c r="D352" t="s">
        <v>254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148</v>
      </c>
      <c r="C353">
        <v>10</v>
      </c>
      <c r="D353" t="s">
        <v>255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148</v>
      </c>
      <c r="C354">
        <v>20</v>
      </c>
      <c r="D354" t="s">
        <v>116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148</v>
      </c>
      <c r="C355">
        <v>30</v>
      </c>
      <c r="D355" t="s">
        <v>188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148</v>
      </c>
      <c r="C356">
        <v>40</v>
      </c>
      <c r="D356" t="s">
        <v>118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148</v>
      </c>
      <c r="C357">
        <v>50</v>
      </c>
      <c r="D357" t="s">
        <v>109</v>
      </c>
      <c r="E357" t="s">
        <v>110</v>
      </c>
      <c r="F357">
        <v>0.4</v>
      </c>
      <c r="G357" t="s">
        <v>15</v>
      </c>
    </row>
    <row r="358" spans="1:7" x14ac:dyDescent="0.25">
      <c r="A358">
        <v>28</v>
      </c>
      <c r="B358" t="s">
        <v>148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148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148</v>
      </c>
      <c r="C360">
        <v>80</v>
      </c>
      <c r="D360" t="s">
        <v>121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148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148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148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148</v>
      </c>
      <c r="C364">
        <v>120</v>
      </c>
      <c r="D364" t="s">
        <v>119</v>
      </c>
      <c r="E364" t="s">
        <v>14</v>
      </c>
      <c r="F364">
        <v>1.216</v>
      </c>
      <c r="G364" t="s">
        <v>15</v>
      </c>
    </row>
    <row r="365" spans="1:7" x14ac:dyDescent="0.25">
      <c r="A365">
        <v>28</v>
      </c>
      <c r="B365" t="s">
        <v>148</v>
      </c>
      <c r="C365">
        <v>130</v>
      </c>
      <c r="D365" t="s">
        <v>256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149</v>
      </c>
      <c r="C366">
        <v>10</v>
      </c>
      <c r="D366" t="s">
        <v>257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149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149</v>
      </c>
      <c r="C368">
        <v>30</v>
      </c>
      <c r="D368" t="s">
        <v>189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149</v>
      </c>
      <c r="C369">
        <v>40</v>
      </c>
      <c r="D369" t="s">
        <v>118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149</v>
      </c>
      <c r="C370">
        <v>50</v>
      </c>
      <c r="D370" t="s">
        <v>109</v>
      </c>
      <c r="E370" t="s">
        <v>110</v>
      </c>
      <c r="F370">
        <v>0.42399999999999999</v>
      </c>
      <c r="G370" t="s">
        <v>15</v>
      </c>
    </row>
    <row r="371" spans="1:7" x14ac:dyDescent="0.25">
      <c r="A371">
        <v>29</v>
      </c>
      <c r="B371" t="s">
        <v>149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149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149</v>
      </c>
      <c r="C373">
        <v>80</v>
      </c>
      <c r="D373" t="s">
        <v>121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149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149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149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149</v>
      </c>
      <c r="C377">
        <v>120</v>
      </c>
      <c r="D377" t="s">
        <v>119</v>
      </c>
      <c r="E377" t="s">
        <v>14</v>
      </c>
      <c r="F377">
        <v>1.216</v>
      </c>
      <c r="G377" t="s">
        <v>15</v>
      </c>
    </row>
    <row r="378" spans="1:7" x14ac:dyDescent="0.25">
      <c r="A378">
        <v>29</v>
      </c>
      <c r="B378" t="s">
        <v>149</v>
      </c>
      <c r="C378">
        <v>130</v>
      </c>
      <c r="D378" t="s">
        <v>258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150</v>
      </c>
      <c r="C379">
        <v>10</v>
      </c>
      <c r="D379" t="s">
        <v>259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150</v>
      </c>
      <c r="C380">
        <v>20</v>
      </c>
      <c r="D380" t="s">
        <v>116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150</v>
      </c>
      <c r="C381">
        <v>30</v>
      </c>
      <c r="D381" t="s">
        <v>190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150</v>
      </c>
      <c r="C382">
        <v>40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150</v>
      </c>
      <c r="C383">
        <v>50</v>
      </c>
      <c r="D383" t="s">
        <v>109</v>
      </c>
      <c r="E383" t="s">
        <v>110</v>
      </c>
      <c r="F383">
        <v>0.44800000000000001</v>
      </c>
      <c r="G383" t="s">
        <v>15</v>
      </c>
    </row>
    <row r="384" spans="1:7" x14ac:dyDescent="0.25">
      <c r="A384">
        <v>30</v>
      </c>
      <c r="B384" t="s">
        <v>150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150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150</v>
      </c>
      <c r="C386">
        <v>80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150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150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150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150</v>
      </c>
      <c r="C390">
        <v>120</v>
      </c>
      <c r="D390" t="s">
        <v>119</v>
      </c>
      <c r="E390" t="s">
        <v>14</v>
      </c>
      <c r="F390">
        <v>1.216</v>
      </c>
      <c r="G390" t="s">
        <v>15</v>
      </c>
    </row>
    <row r="391" spans="1:7" x14ac:dyDescent="0.25">
      <c r="A391">
        <v>30</v>
      </c>
      <c r="B391" t="s">
        <v>150</v>
      </c>
      <c r="C391">
        <v>130</v>
      </c>
      <c r="D391" t="s">
        <v>260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151</v>
      </c>
      <c r="C392">
        <v>10</v>
      </c>
      <c r="D392" t="s">
        <v>261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151</v>
      </c>
      <c r="C393">
        <v>20</v>
      </c>
      <c r="D393" t="s">
        <v>116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151</v>
      </c>
      <c r="C394">
        <v>30</v>
      </c>
      <c r="D394" t="s">
        <v>191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151</v>
      </c>
      <c r="C395">
        <v>40</v>
      </c>
      <c r="D395" t="s">
        <v>118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151</v>
      </c>
      <c r="C396">
        <v>50</v>
      </c>
      <c r="D396" t="s">
        <v>109</v>
      </c>
      <c r="E396" t="s">
        <v>110</v>
      </c>
      <c r="F396">
        <v>0.496</v>
      </c>
      <c r="G396" t="s">
        <v>15</v>
      </c>
    </row>
    <row r="397" spans="1:7" x14ac:dyDescent="0.25">
      <c r="A397">
        <v>31</v>
      </c>
      <c r="B397" t="s">
        <v>151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151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151</v>
      </c>
      <c r="C399">
        <v>80</v>
      </c>
      <c r="D399" t="s">
        <v>121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151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151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151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151</v>
      </c>
      <c r="C403">
        <v>120</v>
      </c>
      <c r="D403" t="s">
        <v>119</v>
      </c>
      <c r="E403" t="s">
        <v>14</v>
      </c>
      <c r="F403">
        <v>1.216</v>
      </c>
      <c r="G403" t="s">
        <v>15</v>
      </c>
    </row>
    <row r="404" spans="1:7" x14ac:dyDescent="0.25">
      <c r="A404">
        <v>31</v>
      </c>
      <c r="B404" t="s">
        <v>151</v>
      </c>
      <c r="C404">
        <v>130</v>
      </c>
      <c r="D404" t="s">
        <v>262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152</v>
      </c>
      <c r="C405">
        <v>10</v>
      </c>
      <c r="D405" t="s">
        <v>263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152</v>
      </c>
      <c r="C406">
        <v>20</v>
      </c>
      <c r="D406" t="s">
        <v>116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152</v>
      </c>
      <c r="C407">
        <v>30</v>
      </c>
      <c r="D407" t="s">
        <v>192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152</v>
      </c>
      <c r="C408">
        <v>40</v>
      </c>
      <c r="D408" t="s">
        <v>118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152</v>
      </c>
      <c r="C409">
        <v>50</v>
      </c>
      <c r="D409" t="s">
        <v>109</v>
      </c>
      <c r="E409" t="s">
        <v>110</v>
      </c>
      <c r="F409">
        <v>0.54400000000000004</v>
      </c>
      <c r="G409" t="s">
        <v>15</v>
      </c>
    </row>
    <row r="410" spans="1:7" x14ac:dyDescent="0.25">
      <c r="A410">
        <v>32</v>
      </c>
      <c r="B410" t="s">
        <v>152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152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152</v>
      </c>
      <c r="C412">
        <v>80</v>
      </c>
      <c r="D412" t="s">
        <v>121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152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152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152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152</v>
      </c>
      <c r="C416">
        <v>120</v>
      </c>
      <c r="D416" t="s">
        <v>119</v>
      </c>
      <c r="E416" t="s">
        <v>14</v>
      </c>
      <c r="F416">
        <v>1.216</v>
      </c>
      <c r="G416" t="s">
        <v>15</v>
      </c>
    </row>
    <row r="417" spans="1:7" x14ac:dyDescent="0.25">
      <c r="A417">
        <v>32</v>
      </c>
      <c r="B417" t="s">
        <v>152</v>
      </c>
      <c r="C417">
        <v>130</v>
      </c>
      <c r="D417" t="s">
        <v>264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153</v>
      </c>
      <c r="C418">
        <v>10</v>
      </c>
      <c r="D418" t="s">
        <v>265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153</v>
      </c>
      <c r="C419">
        <v>20</v>
      </c>
      <c r="D419" t="s">
        <v>116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153</v>
      </c>
      <c r="C420">
        <v>30</v>
      </c>
      <c r="D420" t="s">
        <v>193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153</v>
      </c>
      <c r="C421">
        <v>40</v>
      </c>
      <c r="D421" t="s">
        <v>118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153</v>
      </c>
      <c r="C422">
        <v>50</v>
      </c>
      <c r="D422" t="s">
        <v>109</v>
      </c>
      <c r="E422" t="s">
        <v>110</v>
      </c>
      <c r="F422">
        <v>0.26900000000000002</v>
      </c>
      <c r="G422" t="s">
        <v>15</v>
      </c>
    </row>
    <row r="423" spans="1:7" x14ac:dyDescent="0.25">
      <c r="A423">
        <v>33</v>
      </c>
      <c r="B423" t="s">
        <v>153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153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153</v>
      </c>
      <c r="C425">
        <v>80</v>
      </c>
      <c r="D425" t="s">
        <v>121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153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153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153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153</v>
      </c>
      <c r="C429">
        <v>120</v>
      </c>
      <c r="D429" t="s">
        <v>119</v>
      </c>
      <c r="E429" t="s">
        <v>14</v>
      </c>
      <c r="F429">
        <v>1.27</v>
      </c>
      <c r="G429" t="s">
        <v>15</v>
      </c>
    </row>
    <row r="430" spans="1:7" x14ac:dyDescent="0.25">
      <c r="A430">
        <v>33</v>
      </c>
      <c r="B430" t="s">
        <v>153</v>
      </c>
      <c r="C430">
        <v>130</v>
      </c>
      <c r="D430" t="s">
        <v>266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154</v>
      </c>
      <c r="C431">
        <v>10</v>
      </c>
      <c r="D431" t="s">
        <v>267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154</v>
      </c>
      <c r="C432">
        <v>20</v>
      </c>
      <c r="D432" t="s">
        <v>116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154</v>
      </c>
      <c r="C433">
        <v>30</v>
      </c>
      <c r="D433" t="s">
        <v>194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154</v>
      </c>
      <c r="C434">
        <v>40</v>
      </c>
      <c r="D434" t="s">
        <v>118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154</v>
      </c>
      <c r="C435">
        <v>50</v>
      </c>
      <c r="D435" t="s">
        <v>109</v>
      </c>
      <c r="E435" t="s">
        <v>110</v>
      </c>
      <c r="F435">
        <v>0.31900000000000001</v>
      </c>
      <c r="G435" t="s">
        <v>15</v>
      </c>
    </row>
    <row r="436" spans="1:7" x14ac:dyDescent="0.25">
      <c r="A436">
        <v>34</v>
      </c>
      <c r="B436" t="s">
        <v>154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154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154</v>
      </c>
      <c r="C438">
        <v>80</v>
      </c>
      <c r="D438" t="s">
        <v>121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154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154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154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154</v>
      </c>
      <c r="C442">
        <v>120</v>
      </c>
      <c r="D442" t="s">
        <v>119</v>
      </c>
      <c r="E442" t="s">
        <v>14</v>
      </c>
      <c r="F442">
        <v>1.27</v>
      </c>
      <c r="G442" t="s">
        <v>15</v>
      </c>
    </row>
    <row r="443" spans="1:7" x14ac:dyDescent="0.25">
      <c r="A443">
        <v>34</v>
      </c>
      <c r="B443" t="s">
        <v>154</v>
      </c>
      <c r="C443">
        <v>130</v>
      </c>
      <c r="D443" t="s">
        <v>268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155</v>
      </c>
      <c r="C444">
        <v>10</v>
      </c>
      <c r="D444" t="s">
        <v>269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155</v>
      </c>
      <c r="C445">
        <v>20</v>
      </c>
      <c r="D445" t="s">
        <v>116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155</v>
      </c>
      <c r="C446">
        <v>30</v>
      </c>
      <c r="D446" t="s">
        <v>195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155</v>
      </c>
      <c r="C447">
        <v>40</v>
      </c>
      <c r="D447" t="s">
        <v>118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155</v>
      </c>
      <c r="C448">
        <v>50</v>
      </c>
      <c r="D448" t="s">
        <v>109</v>
      </c>
      <c r="E448" t="s">
        <v>110</v>
      </c>
      <c r="F448">
        <v>0.37</v>
      </c>
      <c r="G448" t="s">
        <v>15</v>
      </c>
    </row>
    <row r="449" spans="1:7" x14ac:dyDescent="0.25">
      <c r="A449">
        <v>35</v>
      </c>
      <c r="B449" t="s">
        <v>155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155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155</v>
      </c>
      <c r="C451">
        <v>80</v>
      </c>
      <c r="D451" t="s">
        <v>121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155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155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155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155</v>
      </c>
      <c r="C455">
        <v>120</v>
      </c>
      <c r="D455" t="s">
        <v>119</v>
      </c>
      <c r="E455" t="s">
        <v>14</v>
      </c>
      <c r="F455">
        <v>1.27</v>
      </c>
      <c r="G455" t="s">
        <v>15</v>
      </c>
    </row>
    <row r="456" spans="1:7" x14ac:dyDescent="0.25">
      <c r="A456">
        <v>35</v>
      </c>
      <c r="B456" t="s">
        <v>155</v>
      </c>
      <c r="C456">
        <v>130</v>
      </c>
      <c r="D456" t="s">
        <v>270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156</v>
      </c>
      <c r="C457">
        <v>10</v>
      </c>
      <c r="D457" t="s">
        <v>271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156</v>
      </c>
      <c r="C458">
        <v>20</v>
      </c>
      <c r="D458" t="s">
        <v>116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156</v>
      </c>
      <c r="C459">
        <v>30</v>
      </c>
      <c r="D459" t="s">
        <v>196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156</v>
      </c>
      <c r="C460">
        <v>40</v>
      </c>
      <c r="D460" t="s">
        <v>118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156</v>
      </c>
      <c r="C461">
        <v>50</v>
      </c>
      <c r="D461" t="s">
        <v>109</v>
      </c>
      <c r="E461" t="s">
        <v>110</v>
      </c>
      <c r="F461">
        <v>0.42</v>
      </c>
      <c r="G461" t="s">
        <v>15</v>
      </c>
    </row>
    <row r="462" spans="1:7" x14ac:dyDescent="0.25">
      <c r="A462">
        <v>36</v>
      </c>
      <c r="B462" t="s">
        <v>156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156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156</v>
      </c>
      <c r="C464">
        <v>80</v>
      </c>
      <c r="D464" t="s">
        <v>121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156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156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156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156</v>
      </c>
      <c r="C468">
        <v>120</v>
      </c>
      <c r="D468" t="s">
        <v>119</v>
      </c>
      <c r="E468" t="s">
        <v>14</v>
      </c>
      <c r="F468">
        <v>1.27</v>
      </c>
      <c r="G468" t="s">
        <v>15</v>
      </c>
    </row>
    <row r="469" spans="1:7" x14ac:dyDescent="0.25">
      <c r="A469">
        <v>36</v>
      </c>
      <c r="B469" t="s">
        <v>156</v>
      </c>
      <c r="C469">
        <v>130</v>
      </c>
      <c r="D469" t="s">
        <v>272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157</v>
      </c>
      <c r="C470">
        <v>10</v>
      </c>
      <c r="D470" t="s">
        <v>273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157</v>
      </c>
      <c r="C471">
        <v>20</v>
      </c>
      <c r="D471" t="s">
        <v>116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157</v>
      </c>
      <c r="C472">
        <v>30</v>
      </c>
      <c r="D472" t="s">
        <v>197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157</v>
      </c>
      <c r="C473">
        <v>40</v>
      </c>
      <c r="D473" t="s">
        <v>118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157</v>
      </c>
      <c r="C474">
        <v>50</v>
      </c>
      <c r="D474" t="s">
        <v>109</v>
      </c>
      <c r="E474" t="s">
        <v>110</v>
      </c>
      <c r="F474">
        <v>0.44500000000000001</v>
      </c>
      <c r="G474" t="s">
        <v>15</v>
      </c>
    </row>
    <row r="475" spans="1:7" x14ac:dyDescent="0.25">
      <c r="A475">
        <v>37</v>
      </c>
      <c r="B475" t="s">
        <v>157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157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157</v>
      </c>
      <c r="C477">
        <v>80</v>
      </c>
      <c r="D477" t="s">
        <v>121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157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157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157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157</v>
      </c>
      <c r="C481">
        <v>120</v>
      </c>
      <c r="D481" t="s">
        <v>119</v>
      </c>
      <c r="E481" t="s">
        <v>14</v>
      </c>
      <c r="F481">
        <v>1.27</v>
      </c>
      <c r="G481" t="s">
        <v>15</v>
      </c>
    </row>
    <row r="482" spans="1:7" x14ac:dyDescent="0.25">
      <c r="A482">
        <v>37</v>
      </c>
      <c r="B482" t="s">
        <v>157</v>
      </c>
      <c r="C482">
        <v>130</v>
      </c>
      <c r="D482" t="s">
        <v>274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158</v>
      </c>
      <c r="C483">
        <v>10</v>
      </c>
      <c r="D483" t="s">
        <v>275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158</v>
      </c>
      <c r="C484">
        <v>20</v>
      </c>
      <c r="D484" t="s">
        <v>116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158</v>
      </c>
      <c r="C485">
        <v>30</v>
      </c>
      <c r="D485" t="s">
        <v>198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158</v>
      </c>
      <c r="C486">
        <v>40</v>
      </c>
      <c r="D486" t="s">
        <v>118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158</v>
      </c>
      <c r="C487">
        <v>50</v>
      </c>
      <c r="D487" t="s">
        <v>109</v>
      </c>
      <c r="E487" t="s">
        <v>110</v>
      </c>
      <c r="F487">
        <v>0.47099999999999997</v>
      </c>
      <c r="G487" t="s">
        <v>15</v>
      </c>
    </row>
    <row r="488" spans="1:7" x14ac:dyDescent="0.25">
      <c r="A488">
        <v>38</v>
      </c>
      <c r="B488" t="s">
        <v>158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158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158</v>
      </c>
      <c r="C490">
        <v>80</v>
      </c>
      <c r="D490" t="s">
        <v>121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158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158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158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158</v>
      </c>
      <c r="C494">
        <v>120</v>
      </c>
      <c r="D494" t="s">
        <v>119</v>
      </c>
      <c r="E494" t="s">
        <v>14</v>
      </c>
      <c r="F494">
        <v>1.27</v>
      </c>
      <c r="G494" t="s">
        <v>15</v>
      </c>
    </row>
    <row r="495" spans="1:7" x14ac:dyDescent="0.25">
      <c r="A495">
        <v>38</v>
      </c>
      <c r="B495" t="s">
        <v>158</v>
      </c>
      <c r="C495">
        <v>130</v>
      </c>
      <c r="D495" t="s">
        <v>276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159</v>
      </c>
      <c r="C496">
        <v>10</v>
      </c>
      <c r="D496" t="s">
        <v>277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159</v>
      </c>
      <c r="C497">
        <v>20</v>
      </c>
      <c r="D497" t="s">
        <v>116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159</v>
      </c>
      <c r="C498">
        <v>30</v>
      </c>
      <c r="D498" t="s">
        <v>199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159</v>
      </c>
      <c r="C499">
        <v>40</v>
      </c>
      <c r="D499" t="s">
        <v>118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159</v>
      </c>
      <c r="C500">
        <v>50</v>
      </c>
      <c r="D500" t="s">
        <v>109</v>
      </c>
      <c r="E500" t="s">
        <v>110</v>
      </c>
      <c r="F500">
        <v>0.52100000000000002</v>
      </c>
      <c r="G500" t="s">
        <v>15</v>
      </c>
    </row>
    <row r="501" spans="1:7" x14ac:dyDescent="0.25">
      <c r="A501">
        <v>39</v>
      </c>
      <c r="B501" t="s">
        <v>159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159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159</v>
      </c>
      <c r="C503">
        <v>80</v>
      </c>
      <c r="D503" t="s">
        <v>121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159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159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159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159</v>
      </c>
      <c r="C507">
        <v>120</v>
      </c>
      <c r="D507" t="s">
        <v>119</v>
      </c>
      <c r="E507" t="s">
        <v>14</v>
      </c>
      <c r="F507">
        <v>1.27</v>
      </c>
      <c r="G507" t="s">
        <v>15</v>
      </c>
    </row>
    <row r="508" spans="1:7" x14ac:dyDescent="0.25">
      <c r="A508">
        <v>39</v>
      </c>
      <c r="B508" t="s">
        <v>159</v>
      </c>
      <c r="C508">
        <v>130</v>
      </c>
      <c r="D508" t="s">
        <v>278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160</v>
      </c>
      <c r="C509">
        <v>10</v>
      </c>
      <c r="D509" t="s">
        <v>279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160</v>
      </c>
      <c r="C510">
        <v>20</v>
      </c>
      <c r="D510" t="s">
        <v>116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160</v>
      </c>
      <c r="C511">
        <v>30</v>
      </c>
      <c r="D511" t="s">
        <v>200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160</v>
      </c>
      <c r="C512">
        <v>40</v>
      </c>
      <c r="D512" t="s">
        <v>118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160</v>
      </c>
      <c r="C513">
        <v>50</v>
      </c>
      <c r="D513" t="s">
        <v>109</v>
      </c>
      <c r="E513" t="s">
        <v>110</v>
      </c>
      <c r="F513">
        <v>0.57099999999999995</v>
      </c>
      <c r="G513" t="s">
        <v>15</v>
      </c>
    </row>
    <row r="514" spans="1:7" x14ac:dyDescent="0.25">
      <c r="A514">
        <v>40</v>
      </c>
      <c r="B514" t="s">
        <v>160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160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160</v>
      </c>
      <c r="C516">
        <v>80</v>
      </c>
      <c r="D516" t="s">
        <v>121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160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160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160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160</v>
      </c>
      <c r="C520">
        <v>120</v>
      </c>
      <c r="D520" t="s">
        <v>119</v>
      </c>
      <c r="E520" t="s">
        <v>14</v>
      </c>
      <c r="F520">
        <v>1.27</v>
      </c>
      <c r="G520" t="s">
        <v>15</v>
      </c>
    </row>
    <row r="521" spans="1:7" x14ac:dyDescent="0.25">
      <c r="A521">
        <v>40</v>
      </c>
      <c r="B521" t="s">
        <v>160</v>
      </c>
      <c r="C521">
        <v>130</v>
      </c>
      <c r="D521" t="s">
        <v>280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281</v>
      </c>
      <c r="C522">
        <v>10</v>
      </c>
      <c r="D522" t="s">
        <v>282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281</v>
      </c>
      <c r="C523">
        <v>20</v>
      </c>
      <c r="D523" t="s">
        <v>116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281</v>
      </c>
      <c r="C524">
        <v>30</v>
      </c>
      <c r="D524" t="s">
        <v>283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281</v>
      </c>
      <c r="C525">
        <v>40</v>
      </c>
      <c r="D525" t="s">
        <v>118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281</v>
      </c>
      <c r="C526">
        <v>50</v>
      </c>
      <c r="D526" t="s">
        <v>109</v>
      </c>
      <c r="E526" t="s">
        <v>110</v>
      </c>
      <c r="F526">
        <v>0.20799999999999999</v>
      </c>
      <c r="G526" t="s">
        <v>15</v>
      </c>
    </row>
    <row r="527" spans="1:7" x14ac:dyDescent="0.25">
      <c r="A527">
        <v>41</v>
      </c>
      <c r="B527" t="s">
        <v>281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281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281</v>
      </c>
      <c r="C529">
        <v>80</v>
      </c>
      <c r="D529" t="s">
        <v>121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281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281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281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281</v>
      </c>
      <c r="C533">
        <v>120</v>
      </c>
      <c r="D533" t="s">
        <v>119</v>
      </c>
      <c r="E533" t="s">
        <v>14</v>
      </c>
      <c r="F533">
        <v>0.54</v>
      </c>
      <c r="G533" t="s">
        <v>15</v>
      </c>
    </row>
    <row r="534" spans="1:7" x14ac:dyDescent="0.25">
      <c r="A534">
        <v>41</v>
      </c>
      <c r="B534" t="s">
        <v>281</v>
      </c>
      <c r="C534">
        <v>130</v>
      </c>
      <c r="D534" t="s">
        <v>284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285</v>
      </c>
      <c r="C535">
        <v>10</v>
      </c>
      <c r="D535" t="s">
        <v>286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285</v>
      </c>
      <c r="C536">
        <v>20</v>
      </c>
      <c r="D536" t="s">
        <v>116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285</v>
      </c>
      <c r="C537">
        <v>30</v>
      </c>
      <c r="D537" t="s">
        <v>287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285</v>
      </c>
      <c r="C538">
        <v>40</v>
      </c>
      <c r="D538" t="s">
        <v>118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285</v>
      </c>
      <c r="C539">
        <v>50</v>
      </c>
      <c r="D539" t="s">
        <v>109</v>
      </c>
      <c r="E539" t="s">
        <v>110</v>
      </c>
      <c r="F539">
        <v>0.252</v>
      </c>
      <c r="G539" t="s">
        <v>15</v>
      </c>
    </row>
    <row r="540" spans="1:7" x14ac:dyDescent="0.25">
      <c r="A540">
        <v>42</v>
      </c>
      <c r="B540" t="s">
        <v>285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285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285</v>
      </c>
      <c r="C542">
        <v>80</v>
      </c>
      <c r="D542" t="s">
        <v>121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285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285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285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285</v>
      </c>
      <c r="C546">
        <v>120</v>
      </c>
      <c r="D546" t="s">
        <v>119</v>
      </c>
      <c r="E546" t="s">
        <v>14</v>
      </c>
      <c r="F546">
        <v>0.622</v>
      </c>
      <c r="G546" t="s">
        <v>15</v>
      </c>
    </row>
    <row r="547" spans="1:7" x14ac:dyDescent="0.25">
      <c r="A547">
        <v>42</v>
      </c>
      <c r="B547" t="s">
        <v>285</v>
      </c>
      <c r="C547">
        <v>130</v>
      </c>
      <c r="D547" t="s">
        <v>288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289</v>
      </c>
      <c r="C548">
        <v>10</v>
      </c>
      <c r="D548" t="s">
        <v>290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289</v>
      </c>
      <c r="C549">
        <v>20</v>
      </c>
      <c r="D549" t="s">
        <v>116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289</v>
      </c>
      <c r="C550">
        <v>30</v>
      </c>
      <c r="D550" t="s">
        <v>291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289</v>
      </c>
      <c r="C551">
        <v>40</v>
      </c>
      <c r="D551" t="s">
        <v>118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289</v>
      </c>
      <c r="C552">
        <v>50</v>
      </c>
      <c r="D552" t="s">
        <v>109</v>
      </c>
      <c r="E552" t="s">
        <v>110</v>
      </c>
      <c r="F552">
        <v>0.29499999999999998</v>
      </c>
      <c r="G552" t="s">
        <v>15</v>
      </c>
    </row>
    <row r="553" spans="1:7" x14ac:dyDescent="0.25">
      <c r="A553">
        <v>43</v>
      </c>
      <c r="B553" t="s">
        <v>289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289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289</v>
      </c>
      <c r="C555">
        <v>80</v>
      </c>
      <c r="D555" t="s">
        <v>121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289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289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289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289</v>
      </c>
      <c r="C559">
        <v>120</v>
      </c>
      <c r="D559" t="s">
        <v>119</v>
      </c>
      <c r="E559" t="s">
        <v>14</v>
      </c>
      <c r="F559">
        <v>0.70299999999999996</v>
      </c>
      <c r="G559" t="s">
        <v>15</v>
      </c>
    </row>
    <row r="560" spans="1:7" x14ac:dyDescent="0.25">
      <c r="A560">
        <v>43</v>
      </c>
      <c r="B560" t="s">
        <v>289</v>
      </c>
      <c r="C560">
        <v>130</v>
      </c>
      <c r="D560" t="s">
        <v>292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293</v>
      </c>
      <c r="C561">
        <v>10</v>
      </c>
      <c r="D561" t="s">
        <v>294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293</v>
      </c>
      <c r="C562">
        <v>20</v>
      </c>
      <c r="D562" t="s">
        <v>116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293</v>
      </c>
      <c r="C563">
        <v>30</v>
      </c>
      <c r="D563" t="s">
        <v>295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293</v>
      </c>
      <c r="C564">
        <v>40</v>
      </c>
      <c r="D564" t="s">
        <v>118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293</v>
      </c>
      <c r="C565">
        <v>50</v>
      </c>
      <c r="D565" t="s">
        <v>109</v>
      </c>
      <c r="E565" t="s">
        <v>110</v>
      </c>
      <c r="F565">
        <v>0.33800000000000002</v>
      </c>
      <c r="G565" t="s">
        <v>15</v>
      </c>
    </row>
    <row r="566" spans="1:7" x14ac:dyDescent="0.25">
      <c r="A566">
        <v>44</v>
      </c>
      <c r="B566" t="s">
        <v>293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293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293</v>
      </c>
      <c r="C568">
        <v>80</v>
      </c>
      <c r="D568" t="s">
        <v>121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293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293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293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293</v>
      </c>
      <c r="C572">
        <v>120</v>
      </c>
      <c r="D572" t="s">
        <v>119</v>
      </c>
      <c r="E572" t="s">
        <v>14</v>
      </c>
      <c r="F572">
        <v>0.78400000000000003</v>
      </c>
      <c r="G572" t="s">
        <v>15</v>
      </c>
    </row>
    <row r="573" spans="1:7" x14ac:dyDescent="0.25">
      <c r="A573">
        <v>44</v>
      </c>
      <c r="B573" t="s">
        <v>293</v>
      </c>
      <c r="C573">
        <v>130</v>
      </c>
      <c r="D573" t="s">
        <v>296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297</v>
      </c>
      <c r="C574">
        <v>10</v>
      </c>
      <c r="D574" t="s">
        <v>298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297</v>
      </c>
      <c r="C575">
        <v>20</v>
      </c>
      <c r="D575" t="s">
        <v>116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297</v>
      </c>
      <c r="C576">
        <v>30</v>
      </c>
      <c r="D576" t="s">
        <v>299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297</v>
      </c>
      <c r="C577">
        <v>40</v>
      </c>
      <c r="D577" t="s">
        <v>118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297</v>
      </c>
      <c r="C578">
        <v>50</v>
      </c>
      <c r="D578" t="s">
        <v>109</v>
      </c>
      <c r="E578" t="s">
        <v>110</v>
      </c>
      <c r="F578">
        <v>0.42399999999999999</v>
      </c>
      <c r="G578" t="s">
        <v>15</v>
      </c>
    </row>
    <row r="579" spans="1:7" x14ac:dyDescent="0.25">
      <c r="A579">
        <v>45</v>
      </c>
      <c r="B579" t="s">
        <v>297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297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297</v>
      </c>
      <c r="C581">
        <v>80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297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297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297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297</v>
      </c>
      <c r="C585">
        <v>120</v>
      </c>
      <c r="D585" t="s">
        <v>119</v>
      </c>
      <c r="E585" t="s">
        <v>14</v>
      </c>
      <c r="F585">
        <v>0.94599999999999995</v>
      </c>
      <c r="G585" t="s">
        <v>15</v>
      </c>
    </row>
    <row r="586" spans="1:7" x14ac:dyDescent="0.25">
      <c r="A586">
        <v>45</v>
      </c>
      <c r="B586" t="s">
        <v>297</v>
      </c>
      <c r="C586">
        <v>130</v>
      </c>
      <c r="D586" t="s">
        <v>300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301</v>
      </c>
      <c r="C587">
        <v>10</v>
      </c>
      <c r="D587" t="s">
        <v>302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301</v>
      </c>
      <c r="C588">
        <v>20</v>
      </c>
      <c r="D588" t="s">
        <v>116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301</v>
      </c>
      <c r="C589">
        <v>30</v>
      </c>
      <c r="D589" t="s">
        <v>303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301</v>
      </c>
      <c r="C590">
        <v>40</v>
      </c>
      <c r="D590" t="s">
        <v>118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301</v>
      </c>
      <c r="C591">
        <v>50</v>
      </c>
      <c r="D591" t="s">
        <v>109</v>
      </c>
      <c r="E591" t="s">
        <v>110</v>
      </c>
      <c r="F591">
        <v>0.46700000000000003</v>
      </c>
      <c r="G591" t="s">
        <v>15</v>
      </c>
    </row>
    <row r="592" spans="1:7" x14ac:dyDescent="0.25">
      <c r="A592">
        <v>46</v>
      </c>
      <c r="B592" t="s">
        <v>301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301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301</v>
      </c>
      <c r="C594">
        <v>80</v>
      </c>
      <c r="D594" t="s">
        <v>121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301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301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301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301</v>
      </c>
      <c r="C598">
        <v>120</v>
      </c>
      <c r="D598" t="s">
        <v>119</v>
      </c>
      <c r="E598" t="s">
        <v>14</v>
      </c>
      <c r="F598">
        <v>1.0269999999999999</v>
      </c>
      <c r="G598" t="s">
        <v>15</v>
      </c>
    </row>
    <row r="599" spans="1:7" x14ac:dyDescent="0.25">
      <c r="A599">
        <v>46</v>
      </c>
      <c r="B599" t="s">
        <v>301</v>
      </c>
      <c r="C599">
        <v>130</v>
      </c>
      <c r="D599" t="s">
        <v>304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305</v>
      </c>
      <c r="C600">
        <v>10</v>
      </c>
      <c r="D600" t="s">
        <v>306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305</v>
      </c>
      <c r="C601">
        <v>20</v>
      </c>
      <c r="D601" t="s">
        <v>116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305</v>
      </c>
      <c r="C602">
        <v>30</v>
      </c>
      <c r="D602" t="s">
        <v>307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305</v>
      </c>
      <c r="C603">
        <v>40</v>
      </c>
      <c r="D603" t="s">
        <v>118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305</v>
      </c>
      <c r="C604">
        <v>50</v>
      </c>
      <c r="D604" t="s">
        <v>109</v>
      </c>
      <c r="E604" t="s">
        <v>110</v>
      </c>
      <c r="F604">
        <v>0.51</v>
      </c>
      <c r="G604" t="s">
        <v>15</v>
      </c>
    </row>
    <row r="605" spans="1:7" x14ac:dyDescent="0.25">
      <c r="A605">
        <v>47</v>
      </c>
      <c r="B605" t="s">
        <v>305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305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305</v>
      </c>
      <c r="C607">
        <v>80</v>
      </c>
      <c r="D607" t="s">
        <v>121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305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305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305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305</v>
      </c>
      <c r="C611">
        <v>120</v>
      </c>
      <c r="D611" t="s">
        <v>119</v>
      </c>
      <c r="E611" t="s">
        <v>14</v>
      </c>
      <c r="F611">
        <v>1.1080000000000001</v>
      </c>
      <c r="G611" t="s">
        <v>15</v>
      </c>
    </row>
    <row r="612" spans="1:7" x14ac:dyDescent="0.25">
      <c r="A612">
        <v>47</v>
      </c>
      <c r="B612" t="s">
        <v>305</v>
      </c>
      <c r="C612">
        <v>130</v>
      </c>
      <c r="D612" t="s">
        <v>308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309</v>
      </c>
      <c r="C613">
        <v>10</v>
      </c>
      <c r="D613" t="s">
        <v>310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309</v>
      </c>
      <c r="C614">
        <v>20</v>
      </c>
      <c r="D614" t="s">
        <v>116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309</v>
      </c>
      <c r="C615">
        <v>30</v>
      </c>
      <c r="D615" t="s">
        <v>311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309</v>
      </c>
      <c r="C616">
        <v>40</v>
      </c>
      <c r="D616" t="s">
        <v>118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309</v>
      </c>
      <c r="C617">
        <v>50</v>
      </c>
      <c r="D617" t="s">
        <v>109</v>
      </c>
      <c r="E617" t="s">
        <v>110</v>
      </c>
      <c r="F617">
        <v>0.217</v>
      </c>
      <c r="G617" t="s">
        <v>15</v>
      </c>
    </row>
    <row r="618" spans="1:7" x14ac:dyDescent="0.25">
      <c r="A618">
        <v>48</v>
      </c>
      <c r="B618" t="s">
        <v>309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309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309</v>
      </c>
      <c r="C620">
        <v>80</v>
      </c>
      <c r="D620" t="s">
        <v>121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309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309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309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309</v>
      </c>
      <c r="C624">
        <v>120</v>
      </c>
      <c r="D624" t="s">
        <v>119</v>
      </c>
      <c r="E624" t="s">
        <v>14</v>
      </c>
      <c r="F624">
        <v>0.54</v>
      </c>
      <c r="G624" t="s">
        <v>15</v>
      </c>
    </row>
    <row r="625" spans="1:7" x14ac:dyDescent="0.25">
      <c r="A625">
        <v>48</v>
      </c>
      <c r="B625" t="s">
        <v>309</v>
      </c>
      <c r="C625">
        <v>130</v>
      </c>
      <c r="D625" t="s">
        <v>312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313</v>
      </c>
      <c r="C626">
        <v>10</v>
      </c>
      <c r="D626" t="s">
        <v>314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313</v>
      </c>
      <c r="C627">
        <v>20</v>
      </c>
      <c r="D627" t="s">
        <v>116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313</v>
      </c>
      <c r="C628">
        <v>30</v>
      </c>
      <c r="D628" t="s">
        <v>315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313</v>
      </c>
      <c r="C629">
        <v>40</v>
      </c>
      <c r="D629" t="s">
        <v>118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313</v>
      </c>
      <c r="C630">
        <v>50</v>
      </c>
      <c r="D630" t="s">
        <v>109</v>
      </c>
      <c r="E630" t="s">
        <v>110</v>
      </c>
      <c r="F630">
        <v>0.26200000000000001</v>
      </c>
      <c r="G630" t="s">
        <v>15</v>
      </c>
    </row>
    <row r="631" spans="1:7" x14ac:dyDescent="0.25">
      <c r="A631">
        <v>49</v>
      </c>
      <c r="B631" t="s">
        <v>313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313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313</v>
      </c>
      <c r="C633">
        <v>80</v>
      </c>
      <c r="D633" t="s">
        <v>121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313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313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313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313</v>
      </c>
      <c r="C637">
        <v>120</v>
      </c>
      <c r="D637" t="s">
        <v>119</v>
      </c>
      <c r="E637" t="s">
        <v>14</v>
      </c>
      <c r="F637">
        <v>0.622</v>
      </c>
      <c r="G637" t="s">
        <v>15</v>
      </c>
    </row>
    <row r="638" spans="1:7" x14ac:dyDescent="0.25">
      <c r="A638">
        <v>49</v>
      </c>
      <c r="B638" t="s">
        <v>313</v>
      </c>
      <c r="C638">
        <v>130</v>
      </c>
      <c r="D638" t="s">
        <v>316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317</v>
      </c>
      <c r="C639">
        <v>10</v>
      </c>
      <c r="D639" t="s">
        <v>318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317</v>
      </c>
      <c r="C640">
        <v>20</v>
      </c>
      <c r="D640" t="s">
        <v>116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317</v>
      </c>
      <c r="C641">
        <v>30</v>
      </c>
      <c r="D641" t="s">
        <v>319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317</v>
      </c>
      <c r="C642">
        <v>40</v>
      </c>
      <c r="D642" t="s">
        <v>118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317</v>
      </c>
      <c r="C643">
        <v>50</v>
      </c>
      <c r="D643" t="s">
        <v>109</v>
      </c>
      <c r="E643" t="s">
        <v>110</v>
      </c>
      <c r="F643">
        <v>0.307</v>
      </c>
      <c r="G643" t="s">
        <v>15</v>
      </c>
    </row>
    <row r="644" spans="1:7" x14ac:dyDescent="0.25">
      <c r="A644">
        <v>50</v>
      </c>
      <c r="B644" t="s">
        <v>317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317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317</v>
      </c>
      <c r="C646">
        <v>80</v>
      </c>
      <c r="D646" t="s">
        <v>121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317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317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317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317</v>
      </c>
      <c r="C650">
        <v>120</v>
      </c>
      <c r="D650" t="s">
        <v>119</v>
      </c>
      <c r="E650" t="s">
        <v>14</v>
      </c>
      <c r="F650">
        <v>0.70299999999999996</v>
      </c>
      <c r="G650" t="s">
        <v>15</v>
      </c>
    </row>
    <row r="651" spans="1:7" x14ac:dyDescent="0.25">
      <c r="A651">
        <v>50</v>
      </c>
      <c r="B651" t="s">
        <v>317</v>
      </c>
      <c r="C651">
        <v>130</v>
      </c>
      <c r="D651" t="s">
        <v>320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321</v>
      </c>
      <c r="C652">
        <v>10</v>
      </c>
      <c r="D652" t="s">
        <v>322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321</v>
      </c>
      <c r="C653">
        <v>20</v>
      </c>
      <c r="D653" t="s">
        <v>116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321</v>
      </c>
      <c r="C654">
        <v>30</v>
      </c>
      <c r="D654" t="s">
        <v>323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321</v>
      </c>
      <c r="C655">
        <v>40</v>
      </c>
      <c r="D655" t="s">
        <v>118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321</v>
      </c>
      <c r="C656">
        <v>50</v>
      </c>
      <c r="D656" t="s">
        <v>109</v>
      </c>
      <c r="E656" t="s">
        <v>110</v>
      </c>
      <c r="F656">
        <v>0.35199999999999998</v>
      </c>
      <c r="G656" t="s">
        <v>15</v>
      </c>
    </row>
    <row r="657" spans="1:7" x14ac:dyDescent="0.25">
      <c r="A657">
        <v>51</v>
      </c>
      <c r="B657" t="s">
        <v>321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321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321</v>
      </c>
      <c r="C659">
        <v>80</v>
      </c>
      <c r="D659" t="s">
        <v>121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321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321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321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321</v>
      </c>
      <c r="C663">
        <v>120</v>
      </c>
      <c r="D663" t="s">
        <v>119</v>
      </c>
      <c r="E663" t="s">
        <v>14</v>
      </c>
      <c r="F663">
        <v>0.78400000000000003</v>
      </c>
      <c r="G663" t="s">
        <v>15</v>
      </c>
    </row>
    <row r="664" spans="1:7" x14ac:dyDescent="0.25">
      <c r="A664">
        <v>51</v>
      </c>
      <c r="B664" t="s">
        <v>321</v>
      </c>
      <c r="C664">
        <v>130</v>
      </c>
      <c r="D664" t="s">
        <v>324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325</v>
      </c>
      <c r="C665">
        <v>10</v>
      </c>
      <c r="D665" t="s">
        <v>326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325</v>
      </c>
      <c r="C666">
        <v>20</v>
      </c>
      <c r="D666" t="s">
        <v>116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325</v>
      </c>
      <c r="C667">
        <v>30</v>
      </c>
      <c r="D667" t="s">
        <v>327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325</v>
      </c>
      <c r="C668">
        <v>40</v>
      </c>
      <c r="D668" t="s">
        <v>118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325</v>
      </c>
      <c r="C669">
        <v>50</v>
      </c>
      <c r="D669" t="s">
        <v>109</v>
      </c>
      <c r="E669" t="s">
        <v>110</v>
      </c>
      <c r="F669">
        <v>0.442</v>
      </c>
      <c r="G669" t="s">
        <v>15</v>
      </c>
    </row>
    <row r="670" spans="1:7" x14ac:dyDescent="0.25">
      <c r="A670">
        <v>52</v>
      </c>
      <c r="B670" t="s">
        <v>325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325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325</v>
      </c>
      <c r="C672">
        <v>80</v>
      </c>
      <c r="D672" t="s">
        <v>121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325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325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325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325</v>
      </c>
      <c r="C676">
        <v>120</v>
      </c>
      <c r="D676" t="s">
        <v>119</v>
      </c>
      <c r="E676" t="s">
        <v>14</v>
      </c>
      <c r="F676">
        <v>0.94599999999999995</v>
      </c>
      <c r="G676" t="s">
        <v>15</v>
      </c>
    </row>
    <row r="677" spans="1:7" x14ac:dyDescent="0.25">
      <c r="A677">
        <v>52</v>
      </c>
      <c r="B677" t="s">
        <v>325</v>
      </c>
      <c r="C677">
        <v>130</v>
      </c>
      <c r="D677" t="s">
        <v>328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329</v>
      </c>
      <c r="C678">
        <v>10</v>
      </c>
      <c r="D678" t="s">
        <v>330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329</v>
      </c>
      <c r="C679">
        <v>20</v>
      </c>
      <c r="D679" t="s">
        <v>116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329</v>
      </c>
      <c r="C680">
        <v>30</v>
      </c>
      <c r="D680" t="s">
        <v>331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329</v>
      </c>
      <c r="C681">
        <v>40</v>
      </c>
      <c r="D681" t="s">
        <v>118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329</v>
      </c>
      <c r="C682">
        <v>50</v>
      </c>
      <c r="D682" t="s">
        <v>109</v>
      </c>
      <c r="E682" t="s">
        <v>110</v>
      </c>
      <c r="F682">
        <v>0.48699999999999999</v>
      </c>
      <c r="G682" t="s">
        <v>15</v>
      </c>
    </row>
    <row r="683" spans="1:7" x14ac:dyDescent="0.25">
      <c r="A683">
        <v>53</v>
      </c>
      <c r="B683" t="s">
        <v>329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329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329</v>
      </c>
      <c r="C685">
        <v>80</v>
      </c>
      <c r="D685" t="s">
        <v>121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329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329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329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329</v>
      </c>
      <c r="C689">
        <v>120</v>
      </c>
      <c r="D689" t="s">
        <v>119</v>
      </c>
      <c r="E689" t="s">
        <v>14</v>
      </c>
      <c r="F689">
        <v>1.0269999999999999</v>
      </c>
      <c r="G689" t="s">
        <v>15</v>
      </c>
    </row>
    <row r="690" spans="1:7" x14ac:dyDescent="0.25">
      <c r="A690">
        <v>53</v>
      </c>
      <c r="B690" t="s">
        <v>329</v>
      </c>
      <c r="C690">
        <v>130</v>
      </c>
      <c r="D690" t="s">
        <v>332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333</v>
      </c>
      <c r="C691">
        <v>10</v>
      </c>
      <c r="D691" t="s">
        <v>334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333</v>
      </c>
      <c r="C692">
        <v>20</v>
      </c>
      <c r="D692" t="s">
        <v>116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333</v>
      </c>
      <c r="C693">
        <v>30</v>
      </c>
      <c r="D693" t="s">
        <v>335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333</v>
      </c>
      <c r="C694">
        <v>40</v>
      </c>
      <c r="D694" t="s">
        <v>118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333</v>
      </c>
      <c r="C695">
        <v>50</v>
      </c>
      <c r="D695" t="s">
        <v>109</v>
      </c>
      <c r="E695" t="s">
        <v>110</v>
      </c>
      <c r="F695">
        <v>0.53200000000000003</v>
      </c>
      <c r="G695" t="s">
        <v>15</v>
      </c>
    </row>
    <row r="696" spans="1:7" x14ac:dyDescent="0.25">
      <c r="A696">
        <v>54</v>
      </c>
      <c r="B696" t="s">
        <v>333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333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333</v>
      </c>
      <c r="C698">
        <v>80</v>
      </c>
      <c r="D698" t="s">
        <v>121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333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333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333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333</v>
      </c>
      <c r="C702">
        <v>120</v>
      </c>
      <c r="D702" t="s">
        <v>119</v>
      </c>
      <c r="E702" t="s">
        <v>14</v>
      </c>
      <c r="F702">
        <v>1.1080000000000001</v>
      </c>
      <c r="G702" t="s">
        <v>15</v>
      </c>
    </row>
    <row r="703" spans="1:7" x14ac:dyDescent="0.25">
      <c r="A703">
        <v>54</v>
      </c>
      <c r="B703" t="s">
        <v>333</v>
      </c>
      <c r="C703">
        <v>130</v>
      </c>
      <c r="D703" t="s">
        <v>336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337</v>
      </c>
      <c r="C704">
        <v>10</v>
      </c>
      <c r="D704" t="s">
        <v>338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337</v>
      </c>
      <c r="C705">
        <v>20</v>
      </c>
      <c r="D705" t="s">
        <v>116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337</v>
      </c>
      <c r="C706">
        <v>30</v>
      </c>
      <c r="D706" t="s">
        <v>339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337</v>
      </c>
      <c r="C707">
        <v>40</v>
      </c>
      <c r="D707" t="s">
        <v>118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337</v>
      </c>
      <c r="C708">
        <v>50</v>
      </c>
      <c r="D708" t="s">
        <v>109</v>
      </c>
      <c r="E708" t="s">
        <v>110</v>
      </c>
      <c r="F708">
        <v>0.22600000000000001</v>
      </c>
      <c r="G708" t="s">
        <v>15</v>
      </c>
    </row>
    <row r="709" spans="1:7" x14ac:dyDescent="0.25">
      <c r="A709">
        <v>55</v>
      </c>
      <c r="B709" t="s">
        <v>337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337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337</v>
      </c>
      <c r="C711">
        <v>80</v>
      </c>
      <c r="D711" t="s">
        <v>121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337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337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337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337</v>
      </c>
      <c r="C715">
        <v>120</v>
      </c>
      <c r="D715" t="s">
        <v>119</v>
      </c>
      <c r="E715" t="s">
        <v>14</v>
      </c>
      <c r="F715">
        <v>0.54</v>
      </c>
      <c r="G715" t="s">
        <v>15</v>
      </c>
    </row>
    <row r="716" spans="1:7" x14ac:dyDescent="0.25">
      <c r="A716">
        <v>55</v>
      </c>
      <c r="B716" t="s">
        <v>337</v>
      </c>
      <c r="C716">
        <v>130</v>
      </c>
      <c r="D716" t="s">
        <v>340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341</v>
      </c>
      <c r="C717">
        <v>10</v>
      </c>
      <c r="D717" t="s">
        <v>342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341</v>
      </c>
      <c r="C718">
        <v>20</v>
      </c>
      <c r="D718" t="s">
        <v>116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341</v>
      </c>
      <c r="C719">
        <v>30</v>
      </c>
      <c r="D719" t="s">
        <v>343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341</v>
      </c>
      <c r="C720">
        <v>40</v>
      </c>
      <c r="D720" t="s">
        <v>118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341</v>
      </c>
      <c r="C721">
        <v>50</v>
      </c>
      <c r="D721" t="s">
        <v>109</v>
      </c>
      <c r="E721" t="s">
        <v>110</v>
      </c>
      <c r="F721">
        <v>0.27300000000000002</v>
      </c>
      <c r="G721" t="s">
        <v>15</v>
      </c>
    </row>
    <row r="722" spans="1:7" x14ac:dyDescent="0.25">
      <c r="A722">
        <v>56</v>
      </c>
      <c r="B722" t="s">
        <v>341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341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341</v>
      </c>
      <c r="C724">
        <v>80</v>
      </c>
      <c r="D724" t="s">
        <v>121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341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341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341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341</v>
      </c>
      <c r="C728">
        <v>120</v>
      </c>
      <c r="D728" t="s">
        <v>119</v>
      </c>
      <c r="E728" t="s">
        <v>14</v>
      </c>
      <c r="F728">
        <v>0.622</v>
      </c>
      <c r="G728" t="s">
        <v>15</v>
      </c>
    </row>
    <row r="729" spans="1:7" x14ac:dyDescent="0.25">
      <c r="A729">
        <v>56</v>
      </c>
      <c r="B729" t="s">
        <v>341</v>
      </c>
      <c r="C729">
        <v>130</v>
      </c>
      <c r="D729" t="s">
        <v>344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345</v>
      </c>
      <c r="C730">
        <v>10</v>
      </c>
      <c r="D730" t="s">
        <v>346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345</v>
      </c>
      <c r="C731">
        <v>20</v>
      </c>
      <c r="D731" t="s">
        <v>116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345</v>
      </c>
      <c r="C732">
        <v>30</v>
      </c>
      <c r="D732" t="s">
        <v>347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345</v>
      </c>
      <c r="C733">
        <v>40</v>
      </c>
      <c r="D733" t="s">
        <v>118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345</v>
      </c>
      <c r="C734">
        <v>50</v>
      </c>
      <c r="D734" t="s">
        <v>109</v>
      </c>
      <c r="E734" t="s">
        <v>110</v>
      </c>
      <c r="F734">
        <v>0.32</v>
      </c>
      <c r="G734" t="s">
        <v>15</v>
      </c>
    </row>
    <row r="735" spans="1:7" x14ac:dyDescent="0.25">
      <c r="A735">
        <v>57</v>
      </c>
      <c r="B735" t="s">
        <v>345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345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345</v>
      </c>
      <c r="C737">
        <v>80</v>
      </c>
      <c r="D737" t="s">
        <v>121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345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345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345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345</v>
      </c>
      <c r="C741">
        <v>120</v>
      </c>
      <c r="D741" t="s">
        <v>119</v>
      </c>
      <c r="E741" t="s">
        <v>14</v>
      </c>
      <c r="F741">
        <v>0.70299999999999996</v>
      </c>
      <c r="G741" t="s">
        <v>15</v>
      </c>
    </row>
    <row r="742" spans="1:7" x14ac:dyDescent="0.25">
      <c r="A742">
        <v>57</v>
      </c>
      <c r="B742" t="s">
        <v>345</v>
      </c>
      <c r="C742">
        <v>130</v>
      </c>
      <c r="D742" t="s">
        <v>348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349</v>
      </c>
      <c r="C743">
        <v>10</v>
      </c>
      <c r="D743" t="s">
        <v>350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349</v>
      </c>
      <c r="C744">
        <v>20</v>
      </c>
      <c r="D744" t="s">
        <v>116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349</v>
      </c>
      <c r="C745">
        <v>30</v>
      </c>
      <c r="D745" t="s">
        <v>351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349</v>
      </c>
      <c r="C746">
        <v>40</v>
      </c>
      <c r="D746" t="s">
        <v>118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349</v>
      </c>
      <c r="C747">
        <v>50</v>
      </c>
      <c r="D747" t="s">
        <v>109</v>
      </c>
      <c r="E747" t="s">
        <v>110</v>
      </c>
      <c r="F747">
        <v>0.36599999999999999</v>
      </c>
      <c r="G747" t="s">
        <v>15</v>
      </c>
    </row>
    <row r="748" spans="1:7" x14ac:dyDescent="0.25">
      <c r="A748">
        <v>58</v>
      </c>
      <c r="B748" t="s">
        <v>349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349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349</v>
      </c>
      <c r="C750">
        <v>80</v>
      </c>
      <c r="D750" t="s">
        <v>121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349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349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349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349</v>
      </c>
      <c r="C754">
        <v>120</v>
      </c>
      <c r="D754" t="s">
        <v>119</v>
      </c>
      <c r="E754" t="s">
        <v>14</v>
      </c>
      <c r="F754">
        <v>0.78400000000000003</v>
      </c>
      <c r="G754" t="s">
        <v>15</v>
      </c>
    </row>
    <row r="755" spans="1:7" x14ac:dyDescent="0.25">
      <c r="A755">
        <v>58</v>
      </c>
      <c r="B755" t="s">
        <v>349</v>
      </c>
      <c r="C755">
        <v>130</v>
      </c>
      <c r="D755" t="s">
        <v>352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353</v>
      </c>
      <c r="C756">
        <v>10</v>
      </c>
      <c r="D756" t="s">
        <v>354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353</v>
      </c>
      <c r="C757">
        <v>20</v>
      </c>
      <c r="D757" t="s">
        <v>116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353</v>
      </c>
      <c r="C758">
        <v>30</v>
      </c>
      <c r="D758" t="s">
        <v>355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353</v>
      </c>
      <c r="C759">
        <v>40</v>
      </c>
      <c r="D759" t="s">
        <v>118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353</v>
      </c>
      <c r="C760">
        <v>50</v>
      </c>
      <c r="D760" t="s">
        <v>109</v>
      </c>
      <c r="E760" t="s">
        <v>110</v>
      </c>
      <c r="F760">
        <v>0.46</v>
      </c>
      <c r="G760" t="s">
        <v>15</v>
      </c>
    </row>
    <row r="761" spans="1:7" x14ac:dyDescent="0.25">
      <c r="A761">
        <v>59</v>
      </c>
      <c r="B761" t="s">
        <v>353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353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353</v>
      </c>
      <c r="C763">
        <v>80</v>
      </c>
      <c r="D763" t="s">
        <v>121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353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353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353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353</v>
      </c>
      <c r="C767">
        <v>120</v>
      </c>
      <c r="D767" t="s">
        <v>119</v>
      </c>
      <c r="E767" t="s">
        <v>14</v>
      </c>
      <c r="F767">
        <v>0.94599999999999995</v>
      </c>
      <c r="G767" t="s">
        <v>15</v>
      </c>
    </row>
    <row r="768" spans="1:7" x14ac:dyDescent="0.25">
      <c r="A768">
        <v>59</v>
      </c>
      <c r="B768" t="s">
        <v>353</v>
      </c>
      <c r="C768">
        <v>130</v>
      </c>
      <c r="D768" t="s">
        <v>356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357</v>
      </c>
      <c r="C769">
        <v>10</v>
      </c>
      <c r="D769" t="s">
        <v>358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357</v>
      </c>
      <c r="C770">
        <v>20</v>
      </c>
      <c r="D770" t="s">
        <v>116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357</v>
      </c>
      <c r="C771">
        <v>30</v>
      </c>
      <c r="D771" t="s">
        <v>359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357</v>
      </c>
      <c r="C772">
        <v>40</v>
      </c>
      <c r="D772" t="s">
        <v>118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357</v>
      </c>
      <c r="C773">
        <v>50</v>
      </c>
      <c r="D773" t="s">
        <v>109</v>
      </c>
      <c r="E773" t="s">
        <v>110</v>
      </c>
      <c r="F773">
        <v>0.50700000000000001</v>
      </c>
      <c r="G773" t="s">
        <v>15</v>
      </c>
    </row>
    <row r="774" spans="1:7" x14ac:dyDescent="0.25">
      <c r="A774">
        <v>60</v>
      </c>
      <c r="B774" t="s">
        <v>357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357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357</v>
      </c>
      <c r="C776">
        <v>80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357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357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357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357</v>
      </c>
      <c r="C780">
        <v>120</v>
      </c>
      <c r="D780" t="s">
        <v>119</v>
      </c>
      <c r="E780" t="s">
        <v>14</v>
      </c>
      <c r="F780">
        <v>1.0269999999999999</v>
      </c>
      <c r="G780" t="s">
        <v>15</v>
      </c>
    </row>
    <row r="781" spans="1:7" x14ac:dyDescent="0.25">
      <c r="A781">
        <v>60</v>
      </c>
      <c r="B781" t="s">
        <v>357</v>
      </c>
      <c r="C781">
        <v>130</v>
      </c>
      <c r="D781" t="s">
        <v>360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361</v>
      </c>
      <c r="C782">
        <v>10</v>
      </c>
      <c r="D782" t="s">
        <v>362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361</v>
      </c>
      <c r="C783">
        <v>20</v>
      </c>
      <c r="D783" t="s">
        <v>116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361</v>
      </c>
      <c r="C784">
        <v>30</v>
      </c>
      <c r="D784" t="s">
        <v>363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361</v>
      </c>
      <c r="C785">
        <v>40</v>
      </c>
      <c r="D785" t="s">
        <v>118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361</v>
      </c>
      <c r="C786">
        <v>50</v>
      </c>
      <c r="D786" t="s">
        <v>109</v>
      </c>
      <c r="E786" t="s">
        <v>110</v>
      </c>
      <c r="F786">
        <v>0.55400000000000005</v>
      </c>
      <c r="G786" t="s">
        <v>15</v>
      </c>
    </row>
    <row r="787" spans="1:7" x14ac:dyDescent="0.25">
      <c r="A787">
        <v>61</v>
      </c>
      <c r="B787" t="s">
        <v>361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361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361</v>
      </c>
      <c r="C789">
        <v>80</v>
      </c>
      <c r="D789" t="s">
        <v>121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361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361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361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361</v>
      </c>
      <c r="C793">
        <v>120</v>
      </c>
      <c r="D793" t="s">
        <v>119</v>
      </c>
      <c r="E793" t="s">
        <v>14</v>
      </c>
      <c r="F793">
        <v>1.1080000000000001</v>
      </c>
      <c r="G793" t="s">
        <v>15</v>
      </c>
    </row>
    <row r="794" spans="1:7" x14ac:dyDescent="0.25">
      <c r="A794">
        <v>61</v>
      </c>
      <c r="B794" t="s">
        <v>361</v>
      </c>
      <c r="C794">
        <v>130</v>
      </c>
      <c r="D794" t="s">
        <v>364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365</v>
      </c>
      <c r="C795">
        <v>10</v>
      </c>
      <c r="D795" t="s">
        <v>366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365</v>
      </c>
      <c r="C796">
        <v>20</v>
      </c>
      <c r="D796" t="s">
        <v>116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365</v>
      </c>
      <c r="C797">
        <v>30</v>
      </c>
      <c r="D797" t="s">
        <v>367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365</v>
      </c>
      <c r="C798">
        <v>40</v>
      </c>
      <c r="D798" t="s">
        <v>118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365</v>
      </c>
      <c r="C799">
        <v>50</v>
      </c>
      <c r="D799" t="s">
        <v>109</v>
      </c>
      <c r="E799" t="s">
        <v>110</v>
      </c>
      <c r="F799">
        <v>0.23200000000000001</v>
      </c>
      <c r="G799" t="s">
        <v>15</v>
      </c>
    </row>
    <row r="800" spans="1:7" x14ac:dyDescent="0.25">
      <c r="A800">
        <v>62</v>
      </c>
      <c r="B800" t="s">
        <v>365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365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365</v>
      </c>
      <c r="C802">
        <v>80</v>
      </c>
      <c r="D802" t="s">
        <v>121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365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365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365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365</v>
      </c>
      <c r="C806">
        <v>120</v>
      </c>
      <c r="D806" t="s">
        <v>119</v>
      </c>
      <c r="E806" t="s">
        <v>14</v>
      </c>
      <c r="F806">
        <v>1.216</v>
      </c>
      <c r="G806" t="s">
        <v>15</v>
      </c>
    </row>
    <row r="807" spans="1:7" x14ac:dyDescent="0.25">
      <c r="A807">
        <v>62</v>
      </c>
      <c r="B807" t="s">
        <v>365</v>
      </c>
      <c r="C807">
        <v>130</v>
      </c>
      <c r="D807" t="s">
        <v>368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369</v>
      </c>
      <c r="C808">
        <v>10</v>
      </c>
      <c r="D808" t="s">
        <v>370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369</v>
      </c>
      <c r="C809">
        <v>20</v>
      </c>
      <c r="D809" t="s">
        <v>116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369</v>
      </c>
      <c r="C810">
        <v>30</v>
      </c>
      <c r="D810" t="s">
        <v>371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369</v>
      </c>
      <c r="C811">
        <v>40</v>
      </c>
      <c r="D811" t="s">
        <v>118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369</v>
      </c>
      <c r="C812">
        <v>50</v>
      </c>
      <c r="D812" t="s">
        <v>109</v>
      </c>
      <c r="E812" t="s">
        <v>110</v>
      </c>
      <c r="F812">
        <v>0.28000000000000003</v>
      </c>
      <c r="G812" t="s">
        <v>15</v>
      </c>
    </row>
    <row r="813" spans="1:7" x14ac:dyDescent="0.25">
      <c r="A813">
        <v>63</v>
      </c>
      <c r="B813" t="s">
        <v>369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369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369</v>
      </c>
      <c r="C815">
        <v>80</v>
      </c>
      <c r="D815" t="s">
        <v>121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369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369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369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369</v>
      </c>
      <c r="C819">
        <v>120</v>
      </c>
      <c r="D819" t="s">
        <v>119</v>
      </c>
      <c r="E819" t="s">
        <v>14</v>
      </c>
      <c r="F819">
        <v>1.216</v>
      </c>
      <c r="G819" t="s">
        <v>15</v>
      </c>
    </row>
    <row r="820" spans="1:7" x14ac:dyDescent="0.25">
      <c r="A820">
        <v>63</v>
      </c>
      <c r="B820" t="s">
        <v>369</v>
      </c>
      <c r="C820">
        <v>130</v>
      </c>
      <c r="D820" t="s">
        <v>372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373</v>
      </c>
      <c r="C821">
        <v>10</v>
      </c>
      <c r="D821" t="s">
        <v>374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373</v>
      </c>
      <c r="C822">
        <v>20</v>
      </c>
      <c r="D822" t="s">
        <v>116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373</v>
      </c>
      <c r="C823">
        <v>30</v>
      </c>
      <c r="D823" t="s">
        <v>375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373</v>
      </c>
      <c r="C824">
        <v>40</v>
      </c>
      <c r="D824" t="s">
        <v>118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373</v>
      </c>
      <c r="C825">
        <v>50</v>
      </c>
      <c r="D825" t="s">
        <v>109</v>
      </c>
      <c r="E825" t="s">
        <v>110</v>
      </c>
      <c r="F825">
        <v>0.32800000000000001</v>
      </c>
      <c r="G825" t="s">
        <v>15</v>
      </c>
    </row>
    <row r="826" spans="1:7" x14ac:dyDescent="0.25">
      <c r="A826">
        <v>64</v>
      </c>
      <c r="B826" t="s">
        <v>373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373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373</v>
      </c>
      <c r="C828">
        <v>80</v>
      </c>
      <c r="D828" t="s">
        <v>121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373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373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373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373</v>
      </c>
      <c r="C832">
        <v>120</v>
      </c>
      <c r="D832" t="s">
        <v>119</v>
      </c>
      <c r="E832" t="s">
        <v>14</v>
      </c>
      <c r="F832">
        <v>1.216</v>
      </c>
      <c r="G832" t="s">
        <v>15</v>
      </c>
    </row>
    <row r="833" spans="1:7" x14ac:dyDescent="0.25">
      <c r="A833">
        <v>64</v>
      </c>
      <c r="B833" t="s">
        <v>373</v>
      </c>
      <c r="C833">
        <v>130</v>
      </c>
      <c r="D833" t="s">
        <v>376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377</v>
      </c>
      <c r="C834">
        <v>10</v>
      </c>
      <c r="D834" t="s">
        <v>378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377</v>
      </c>
      <c r="C835">
        <v>20</v>
      </c>
      <c r="D835" t="s">
        <v>116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377</v>
      </c>
      <c r="C836">
        <v>30</v>
      </c>
      <c r="D836" t="s">
        <v>379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377</v>
      </c>
      <c r="C837">
        <v>40</v>
      </c>
      <c r="D837" t="s">
        <v>118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377</v>
      </c>
      <c r="C838">
        <v>50</v>
      </c>
      <c r="D838" t="s">
        <v>109</v>
      </c>
      <c r="E838" t="s">
        <v>110</v>
      </c>
      <c r="F838">
        <v>0.376</v>
      </c>
      <c r="G838" t="s">
        <v>15</v>
      </c>
    </row>
    <row r="839" spans="1:7" x14ac:dyDescent="0.25">
      <c r="A839">
        <v>65</v>
      </c>
      <c r="B839" t="s">
        <v>377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377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377</v>
      </c>
      <c r="C841">
        <v>80</v>
      </c>
      <c r="D841" t="s">
        <v>121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377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377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377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377</v>
      </c>
      <c r="C845">
        <v>120</v>
      </c>
      <c r="D845" t="s">
        <v>119</v>
      </c>
      <c r="E845" t="s">
        <v>14</v>
      </c>
      <c r="F845">
        <v>1.216</v>
      </c>
      <c r="G845" t="s">
        <v>15</v>
      </c>
    </row>
    <row r="846" spans="1:7" x14ac:dyDescent="0.25">
      <c r="A846">
        <v>65</v>
      </c>
      <c r="B846" t="s">
        <v>377</v>
      </c>
      <c r="C846">
        <v>130</v>
      </c>
      <c r="D846" t="s">
        <v>380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381</v>
      </c>
      <c r="C847">
        <v>10</v>
      </c>
      <c r="D847" t="s">
        <v>382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381</v>
      </c>
      <c r="C848">
        <v>20</v>
      </c>
      <c r="D848" t="s">
        <v>116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381</v>
      </c>
      <c r="C849">
        <v>30</v>
      </c>
      <c r="D849" t="s">
        <v>383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381</v>
      </c>
      <c r="C850">
        <v>40</v>
      </c>
      <c r="D850" t="s">
        <v>118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381</v>
      </c>
      <c r="C851">
        <v>50</v>
      </c>
      <c r="D851" t="s">
        <v>109</v>
      </c>
      <c r="E851" t="s">
        <v>110</v>
      </c>
      <c r="F851">
        <v>0.47199999999999998</v>
      </c>
      <c r="G851" t="s">
        <v>15</v>
      </c>
    </row>
    <row r="852" spans="1:7" x14ac:dyDescent="0.25">
      <c r="A852">
        <v>66</v>
      </c>
      <c r="B852" t="s">
        <v>381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381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381</v>
      </c>
      <c r="C854">
        <v>80</v>
      </c>
      <c r="D854" t="s">
        <v>121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381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381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381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381</v>
      </c>
      <c r="C858">
        <v>120</v>
      </c>
      <c r="D858" t="s">
        <v>119</v>
      </c>
      <c r="E858" t="s">
        <v>14</v>
      </c>
      <c r="F858">
        <v>1.216</v>
      </c>
      <c r="G858" t="s">
        <v>15</v>
      </c>
    </row>
    <row r="859" spans="1:7" x14ac:dyDescent="0.25">
      <c r="A859">
        <v>66</v>
      </c>
      <c r="B859" t="s">
        <v>381</v>
      </c>
      <c r="C859">
        <v>130</v>
      </c>
      <c r="D859" t="s">
        <v>384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385</v>
      </c>
      <c r="C860">
        <v>10</v>
      </c>
      <c r="D860" t="s">
        <v>386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385</v>
      </c>
      <c r="C861">
        <v>20</v>
      </c>
      <c r="D861" t="s">
        <v>116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385</v>
      </c>
      <c r="C862">
        <v>30</v>
      </c>
      <c r="D862" t="s">
        <v>387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385</v>
      </c>
      <c r="C863">
        <v>40</v>
      </c>
      <c r="D863" t="s">
        <v>118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385</v>
      </c>
      <c r="C864">
        <v>50</v>
      </c>
      <c r="D864" t="s">
        <v>109</v>
      </c>
      <c r="E864" t="s">
        <v>110</v>
      </c>
      <c r="F864">
        <v>0.52</v>
      </c>
      <c r="G864" t="s">
        <v>15</v>
      </c>
    </row>
    <row r="865" spans="1:7" x14ac:dyDescent="0.25">
      <c r="A865">
        <v>67</v>
      </c>
      <c r="B865" t="s">
        <v>385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385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385</v>
      </c>
      <c r="C867">
        <v>80</v>
      </c>
      <c r="D867" t="s">
        <v>121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385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385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385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385</v>
      </c>
      <c r="C871">
        <v>120</v>
      </c>
      <c r="D871" t="s">
        <v>119</v>
      </c>
      <c r="E871" t="s">
        <v>14</v>
      </c>
      <c r="F871">
        <v>1.216</v>
      </c>
      <c r="G871" t="s">
        <v>15</v>
      </c>
    </row>
    <row r="872" spans="1:7" x14ac:dyDescent="0.25">
      <c r="A872">
        <v>67</v>
      </c>
      <c r="B872" t="s">
        <v>385</v>
      </c>
      <c r="C872">
        <v>130</v>
      </c>
      <c r="D872" t="s">
        <v>388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389</v>
      </c>
      <c r="C873">
        <v>10</v>
      </c>
      <c r="D873" t="s">
        <v>390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389</v>
      </c>
      <c r="C874">
        <v>20</v>
      </c>
      <c r="D874" t="s">
        <v>116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389</v>
      </c>
      <c r="C875">
        <v>30</v>
      </c>
      <c r="D875" t="s">
        <v>391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389</v>
      </c>
      <c r="C876">
        <v>40</v>
      </c>
      <c r="D876" t="s">
        <v>118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389</v>
      </c>
      <c r="C877">
        <v>50</v>
      </c>
      <c r="D877" t="s">
        <v>109</v>
      </c>
      <c r="E877" t="s">
        <v>110</v>
      </c>
      <c r="F877">
        <v>0.56799999999999995</v>
      </c>
      <c r="G877" t="s">
        <v>15</v>
      </c>
    </row>
    <row r="878" spans="1:7" x14ac:dyDescent="0.25">
      <c r="A878">
        <v>68</v>
      </c>
      <c r="B878" t="s">
        <v>389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389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389</v>
      </c>
      <c r="C880">
        <v>80</v>
      </c>
      <c r="D880" t="s">
        <v>121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389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389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389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389</v>
      </c>
      <c r="C884">
        <v>120</v>
      </c>
      <c r="D884" t="s">
        <v>119</v>
      </c>
      <c r="E884" t="s">
        <v>14</v>
      </c>
      <c r="F884">
        <v>1.216</v>
      </c>
      <c r="G884" t="s">
        <v>15</v>
      </c>
    </row>
    <row r="885" spans="1:7" x14ac:dyDescent="0.25">
      <c r="A885">
        <v>68</v>
      </c>
      <c r="B885" t="s">
        <v>389</v>
      </c>
      <c r="C885">
        <v>130</v>
      </c>
      <c r="D885" t="s">
        <v>392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393</v>
      </c>
      <c r="C886">
        <v>10</v>
      </c>
      <c r="D886" t="s">
        <v>394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393</v>
      </c>
      <c r="C887">
        <v>20</v>
      </c>
      <c r="D887" t="s">
        <v>116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393</v>
      </c>
      <c r="C888">
        <v>30</v>
      </c>
      <c r="D888" t="s">
        <v>395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393</v>
      </c>
      <c r="C889">
        <v>40</v>
      </c>
      <c r="D889" t="s">
        <v>118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393</v>
      </c>
      <c r="C890">
        <v>50</v>
      </c>
      <c r="D890" t="s">
        <v>109</v>
      </c>
      <c r="E890" t="s">
        <v>110</v>
      </c>
      <c r="F890">
        <v>0.24399999999999999</v>
      </c>
      <c r="G890" t="s">
        <v>15</v>
      </c>
    </row>
    <row r="891" spans="1:7" x14ac:dyDescent="0.25">
      <c r="A891">
        <v>69</v>
      </c>
      <c r="B891" t="s">
        <v>393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393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393</v>
      </c>
      <c r="C893">
        <v>80</v>
      </c>
      <c r="D893" t="s">
        <v>121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393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393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393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393</v>
      </c>
      <c r="C897">
        <v>120</v>
      </c>
      <c r="D897" t="s">
        <v>119</v>
      </c>
      <c r="E897" t="s">
        <v>14</v>
      </c>
      <c r="F897">
        <v>1.27</v>
      </c>
      <c r="G897" t="s">
        <v>15</v>
      </c>
    </row>
    <row r="898" spans="1:7" x14ac:dyDescent="0.25">
      <c r="A898">
        <v>69</v>
      </c>
      <c r="B898" t="s">
        <v>393</v>
      </c>
      <c r="C898">
        <v>130</v>
      </c>
      <c r="D898" t="s">
        <v>396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397</v>
      </c>
      <c r="C899">
        <v>10</v>
      </c>
      <c r="D899" t="s">
        <v>398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397</v>
      </c>
      <c r="C900">
        <v>20</v>
      </c>
      <c r="D900" t="s">
        <v>116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397</v>
      </c>
      <c r="C901">
        <v>30</v>
      </c>
      <c r="D901" t="s">
        <v>399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397</v>
      </c>
      <c r="C902">
        <v>40</v>
      </c>
      <c r="D902" t="s">
        <v>118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397</v>
      </c>
      <c r="C903">
        <v>50</v>
      </c>
      <c r="D903" t="s">
        <v>109</v>
      </c>
      <c r="E903" t="s">
        <v>110</v>
      </c>
      <c r="F903">
        <v>0.29399999999999998</v>
      </c>
      <c r="G903" t="s">
        <v>15</v>
      </c>
    </row>
    <row r="904" spans="1:7" x14ac:dyDescent="0.25">
      <c r="A904">
        <v>70</v>
      </c>
      <c r="B904" t="s">
        <v>397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397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397</v>
      </c>
      <c r="C906">
        <v>80</v>
      </c>
      <c r="D906" t="s">
        <v>121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397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397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397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397</v>
      </c>
      <c r="C910">
        <v>120</v>
      </c>
      <c r="D910" t="s">
        <v>119</v>
      </c>
      <c r="E910" t="s">
        <v>14</v>
      </c>
      <c r="F910">
        <v>1.27</v>
      </c>
      <c r="G910" t="s">
        <v>15</v>
      </c>
    </row>
    <row r="911" spans="1:7" x14ac:dyDescent="0.25">
      <c r="A911">
        <v>70</v>
      </c>
      <c r="B911" t="s">
        <v>397</v>
      </c>
      <c r="C911">
        <v>130</v>
      </c>
      <c r="D911" t="s">
        <v>400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401</v>
      </c>
      <c r="C912">
        <v>10</v>
      </c>
      <c r="D912" t="s">
        <v>402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401</v>
      </c>
      <c r="C913">
        <v>20</v>
      </c>
      <c r="D913" t="s">
        <v>116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401</v>
      </c>
      <c r="C914">
        <v>30</v>
      </c>
      <c r="D914" t="s">
        <v>403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401</v>
      </c>
      <c r="C915">
        <v>40</v>
      </c>
      <c r="D915" t="s">
        <v>118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401</v>
      </c>
      <c r="C916">
        <v>50</v>
      </c>
      <c r="D916" t="s">
        <v>109</v>
      </c>
      <c r="E916" t="s">
        <v>110</v>
      </c>
      <c r="F916">
        <v>0.34499999999999997</v>
      </c>
      <c r="G916" t="s">
        <v>15</v>
      </c>
    </row>
    <row r="917" spans="1:7" x14ac:dyDescent="0.25">
      <c r="A917">
        <v>71</v>
      </c>
      <c r="B917" t="s">
        <v>401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401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401</v>
      </c>
      <c r="C919">
        <v>80</v>
      </c>
      <c r="D919" t="s">
        <v>121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401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401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401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401</v>
      </c>
      <c r="C923">
        <v>120</v>
      </c>
      <c r="D923" t="s">
        <v>119</v>
      </c>
      <c r="E923" t="s">
        <v>14</v>
      </c>
      <c r="F923">
        <v>1.27</v>
      </c>
      <c r="G923" t="s">
        <v>15</v>
      </c>
    </row>
    <row r="924" spans="1:7" x14ac:dyDescent="0.25">
      <c r="A924">
        <v>71</v>
      </c>
      <c r="B924" t="s">
        <v>401</v>
      </c>
      <c r="C924">
        <v>130</v>
      </c>
      <c r="D924" t="s">
        <v>404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405</v>
      </c>
      <c r="C925">
        <v>10</v>
      </c>
      <c r="D925" t="s">
        <v>406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405</v>
      </c>
      <c r="C926">
        <v>20</v>
      </c>
      <c r="D926" t="s">
        <v>116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405</v>
      </c>
      <c r="C927">
        <v>30</v>
      </c>
      <c r="D927" t="s">
        <v>407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405</v>
      </c>
      <c r="C928">
        <v>40</v>
      </c>
      <c r="D928" t="s">
        <v>118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405</v>
      </c>
      <c r="C929">
        <v>50</v>
      </c>
      <c r="D929" t="s">
        <v>109</v>
      </c>
      <c r="E929" t="s">
        <v>110</v>
      </c>
      <c r="F929">
        <v>0.39500000000000002</v>
      </c>
      <c r="G929" t="s">
        <v>15</v>
      </c>
    </row>
    <row r="930" spans="1:7" x14ac:dyDescent="0.25">
      <c r="A930">
        <v>72</v>
      </c>
      <c r="B930" t="s">
        <v>405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405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405</v>
      </c>
      <c r="C932">
        <v>80</v>
      </c>
      <c r="D932" t="s">
        <v>121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405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405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405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405</v>
      </c>
      <c r="C936">
        <v>120</v>
      </c>
      <c r="D936" t="s">
        <v>119</v>
      </c>
      <c r="E936" t="s">
        <v>14</v>
      </c>
      <c r="F936">
        <v>1.27</v>
      </c>
      <c r="G936" t="s">
        <v>15</v>
      </c>
    </row>
    <row r="937" spans="1:7" x14ac:dyDescent="0.25">
      <c r="A937">
        <v>72</v>
      </c>
      <c r="B937" t="s">
        <v>405</v>
      </c>
      <c r="C937">
        <v>130</v>
      </c>
      <c r="D937" t="s">
        <v>408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409</v>
      </c>
      <c r="C938">
        <v>10</v>
      </c>
      <c r="D938" t="s">
        <v>410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409</v>
      </c>
      <c r="C939">
        <v>20</v>
      </c>
      <c r="D939" t="s">
        <v>116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409</v>
      </c>
      <c r="C940">
        <v>30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409</v>
      </c>
      <c r="C941">
        <v>40</v>
      </c>
      <c r="D941" t="s">
        <v>118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409</v>
      </c>
      <c r="C942">
        <v>50</v>
      </c>
      <c r="D942" t="s">
        <v>109</v>
      </c>
      <c r="E942" t="s">
        <v>110</v>
      </c>
      <c r="F942">
        <v>0.496</v>
      </c>
      <c r="G942" t="s">
        <v>15</v>
      </c>
    </row>
    <row r="943" spans="1:7" x14ac:dyDescent="0.25">
      <c r="A943">
        <v>73</v>
      </c>
      <c r="B943" t="s">
        <v>409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409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409</v>
      </c>
      <c r="C945">
        <v>80</v>
      </c>
      <c r="D945" t="s">
        <v>121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409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409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409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409</v>
      </c>
      <c r="C949">
        <v>120</v>
      </c>
      <c r="D949" t="s">
        <v>119</v>
      </c>
      <c r="E949" t="s">
        <v>14</v>
      </c>
      <c r="F949">
        <v>1.27</v>
      </c>
      <c r="G949" t="s">
        <v>15</v>
      </c>
    </row>
    <row r="950" spans="1:7" x14ac:dyDescent="0.25">
      <c r="A950">
        <v>73</v>
      </c>
      <c r="B950" t="s">
        <v>409</v>
      </c>
      <c r="C950">
        <v>130</v>
      </c>
      <c r="D950" t="s">
        <v>412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413</v>
      </c>
      <c r="C951">
        <v>10</v>
      </c>
      <c r="D951" t="s">
        <v>414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413</v>
      </c>
      <c r="C952">
        <v>20</v>
      </c>
      <c r="D952" t="s">
        <v>116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413</v>
      </c>
      <c r="C953">
        <v>30</v>
      </c>
      <c r="D953" t="s">
        <v>415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413</v>
      </c>
      <c r="C954">
        <v>40</v>
      </c>
      <c r="D954" t="s">
        <v>118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413</v>
      </c>
      <c r="C955">
        <v>50</v>
      </c>
      <c r="D955" t="s">
        <v>109</v>
      </c>
      <c r="E955" t="s">
        <v>110</v>
      </c>
      <c r="F955">
        <v>0.54600000000000004</v>
      </c>
      <c r="G955" t="s">
        <v>15</v>
      </c>
    </row>
    <row r="956" spans="1:7" x14ac:dyDescent="0.25">
      <c r="A956">
        <v>74</v>
      </c>
      <c r="B956" t="s">
        <v>413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413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413</v>
      </c>
      <c r="C958">
        <v>80</v>
      </c>
      <c r="D958" t="s">
        <v>121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413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413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413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413</v>
      </c>
      <c r="C962">
        <v>120</v>
      </c>
      <c r="D962" t="s">
        <v>119</v>
      </c>
      <c r="E962" t="s">
        <v>14</v>
      </c>
      <c r="F962">
        <v>1.27</v>
      </c>
      <c r="G962" t="s">
        <v>15</v>
      </c>
    </row>
    <row r="963" spans="1:7" x14ac:dyDescent="0.25">
      <c r="A963">
        <v>74</v>
      </c>
      <c r="B963" t="s">
        <v>413</v>
      </c>
      <c r="C963">
        <v>130</v>
      </c>
      <c r="D963" t="s">
        <v>416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417</v>
      </c>
      <c r="C964">
        <v>10</v>
      </c>
      <c r="D964" t="s">
        <v>418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417</v>
      </c>
      <c r="C965">
        <v>20</v>
      </c>
      <c r="D965" t="s">
        <v>116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417</v>
      </c>
      <c r="C966">
        <v>30</v>
      </c>
      <c r="D966" t="s">
        <v>419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417</v>
      </c>
      <c r="C967">
        <v>40</v>
      </c>
      <c r="D967" t="s">
        <v>118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417</v>
      </c>
      <c r="C968">
        <v>50</v>
      </c>
      <c r="D968" t="s">
        <v>109</v>
      </c>
      <c r="E968" t="s">
        <v>110</v>
      </c>
      <c r="F968">
        <v>0.59699999999999998</v>
      </c>
      <c r="G968" t="s">
        <v>15</v>
      </c>
    </row>
    <row r="969" spans="1:7" x14ac:dyDescent="0.25">
      <c r="A969">
        <v>75</v>
      </c>
      <c r="B969" t="s">
        <v>417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417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417</v>
      </c>
      <c r="C971">
        <v>80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417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417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417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417</v>
      </c>
      <c r="C975">
        <v>120</v>
      </c>
      <c r="D975" t="s">
        <v>119</v>
      </c>
      <c r="E975" t="s">
        <v>14</v>
      </c>
      <c r="F975">
        <v>1.27</v>
      </c>
      <c r="G975" t="s">
        <v>15</v>
      </c>
    </row>
    <row r="976" spans="1:7" x14ac:dyDescent="0.25">
      <c r="A976">
        <v>75</v>
      </c>
      <c r="B976" t="s">
        <v>417</v>
      </c>
      <c r="C976">
        <v>130</v>
      </c>
      <c r="D976" t="s">
        <v>420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abSelected="1" zoomScale="85" zoomScaleNormal="85" workbookViewId="0">
      <selection activeCell="AL10" sqref="AL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8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8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9" t="s">
        <v>53</v>
      </c>
      <c r="C4" s="29" t="s">
        <v>54</v>
      </c>
      <c r="D4" s="43" t="s">
        <v>55</v>
      </c>
      <c r="E4" s="29" t="s">
        <v>3</v>
      </c>
      <c r="F4" s="43" t="s">
        <v>56</v>
      </c>
      <c r="G4" s="29" t="s">
        <v>57</v>
      </c>
      <c r="H4" s="29" t="s">
        <v>6</v>
      </c>
      <c r="I4" s="29" t="s">
        <v>58</v>
      </c>
      <c r="J4" s="43" t="s">
        <v>59</v>
      </c>
      <c r="K4" s="43" t="s">
        <v>60</v>
      </c>
      <c r="L4" s="43" t="s">
        <v>61</v>
      </c>
      <c r="M4" s="30" t="s">
        <v>62</v>
      </c>
      <c r="N4" s="31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201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161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118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0.23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121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119</v>
      </c>
      <c r="O16" s="3"/>
      <c r="P16" s="3"/>
      <c r="Q16" s="3">
        <v>0.58099999999999996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202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203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116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162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0.27300000000000002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121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119</v>
      </c>
      <c r="O29" s="3"/>
      <c r="P29" s="3"/>
      <c r="Q29" s="3">
        <v>0.66200000000000003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204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205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116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163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118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0.316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121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119</v>
      </c>
      <c r="O42" s="3"/>
      <c r="P42" s="3"/>
      <c r="Q42" s="3">
        <v>0.74299999999999999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206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207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116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164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118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0.35899999999999999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121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119</v>
      </c>
      <c r="O55" s="3"/>
      <c r="P55" s="3"/>
      <c r="Q55" s="3">
        <v>0.82399999999999995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208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209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116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165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118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0.38100000000000001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121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119</v>
      </c>
      <c r="O68" s="3"/>
      <c r="P68" s="3"/>
      <c r="Q68" s="3">
        <v>0.86499999999999999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210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211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116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166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118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0.40300000000000002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121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119</v>
      </c>
      <c r="O81" s="3"/>
      <c r="P81" s="3"/>
      <c r="Q81" s="3">
        <v>0.90500000000000003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212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213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116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167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118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0.44600000000000001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121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119</v>
      </c>
      <c r="O94" s="3"/>
      <c r="P94" s="3"/>
      <c r="Q94" s="3">
        <v>0.98599999999999999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214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215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116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168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118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0.48899999999999999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121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119</v>
      </c>
      <c r="O107" s="3"/>
      <c r="P107" s="3"/>
      <c r="Q107" s="3">
        <v>1.0669999999999999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216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217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116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169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118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0.24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121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119</v>
      </c>
      <c r="O120" s="3"/>
      <c r="P120" s="3"/>
      <c r="Q120" s="3">
        <v>0.58099999999999996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218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219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116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170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118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0.28499999999999998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121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119</v>
      </c>
      <c r="O133" s="3"/>
      <c r="P133" s="3"/>
      <c r="Q133" s="3">
        <v>0.66200000000000003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220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221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116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118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0.33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121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119</v>
      </c>
      <c r="O146" s="3"/>
      <c r="P146" s="3"/>
      <c r="Q146" s="3">
        <v>0.74299999999999999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222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223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116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172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118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0.375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121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119</v>
      </c>
      <c r="O159" s="3"/>
      <c r="P159" s="3"/>
      <c r="Q159" s="3">
        <v>0.82399999999999995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224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225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116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173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118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0.39700000000000002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121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119</v>
      </c>
      <c r="O172" s="3"/>
      <c r="P172" s="3"/>
      <c r="Q172" s="3">
        <v>0.86499999999999999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226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227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134</v>
      </c>
      <c r="D175" s="3"/>
      <c r="E175" s="3" t="s">
        <v>134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116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134</v>
      </c>
      <c r="D176" s="3"/>
      <c r="E176" s="3" t="s">
        <v>134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174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134</v>
      </c>
      <c r="D177" s="3"/>
      <c r="E177" s="3" t="s">
        <v>134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118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134</v>
      </c>
      <c r="D178" s="3"/>
      <c r="E178" s="3" t="s">
        <v>134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0.42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134</v>
      </c>
      <c r="D179" s="3"/>
      <c r="E179" s="3" t="s">
        <v>134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134</v>
      </c>
      <c r="D180" s="3"/>
      <c r="E180" s="3" t="s">
        <v>134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134</v>
      </c>
      <c r="D185" s="3"/>
      <c r="E185" s="3" t="s">
        <v>134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119</v>
      </c>
      <c r="O185" s="3"/>
      <c r="P185" s="3"/>
      <c r="Q185" s="3">
        <v>0.90500000000000003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134</v>
      </c>
      <c r="D186" s="3"/>
      <c r="E186" s="3" t="s">
        <v>134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228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175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118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0.46500000000000002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119</v>
      </c>
      <c r="O198" s="3"/>
      <c r="P198" s="3"/>
      <c r="Q198" s="3">
        <v>0.98599999999999999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230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231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136</v>
      </c>
      <c r="D201" s="3"/>
      <c r="E201" s="3" t="s">
        <v>136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116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136</v>
      </c>
      <c r="D202" s="3"/>
      <c r="E202" s="3" t="s">
        <v>136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176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136</v>
      </c>
      <c r="D203" s="3"/>
      <c r="E203" s="3" t="s">
        <v>136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118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136</v>
      </c>
      <c r="D204" s="3"/>
      <c r="E204" s="3" t="s">
        <v>136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0.50900000000000001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136</v>
      </c>
      <c r="D205" s="3"/>
      <c r="E205" s="3" t="s">
        <v>136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136</v>
      </c>
      <c r="D206" s="3"/>
      <c r="E206" s="3" t="s">
        <v>136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136</v>
      </c>
      <c r="D207" s="3"/>
      <c r="E207" s="3" t="s">
        <v>136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121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136</v>
      </c>
      <c r="D208" s="3"/>
      <c r="E208" s="3" t="s">
        <v>136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136</v>
      </c>
      <c r="D209" s="3"/>
      <c r="E209" s="3" t="s">
        <v>136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136</v>
      </c>
      <c r="D210" s="3"/>
      <c r="E210" s="3" t="s">
        <v>136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136</v>
      </c>
      <c r="D211" s="3"/>
      <c r="E211" s="3" t="s">
        <v>136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119</v>
      </c>
      <c r="O211" s="3"/>
      <c r="P211" s="3"/>
      <c r="Q211" s="3">
        <v>1.0669999999999999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136</v>
      </c>
      <c r="D212" s="3"/>
      <c r="E212" s="3" t="s">
        <v>136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232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233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116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177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118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0.249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121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119</v>
      </c>
      <c r="O224" s="3"/>
      <c r="P224" s="3"/>
      <c r="Q224" s="3">
        <v>0.58099999999999996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234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138</v>
      </c>
      <c r="D226" s="3"/>
      <c r="E226" s="3" t="s">
        <v>138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235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138</v>
      </c>
      <c r="D227" s="3"/>
      <c r="E227" s="3" t="s">
        <v>138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116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138</v>
      </c>
      <c r="D228" s="3"/>
      <c r="E228" s="3" t="s">
        <v>138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178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138</v>
      </c>
      <c r="D229" s="3"/>
      <c r="E229" s="3" t="s">
        <v>138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118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138</v>
      </c>
      <c r="D230" s="3"/>
      <c r="E230" s="3" t="s">
        <v>138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0.29599999999999999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138</v>
      </c>
      <c r="D231" s="3"/>
      <c r="E231" s="3" t="s">
        <v>138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138</v>
      </c>
      <c r="D232" s="3"/>
      <c r="E232" s="3" t="s">
        <v>138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138</v>
      </c>
      <c r="D233" s="3"/>
      <c r="E233" s="3" t="s">
        <v>138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121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138</v>
      </c>
      <c r="D234" s="3"/>
      <c r="E234" s="3" t="s">
        <v>138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138</v>
      </c>
      <c r="D235" s="3"/>
      <c r="E235" s="3" t="s">
        <v>138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138</v>
      </c>
      <c r="D236" s="3"/>
      <c r="E236" s="3" t="s">
        <v>138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138</v>
      </c>
      <c r="D237" s="3"/>
      <c r="E237" s="3" t="s">
        <v>138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119</v>
      </c>
      <c r="O237" s="3"/>
      <c r="P237" s="3"/>
      <c r="Q237" s="3">
        <v>0.66200000000000003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138</v>
      </c>
      <c r="D238" s="3"/>
      <c r="E238" s="3" t="s">
        <v>138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236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237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116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179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118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139</v>
      </c>
      <c r="D243" s="3"/>
      <c r="E243" s="3" t="s">
        <v>139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0.34300000000000003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139</v>
      </c>
      <c r="D244" s="3"/>
      <c r="E244" s="3" t="s">
        <v>139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139</v>
      </c>
      <c r="D245" s="3"/>
      <c r="E245" s="3" t="s">
        <v>139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139</v>
      </c>
      <c r="D246" s="3"/>
      <c r="E246" s="3" t="s">
        <v>139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121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139</v>
      </c>
      <c r="D247" s="3"/>
      <c r="E247" s="3" t="s">
        <v>139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139</v>
      </c>
      <c r="D248" s="3"/>
      <c r="E248" s="3" t="s">
        <v>139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139</v>
      </c>
      <c r="D249" s="3"/>
      <c r="E249" s="3" t="s">
        <v>139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139</v>
      </c>
      <c r="D250" s="3"/>
      <c r="E250" s="3" t="s">
        <v>139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119</v>
      </c>
      <c r="O250" s="3"/>
      <c r="P250" s="3"/>
      <c r="Q250" s="3">
        <v>0.74299999999999999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139</v>
      </c>
      <c r="D251" s="3"/>
      <c r="E251" s="3" t="s">
        <v>139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238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140</v>
      </c>
      <c r="D252" s="3"/>
      <c r="E252" s="3" t="s">
        <v>140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239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140</v>
      </c>
      <c r="D253" s="3"/>
      <c r="E253" s="3" t="s">
        <v>140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116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140</v>
      </c>
      <c r="D254" s="3"/>
      <c r="E254" s="3" t="s">
        <v>140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180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140</v>
      </c>
      <c r="D255" s="3"/>
      <c r="E255" s="3" t="s">
        <v>140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118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140</v>
      </c>
      <c r="D256" s="3"/>
      <c r="E256" s="3" t="s">
        <v>140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0.39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140</v>
      </c>
      <c r="D257" s="3"/>
      <c r="E257" s="3" t="s">
        <v>140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140</v>
      </c>
      <c r="D258" s="3"/>
      <c r="E258" s="3" t="s">
        <v>140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140</v>
      </c>
      <c r="D259" s="3"/>
      <c r="E259" s="3" t="s">
        <v>140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121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140</v>
      </c>
      <c r="D260" s="3"/>
      <c r="E260" s="3" t="s">
        <v>140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140</v>
      </c>
      <c r="D261" s="3"/>
      <c r="E261" s="3" t="s">
        <v>140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140</v>
      </c>
      <c r="D262" s="3"/>
      <c r="E262" s="3" t="s">
        <v>140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140</v>
      </c>
      <c r="D263" s="3"/>
      <c r="E263" s="3" t="s">
        <v>140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119</v>
      </c>
      <c r="O263" s="3"/>
      <c r="P263" s="3"/>
      <c r="Q263" s="3">
        <v>0.82399999999999995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140</v>
      </c>
      <c r="D264" s="3"/>
      <c r="E264" s="3" t="s">
        <v>140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240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141</v>
      </c>
      <c r="D265" s="3"/>
      <c r="E265" s="3" t="s">
        <v>141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241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141</v>
      </c>
      <c r="D266" s="3"/>
      <c r="E266" s="3" t="s">
        <v>141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116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141</v>
      </c>
      <c r="D267" s="3"/>
      <c r="E267" s="3" t="s">
        <v>141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181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141</v>
      </c>
      <c r="D268" s="3"/>
      <c r="E268" s="3" t="s">
        <v>141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118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141</v>
      </c>
      <c r="D269" s="3"/>
      <c r="E269" s="3" t="s">
        <v>141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0.41299999999999998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141</v>
      </c>
      <c r="D270" s="3"/>
      <c r="E270" s="3" t="s">
        <v>141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141</v>
      </c>
      <c r="D271" s="3"/>
      <c r="E271" s="3" t="s">
        <v>141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141</v>
      </c>
      <c r="D272" s="3"/>
      <c r="E272" s="3" t="s">
        <v>141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121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141</v>
      </c>
      <c r="D273" s="3"/>
      <c r="E273" s="3" t="s">
        <v>141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141</v>
      </c>
      <c r="D274" s="3"/>
      <c r="E274" s="3" t="s">
        <v>141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141</v>
      </c>
      <c r="D275" s="3"/>
      <c r="E275" s="3" t="s">
        <v>141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141</v>
      </c>
      <c r="D276" s="3"/>
      <c r="E276" s="3" t="s">
        <v>141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119</v>
      </c>
      <c r="O276" s="3"/>
      <c r="P276" s="3"/>
      <c r="Q276" s="3">
        <v>0.86499999999999999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141</v>
      </c>
      <c r="D277" s="3"/>
      <c r="E277" s="3" t="s">
        <v>141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242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142</v>
      </c>
      <c r="D278" s="3"/>
      <c r="E278" s="3" t="s">
        <v>142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243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142</v>
      </c>
      <c r="D279" s="3"/>
      <c r="E279" s="3" t="s">
        <v>142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116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142</v>
      </c>
      <c r="D280" s="3"/>
      <c r="E280" s="3" t="s">
        <v>142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182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142</v>
      </c>
      <c r="D281" s="3"/>
      <c r="E281" s="3" t="s">
        <v>142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118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142</v>
      </c>
      <c r="D282" s="3"/>
      <c r="E282" s="3" t="s">
        <v>142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0.437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142</v>
      </c>
      <c r="D283" s="3"/>
      <c r="E283" s="3" t="s">
        <v>142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142</v>
      </c>
      <c r="D284" s="3"/>
      <c r="E284" s="3" t="s">
        <v>142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142</v>
      </c>
      <c r="D285" s="3"/>
      <c r="E285" s="3" t="s">
        <v>142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121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142</v>
      </c>
      <c r="D286" s="3"/>
      <c r="E286" s="3" t="s">
        <v>142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142</v>
      </c>
      <c r="D287" s="3"/>
      <c r="E287" s="3" t="s">
        <v>142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142</v>
      </c>
      <c r="D288" s="3"/>
      <c r="E288" s="3" t="s">
        <v>142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142</v>
      </c>
      <c r="D289" s="3"/>
      <c r="E289" s="3" t="s">
        <v>142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119</v>
      </c>
      <c r="O289" s="3"/>
      <c r="P289" s="3"/>
      <c r="Q289" s="3">
        <v>0.90500000000000003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142</v>
      </c>
      <c r="D290" s="3"/>
      <c r="E290" s="3" t="s">
        <v>142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244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245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116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183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118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0.48299999999999998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121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143</v>
      </c>
      <c r="D299" s="3"/>
      <c r="E299" s="3" t="s">
        <v>143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143</v>
      </c>
      <c r="D300" s="3"/>
      <c r="E300" s="3" t="s">
        <v>143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143</v>
      </c>
      <c r="D301" s="3"/>
      <c r="E301" s="3" t="s">
        <v>143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143</v>
      </c>
      <c r="D302" s="3"/>
      <c r="E302" s="3" t="s">
        <v>143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119</v>
      </c>
      <c r="O302" s="3"/>
      <c r="P302" s="3"/>
      <c r="Q302" s="3">
        <v>0.98599999999999999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143</v>
      </c>
      <c r="D303" s="3"/>
      <c r="E303" s="3" t="s">
        <v>143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246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144</v>
      </c>
      <c r="D304" s="3"/>
      <c r="E304" s="3" t="s">
        <v>144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247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144</v>
      </c>
      <c r="D305" s="3"/>
      <c r="E305" s="3" t="s">
        <v>144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116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144</v>
      </c>
      <c r="D306" s="3"/>
      <c r="E306" s="3" t="s">
        <v>144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184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144</v>
      </c>
      <c r="D307" s="3"/>
      <c r="E307" s="3" t="s">
        <v>144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118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144</v>
      </c>
      <c r="D308" s="3"/>
      <c r="E308" s="3" t="s">
        <v>144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0.53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144</v>
      </c>
      <c r="D309" s="3"/>
      <c r="E309" s="3" t="s">
        <v>144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144</v>
      </c>
      <c r="D310" s="3"/>
      <c r="E310" s="3" t="s">
        <v>144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144</v>
      </c>
      <c r="D311" s="3"/>
      <c r="E311" s="3" t="s">
        <v>144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121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144</v>
      </c>
      <c r="D312" s="3"/>
      <c r="E312" s="3" t="s">
        <v>144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144</v>
      </c>
      <c r="D313" s="3"/>
      <c r="E313" s="3" t="s">
        <v>144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144</v>
      </c>
      <c r="D314" s="3"/>
      <c r="E314" s="3" t="s">
        <v>144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144</v>
      </c>
      <c r="D315" s="3"/>
      <c r="E315" s="3" t="s">
        <v>144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119</v>
      </c>
      <c r="O315" s="3"/>
      <c r="P315" s="3"/>
      <c r="Q315" s="3">
        <v>1.0669999999999999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144</v>
      </c>
      <c r="D316" s="3"/>
      <c r="E316" s="3" t="s">
        <v>144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248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249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116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185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118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0.25600000000000001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121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145</v>
      </c>
      <c r="D327" s="3"/>
      <c r="E327" s="3" t="s">
        <v>145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145</v>
      </c>
      <c r="D328" s="3"/>
      <c r="E328" s="3" t="s">
        <v>145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119</v>
      </c>
      <c r="O328" s="3"/>
      <c r="P328" s="3"/>
      <c r="Q328" s="3">
        <v>1.216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145</v>
      </c>
      <c r="D329" s="3"/>
      <c r="E329" s="3" t="s">
        <v>145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250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146</v>
      </c>
      <c r="D330" s="3"/>
      <c r="E330" s="3" t="s">
        <v>146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251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146</v>
      </c>
      <c r="D331" s="3"/>
      <c r="E331" s="3" t="s">
        <v>146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116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146</v>
      </c>
      <c r="D332" s="3"/>
      <c r="E332" s="3" t="s">
        <v>146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186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146</v>
      </c>
      <c r="D333" s="3"/>
      <c r="E333" s="3" t="s">
        <v>146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118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146</v>
      </c>
      <c r="D334" s="3"/>
      <c r="E334" s="3" t="s">
        <v>146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0.30399999999999999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146</v>
      </c>
      <c r="D335" s="3"/>
      <c r="E335" s="3" t="s">
        <v>146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146</v>
      </c>
      <c r="D336" s="3"/>
      <c r="E336" s="3" t="s">
        <v>146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146</v>
      </c>
      <c r="D337" s="3"/>
      <c r="E337" s="3" t="s">
        <v>146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121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146</v>
      </c>
      <c r="D338" s="3"/>
      <c r="E338" s="3" t="s">
        <v>146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146</v>
      </c>
      <c r="D339" s="3"/>
      <c r="E339" s="3" t="s">
        <v>146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146</v>
      </c>
      <c r="D340" s="3"/>
      <c r="E340" s="3" t="s">
        <v>146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146</v>
      </c>
      <c r="D341" s="3"/>
      <c r="E341" s="3" t="s">
        <v>146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119</v>
      </c>
      <c r="O341" s="3"/>
      <c r="P341" s="3"/>
      <c r="Q341" s="3">
        <v>1.216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146</v>
      </c>
      <c r="D342" s="3"/>
      <c r="E342" s="3" t="s">
        <v>146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252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253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116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187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118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147</v>
      </c>
      <c r="D347" s="3"/>
      <c r="E347" s="3" t="s">
        <v>147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0.35199999999999998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147</v>
      </c>
      <c r="D348" s="3"/>
      <c r="E348" s="3" t="s">
        <v>147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147</v>
      </c>
      <c r="D349" s="3"/>
      <c r="E349" s="3" t="s">
        <v>147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147</v>
      </c>
      <c r="D350" s="3"/>
      <c r="E350" s="3" t="s">
        <v>147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121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147</v>
      </c>
      <c r="D351" s="3"/>
      <c r="E351" s="3" t="s">
        <v>147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147</v>
      </c>
      <c r="D352" s="3"/>
      <c r="E352" s="3" t="s">
        <v>147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147</v>
      </c>
      <c r="D353" s="3"/>
      <c r="E353" s="3" t="s">
        <v>147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147</v>
      </c>
      <c r="D354" s="3"/>
      <c r="E354" s="3" t="s">
        <v>147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119</v>
      </c>
      <c r="O354" s="3"/>
      <c r="P354" s="3"/>
      <c r="Q354" s="3">
        <v>1.216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147</v>
      </c>
      <c r="D355" s="3"/>
      <c r="E355" s="3" t="s">
        <v>147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254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148</v>
      </c>
      <c r="D356" s="3"/>
      <c r="E356" s="3" t="s">
        <v>148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255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148</v>
      </c>
      <c r="D357" s="3"/>
      <c r="E357" s="3" t="s">
        <v>148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116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148</v>
      </c>
      <c r="D358" s="3"/>
      <c r="E358" s="3" t="s">
        <v>148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188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148</v>
      </c>
      <c r="D359" s="3"/>
      <c r="E359" s="3" t="s">
        <v>148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118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148</v>
      </c>
      <c r="D360" s="3"/>
      <c r="E360" s="3" t="s">
        <v>148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0.4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148</v>
      </c>
      <c r="D361" s="3"/>
      <c r="E361" s="3" t="s">
        <v>148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148</v>
      </c>
      <c r="D362" s="3"/>
      <c r="E362" s="3" t="s">
        <v>148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148</v>
      </c>
      <c r="D363" s="3"/>
      <c r="E363" s="3" t="s">
        <v>148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148</v>
      </c>
      <c r="D364" s="3"/>
      <c r="E364" s="3" t="s">
        <v>148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148</v>
      </c>
      <c r="D365" s="3"/>
      <c r="E365" s="3" t="s">
        <v>148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119</v>
      </c>
      <c r="O367" s="3"/>
      <c r="P367" s="3"/>
      <c r="Q367" s="3">
        <v>1.216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256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149</v>
      </c>
      <c r="D369" s="3"/>
      <c r="E369" s="3" t="s">
        <v>149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257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149</v>
      </c>
      <c r="D370" s="3"/>
      <c r="E370" s="3" t="s">
        <v>149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149</v>
      </c>
      <c r="D371" s="3"/>
      <c r="E371" s="3" t="s">
        <v>149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189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149</v>
      </c>
      <c r="D372" s="3"/>
      <c r="E372" s="3" t="s">
        <v>149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118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149</v>
      </c>
      <c r="D373" s="3"/>
      <c r="E373" s="3" t="s">
        <v>149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0.42399999999999999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149</v>
      </c>
      <c r="D374" s="3"/>
      <c r="E374" s="3" t="s">
        <v>149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149</v>
      </c>
      <c r="D375" s="3"/>
      <c r="E375" s="3" t="s">
        <v>149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149</v>
      </c>
      <c r="D376" s="3"/>
      <c r="E376" s="3" t="s">
        <v>149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121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149</v>
      </c>
      <c r="D377" s="3"/>
      <c r="E377" s="3" t="s">
        <v>149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149</v>
      </c>
      <c r="D378" s="3"/>
      <c r="E378" s="3" t="s">
        <v>149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149</v>
      </c>
      <c r="D379" s="3"/>
      <c r="E379" s="3" t="s">
        <v>149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149</v>
      </c>
      <c r="D380" s="3"/>
      <c r="E380" s="3" t="s">
        <v>149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119</v>
      </c>
      <c r="O380" s="3"/>
      <c r="P380" s="3"/>
      <c r="Q380" s="3">
        <v>1.216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149</v>
      </c>
      <c r="D381" s="3"/>
      <c r="E381" s="3" t="s">
        <v>149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258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150</v>
      </c>
      <c r="D382" s="3"/>
      <c r="E382" s="3" t="s">
        <v>150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259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150</v>
      </c>
      <c r="D383" s="3"/>
      <c r="E383" s="3" t="s">
        <v>150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116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150</v>
      </c>
      <c r="D384" s="3"/>
      <c r="E384" s="3" t="s">
        <v>150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190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0.44800000000000001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119</v>
      </c>
      <c r="O393" s="3"/>
      <c r="P393" s="3"/>
      <c r="Q393" s="3">
        <v>1.216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260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151</v>
      </c>
      <c r="D395" s="3"/>
      <c r="E395" s="3" t="s">
        <v>151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261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151</v>
      </c>
      <c r="D396" s="3"/>
      <c r="E396" s="3" t="s">
        <v>151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116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151</v>
      </c>
      <c r="D397" s="3"/>
      <c r="E397" s="3" t="s">
        <v>151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191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151</v>
      </c>
      <c r="D398" s="3"/>
      <c r="E398" s="3" t="s">
        <v>151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118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151</v>
      </c>
      <c r="D399" s="3"/>
      <c r="E399" s="3" t="s">
        <v>151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0.496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151</v>
      </c>
      <c r="D400" s="3"/>
      <c r="E400" s="3" t="s">
        <v>151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151</v>
      </c>
      <c r="D401" s="3"/>
      <c r="E401" s="3" t="s">
        <v>151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151</v>
      </c>
      <c r="D402" s="3"/>
      <c r="E402" s="3" t="s">
        <v>151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121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151</v>
      </c>
      <c r="D403" s="3"/>
      <c r="E403" s="3" t="s">
        <v>151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151</v>
      </c>
      <c r="D404" s="3"/>
      <c r="E404" s="3" t="s">
        <v>151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151</v>
      </c>
      <c r="D405" s="3"/>
      <c r="E405" s="3" t="s">
        <v>151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151</v>
      </c>
      <c r="D406" s="3"/>
      <c r="E406" s="3" t="s">
        <v>151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119</v>
      </c>
      <c r="O406" s="3"/>
      <c r="P406" s="3"/>
      <c r="Q406" s="3">
        <v>1.216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151</v>
      </c>
      <c r="D407" s="3"/>
      <c r="E407" s="3" t="s">
        <v>151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262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152</v>
      </c>
      <c r="D408" s="3"/>
      <c r="E408" s="3" t="s">
        <v>152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263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152</v>
      </c>
      <c r="D409" s="3"/>
      <c r="E409" s="3" t="s">
        <v>152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116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152</v>
      </c>
      <c r="D410" s="3"/>
      <c r="E410" s="3" t="s">
        <v>152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192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118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0.54400000000000004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121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119</v>
      </c>
      <c r="O419" s="3"/>
      <c r="P419" s="3"/>
      <c r="Q419" s="3">
        <v>1.216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264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153</v>
      </c>
      <c r="D421" s="3"/>
      <c r="E421" s="3" t="s">
        <v>153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265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153</v>
      </c>
      <c r="D422" s="3"/>
      <c r="E422" s="3" t="s">
        <v>153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116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153</v>
      </c>
      <c r="D423" s="3"/>
      <c r="E423" s="3" t="s">
        <v>153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193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153</v>
      </c>
      <c r="D424" s="3"/>
      <c r="E424" s="3" t="s">
        <v>153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118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153</v>
      </c>
      <c r="D425" s="3"/>
      <c r="E425" s="3" t="s">
        <v>153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0.26900000000000002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153</v>
      </c>
      <c r="D426" s="3"/>
      <c r="E426" s="3" t="s">
        <v>153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153</v>
      </c>
      <c r="D427" s="3"/>
      <c r="E427" s="3" t="s">
        <v>153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153</v>
      </c>
      <c r="D428" s="3"/>
      <c r="E428" s="3" t="s">
        <v>153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121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153</v>
      </c>
      <c r="D429" s="3"/>
      <c r="E429" s="3" t="s">
        <v>153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153</v>
      </c>
      <c r="D430" s="3"/>
      <c r="E430" s="3" t="s">
        <v>153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153</v>
      </c>
      <c r="D431" s="3"/>
      <c r="E431" s="3" t="s">
        <v>153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153</v>
      </c>
      <c r="D432" s="3"/>
      <c r="E432" s="3" t="s">
        <v>153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119</v>
      </c>
      <c r="O432" s="3"/>
      <c r="P432" s="3"/>
      <c r="Q432" s="3">
        <v>1.27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153</v>
      </c>
      <c r="D433" s="3"/>
      <c r="E433" s="3" t="s">
        <v>153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266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154</v>
      </c>
      <c r="D434" s="3"/>
      <c r="E434" s="3" t="s">
        <v>154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267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154</v>
      </c>
      <c r="D435" s="3"/>
      <c r="E435" s="3" t="s">
        <v>154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116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154</v>
      </c>
      <c r="D436" s="3"/>
      <c r="E436" s="3" t="s">
        <v>154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194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154</v>
      </c>
      <c r="D437" s="3"/>
      <c r="E437" s="3" t="s">
        <v>154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118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154</v>
      </c>
      <c r="D438" s="3"/>
      <c r="E438" s="3" t="s">
        <v>154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0.31900000000000001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121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154</v>
      </c>
      <c r="D442" s="3"/>
      <c r="E442" s="3" t="s">
        <v>154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154</v>
      </c>
      <c r="D443" s="3"/>
      <c r="E443" s="3" t="s">
        <v>154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154</v>
      </c>
      <c r="D444" s="3"/>
      <c r="E444" s="3" t="s">
        <v>154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154</v>
      </c>
      <c r="D445" s="3"/>
      <c r="E445" s="3" t="s">
        <v>154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119</v>
      </c>
      <c r="O445" s="3"/>
      <c r="P445" s="3"/>
      <c r="Q445" s="3">
        <v>1.27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154</v>
      </c>
      <c r="D446" s="3"/>
      <c r="E446" s="3" t="s">
        <v>154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268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155</v>
      </c>
      <c r="D447" s="3"/>
      <c r="E447" s="3" t="s">
        <v>155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269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155</v>
      </c>
      <c r="D448" s="3"/>
      <c r="E448" s="3" t="s">
        <v>155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116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155</v>
      </c>
      <c r="D449" s="3"/>
      <c r="E449" s="3" t="s">
        <v>155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195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155</v>
      </c>
      <c r="D450" s="3"/>
      <c r="E450" s="3" t="s">
        <v>155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118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155</v>
      </c>
      <c r="D451" s="3"/>
      <c r="E451" s="3" t="s">
        <v>155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0.37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155</v>
      </c>
      <c r="D452" s="3"/>
      <c r="E452" s="3" t="s">
        <v>155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155</v>
      </c>
      <c r="D453" s="3"/>
      <c r="E453" s="3" t="s">
        <v>155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155</v>
      </c>
      <c r="D454" s="3"/>
      <c r="E454" s="3" t="s">
        <v>155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121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155</v>
      </c>
      <c r="D455" s="3"/>
      <c r="E455" s="3" t="s">
        <v>155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155</v>
      </c>
      <c r="D456" s="3"/>
      <c r="E456" s="3" t="s">
        <v>155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155</v>
      </c>
      <c r="D457" s="3"/>
      <c r="E457" s="3" t="s">
        <v>155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155</v>
      </c>
      <c r="D458" s="3"/>
      <c r="E458" s="3" t="s">
        <v>155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119</v>
      </c>
      <c r="O458" s="3"/>
      <c r="P458" s="3"/>
      <c r="Q458" s="3">
        <v>1.27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155</v>
      </c>
      <c r="D459" s="3"/>
      <c r="E459" s="3" t="s">
        <v>155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270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156</v>
      </c>
      <c r="D460" s="3"/>
      <c r="E460" s="3" t="s">
        <v>156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271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156</v>
      </c>
      <c r="D461" s="3"/>
      <c r="E461" s="3" t="s">
        <v>156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116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156</v>
      </c>
      <c r="D462" s="3"/>
      <c r="E462" s="3" t="s">
        <v>156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196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156</v>
      </c>
      <c r="D463" s="3"/>
      <c r="E463" s="3" t="s">
        <v>156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118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156</v>
      </c>
      <c r="D464" s="3"/>
      <c r="E464" s="3" t="s">
        <v>156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0.42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156</v>
      </c>
      <c r="D465" s="3"/>
      <c r="E465" s="3" t="s">
        <v>156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156</v>
      </c>
      <c r="D466" s="3"/>
      <c r="E466" s="3" t="s">
        <v>156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156</v>
      </c>
      <c r="D467" s="3"/>
      <c r="E467" s="3" t="s">
        <v>156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121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156</v>
      </c>
      <c r="D468" s="3"/>
      <c r="E468" s="3" t="s">
        <v>156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156</v>
      </c>
      <c r="D469" s="3"/>
      <c r="E469" s="3" t="s">
        <v>156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156</v>
      </c>
      <c r="D470" s="3"/>
      <c r="E470" s="3" t="s">
        <v>156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156</v>
      </c>
      <c r="D471" s="3"/>
      <c r="E471" s="3" t="s">
        <v>156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119</v>
      </c>
      <c r="O471" s="3"/>
      <c r="P471" s="3"/>
      <c r="Q471" s="3">
        <v>1.27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156</v>
      </c>
      <c r="D472" s="3"/>
      <c r="E472" s="3" t="s">
        <v>156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272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157</v>
      </c>
      <c r="D473" s="3"/>
      <c r="E473" s="3" t="s">
        <v>157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273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157</v>
      </c>
      <c r="D474" s="3"/>
      <c r="E474" s="3" t="s">
        <v>157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116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157</v>
      </c>
      <c r="D475" s="3"/>
      <c r="E475" s="3" t="s">
        <v>157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197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157</v>
      </c>
      <c r="D476" s="3"/>
      <c r="E476" s="3" t="s">
        <v>157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118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157</v>
      </c>
      <c r="D477" s="3"/>
      <c r="E477" s="3" t="s">
        <v>157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0.44500000000000001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157</v>
      </c>
      <c r="D478" s="3"/>
      <c r="E478" s="3" t="s">
        <v>157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157</v>
      </c>
      <c r="D479" s="3"/>
      <c r="E479" s="3" t="s">
        <v>157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157</v>
      </c>
      <c r="D480" s="3"/>
      <c r="E480" s="3" t="s">
        <v>157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121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157</v>
      </c>
      <c r="D481" s="3"/>
      <c r="E481" s="3" t="s">
        <v>157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157</v>
      </c>
      <c r="D482" s="3"/>
      <c r="E482" s="3" t="s">
        <v>157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157</v>
      </c>
      <c r="D483" s="3"/>
      <c r="E483" s="3" t="s">
        <v>157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157</v>
      </c>
      <c r="D484" s="3"/>
      <c r="E484" s="3" t="s">
        <v>157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119</v>
      </c>
      <c r="O484" s="3"/>
      <c r="P484" s="3"/>
      <c r="Q484" s="3">
        <v>1.27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157</v>
      </c>
      <c r="D485" s="3"/>
      <c r="E485" s="3" t="s">
        <v>157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274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158</v>
      </c>
      <c r="D486" s="3"/>
      <c r="E486" s="3" t="s">
        <v>158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275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158</v>
      </c>
      <c r="D487" s="3"/>
      <c r="E487" s="3" t="s">
        <v>158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116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158</v>
      </c>
      <c r="D488" s="3"/>
      <c r="E488" s="3" t="s">
        <v>158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198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158</v>
      </c>
      <c r="D489" s="3"/>
      <c r="E489" s="3" t="s">
        <v>158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118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158</v>
      </c>
      <c r="D490" s="3"/>
      <c r="E490" s="3" t="s">
        <v>158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0.47099999999999997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158</v>
      </c>
      <c r="D491" s="3"/>
      <c r="E491" s="3" t="s">
        <v>158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158</v>
      </c>
      <c r="D492" s="3"/>
      <c r="E492" s="3" t="s">
        <v>158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158</v>
      </c>
      <c r="D493" s="3"/>
      <c r="E493" s="3" t="s">
        <v>158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121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158</v>
      </c>
      <c r="D494" s="3"/>
      <c r="E494" s="3" t="s">
        <v>158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158</v>
      </c>
      <c r="D495" s="3"/>
      <c r="E495" s="3" t="s">
        <v>158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158</v>
      </c>
      <c r="D496" s="3"/>
      <c r="E496" s="3" t="s">
        <v>158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158</v>
      </c>
      <c r="D497" s="3"/>
      <c r="E497" s="3" t="s">
        <v>158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119</v>
      </c>
      <c r="O497" s="3"/>
      <c r="P497" s="3"/>
      <c r="Q497" s="3">
        <v>1.27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158</v>
      </c>
      <c r="D498" s="3"/>
      <c r="E498" s="3" t="s">
        <v>158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276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159</v>
      </c>
      <c r="D499" s="3"/>
      <c r="E499" s="3" t="s">
        <v>159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277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159</v>
      </c>
      <c r="D500" s="3"/>
      <c r="E500" s="3" t="s">
        <v>159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116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159</v>
      </c>
      <c r="D501" s="3"/>
      <c r="E501" s="3" t="s">
        <v>159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199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159</v>
      </c>
      <c r="D502" s="3"/>
      <c r="E502" s="3" t="s">
        <v>159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118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159</v>
      </c>
      <c r="D503" s="3"/>
      <c r="E503" s="3" t="s">
        <v>159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0.52100000000000002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159</v>
      </c>
      <c r="D504" s="3"/>
      <c r="E504" s="3" t="s">
        <v>159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159</v>
      </c>
      <c r="D505" s="3"/>
      <c r="E505" s="3" t="s">
        <v>159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159</v>
      </c>
      <c r="D506" s="3"/>
      <c r="E506" s="3" t="s">
        <v>159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121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159</v>
      </c>
      <c r="D507" s="3"/>
      <c r="E507" s="3" t="s">
        <v>159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159</v>
      </c>
      <c r="D508" s="3"/>
      <c r="E508" s="3" t="s">
        <v>159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159</v>
      </c>
      <c r="D509" s="3"/>
      <c r="E509" s="3" t="s">
        <v>159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159</v>
      </c>
      <c r="D510" s="3"/>
      <c r="E510" s="3" t="s">
        <v>159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119</v>
      </c>
      <c r="O510" s="3"/>
      <c r="P510" s="3"/>
      <c r="Q510" s="3">
        <v>1.27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159</v>
      </c>
      <c r="D511" s="3"/>
      <c r="E511" s="3" t="s">
        <v>159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278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160</v>
      </c>
      <c r="D512" s="3"/>
      <c r="E512" s="3" t="s">
        <v>160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279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160</v>
      </c>
      <c r="D513" s="3"/>
      <c r="E513" s="3" t="s">
        <v>160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116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160</v>
      </c>
      <c r="D514" s="3"/>
      <c r="E514" s="3" t="s">
        <v>160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200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160</v>
      </c>
      <c r="D515" s="3"/>
      <c r="E515" s="3" t="s">
        <v>160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118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160</v>
      </c>
      <c r="D516" s="3"/>
      <c r="E516" s="3" t="s">
        <v>160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0.57099999999999995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160</v>
      </c>
      <c r="D517" s="3"/>
      <c r="E517" s="3" t="s">
        <v>160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160</v>
      </c>
      <c r="D518" s="3"/>
      <c r="E518" s="3" t="s">
        <v>160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160</v>
      </c>
      <c r="D519" s="3"/>
      <c r="E519" s="3" t="s">
        <v>160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121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160</v>
      </c>
      <c r="D520" s="3"/>
      <c r="E520" s="3" t="s">
        <v>160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160</v>
      </c>
      <c r="D521" s="3"/>
      <c r="E521" s="3" t="s">
        <v>160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160</v>
      </c>
      <c r="D522" s="3"/>
      <c r="E522" s="3" t="s">
        <v>160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160</v>
      </c>
      <c r="D523" s="3"/>
      <c r="E523" s="3" t="s">
        <v>160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119</v>
      </c>
      <c r="O523" s="3"/>
      <c r="P523" s="3"/>
      <c r="Q523" s="3">
        <v>1.27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160</v>
      </c>
      <c r="D524" s="3"/>
      <c r="E524" s="3" t="s">
        <v>160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280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281</v>
      </c>
      <c r="D525" s="3"/>
      <c r="E525" s="3" t="s">
        <v>281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282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281</v>
      </c>
      <c r="D526" s="3"/>
      <c r="E526" s="3" t="s">
        <v>281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116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281</v>
      </c>
      <c r="D527" s="3"/>
      <c r="E527" s="3" t="s">
        <v>281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283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281</v>
      </c>
      <c r="D528" s="3"/>
      <c r="E528" s="3" t="s">
        <v>281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118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281</v>
      </c>
      <c r="D529" s="3"/>
      <c r="E529" s="3" t="s">
        <v>281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0.20799999999999999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281</v>
      </c>
      <c r="D530" s="3"/>
      <c r="E530" s="3" t="s">
        <v>281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281</v>
      </c>
      <c r="D531" s="3"/>
      <c r="E531" s="3" t="s">
        <v>281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281</v>
      </c>
      <c r="D532" s="3"/>
      <c r="E532" s="3" t="s">
        <v>281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121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281</v>
      </c>
      <c r="D533" s="3"/>
      <c r="E533" s="3" t="s">
        <v>281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281</v>
      </c>
      <c r="D534" s="3"/>
      <c r="E534" s="3" t="s">
        <v>281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281</v>
      </c>
      <c r="D535" s="3"/>
      <c r="E535" s="3" t="s">
        <v>281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281</v>
      </c>
      <c r="D536" s="3"/>
      <c r="E536" s="3" t="s">
        <v>281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119</v>
      </c>
      <c r="O536" s="3"/>
      <c r="P536" s="3"/>
      <c r="Q536" s="3">
        <v>0.54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281</v>
      </c>
      <c r="D537" s="3"/>
      <c r="E537" s="3" t="s">
        <v>281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284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285</v>
      </c>
      <c r="D538" s="3"/>
      <c r="E538" s="3" t="s">
        <v>285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286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285</v>
      </c>
      <c r="D539" s="3"/>
      <c r="E539" s="3" t="s">
        <v>285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116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285</v>
      </c>
      <c r="D540" s="3"/>
      <c r="E540" s="3" t="s">
        <v>285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287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285</v>
      </c>
      <c r="D541" s="3"/>
      <c r="E541" s="3" t="s">
        <v>285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118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285</v>
      </c>
      <c r="D542" s="3"/>
      <c r="E542" s="3" t="s">
        <v>285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0.252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285</v>
      </c>
      <c r="D543" s="3"/>
      <c r="E543" s="3" t="s">
        <v>285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285</v>
      </c>
      <c r="D544" s="3"/>
      <c r="E544" s="3" t="s">
        <v>285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285</v>
      </c>
      <c r="D545" s="3"/>
      <c r="E545" s="3" t="s">
        <v>285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121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285</v>
      </c>
      <c r="D546" s="3"/>
      <c r="E546" s="3" t="s">
        <v>285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285</v>
      </c>
      <c r="D547" s="3"/>
      <c r="E547" s="3" t="s">
        <v>285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285</v>
      </c>
      <c r="D548" s="3"/>
      <c r="E548" s="3" t="s">
        <v>285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285</v>
      </c>
      <c r="D549" s="3"/>
      <c r="E549" s="3" t="s">
        <v>285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119</v>
      </c>
      <c r="O549" s="3"/>
      <c r="P549" s="3"/>
      <c r="Q549" s="3">
        <v>0.622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285</v>
      </c>
      <c r="D550" s="3"/>
      <c r="E550" s="3" t="s">
        <v>285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288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289</v>
      </c>
      <c r="D551" s="3"/>
      <c r="E551" s="3" t="s">
        <v>289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290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289</v>
      </c>
      <c r="D552" s="3"/>
      <c r="E552" s="3" t="s">
        <v>289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289</v>
      </c>
      <c r="D553" s="3"/>
      <c r="E553" s="3" t="s">
        <v>289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291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289</v>
      </c>
      <c r="D554" s="3"/>
      <c r="E554" s="3" t="s">
        <v>289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118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289</v>
      </c>
      <c r="D555" s="3"/>
      <c r="E555" s="3" t="s">
        <v>289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0.29499999999999998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289</v>
      </c>
      <c r="D556" s="3"/>
      <c r="E556" s="3" t="s">
        <v>289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289</v>
      </c>
      <c r="D557" s="3"/>
      <c r="E557" s="3" t="s">
        <v>289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289</v>
      </c>
      <c r="D558" s="3"/>
      <c r="E558" s="3" t="s">
        <v>289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121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289</v>
      </c>
      <c r="D559" s="3"/>
      <c r="E559" s="3" t="s">
        <v>289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289</v>
      </c>
      <c r="D560" s="3"/>
      <c r="E560" s="3" t="s">
        <v>289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289</v>
      </c>
      <c r="D561" s="3"/>
      <c r="E561" s="3" t="s">
        <v>289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289</v>
      </c>
      <c r="D562" s="3"/>
      <c r="E562" s="3" t="s">
        <v>289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119</v>
      </c>
      <c r="O562" s="3"/>
      <c r="P562" s="3"/>
      <c r="Q562" s="3">
        <v>0.70299999999999996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289</v>
      </c>
      <c r="D563" s="3"/>
      <c r="E563" s="3" t="s">
        <v>289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292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293</v>
      </c>
      <c r="D564" s="3"/>
      <c r="E564" s="3" t="s">
        <v>293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294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293</v>
      </c>
      <c r="D565" s="3"/>
      <c r="E565" s="3" t="s">
        <v>293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116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293</v>
      </c>
      <c r="D566" s="3"/>
      <c r="E566" s="3" t="s">
        <v>293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295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293</v>
      </c>
      <c r="D567" s="3"/>
      <c r="E567" s="3" t="s">
        <v>293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118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293</v>
      </c>
      <c r="D568" s="3"/>
      <c r="E568" s="3" t="s">
        <v>293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0.33800000000000002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293</v>
      </c>
      <c r="D569" s="3"/>
      <c r="E569" s="3" t="s">
        <v>293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293</v>
      </c>
      <c r="D570" s="3"/>
      <c r="E570" s="3" t="s">
        <v>293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293</v>
      </c>
      <c r="D571" s="3"/>
      <c r="E571" s="3" t="s">
        <v>293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121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293</v>
      </c>
      <c r="D572" s="3"/>
      <c r="E572" s="3" t="s">
        <v>293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293</v>
      </c>
      <c r="D573" s="3"/>
      <c r="E573" s="3" t="s">
        <v>293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293</v>
      </c>
      <c r="D574" s="3"/>
      <c r="E574" s="3" t="s">
        <v>293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293</v>
      </c>
      <c r="D575" s="3"/>
      <c r="E575" s="3" t="s">
        <v>293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119</v>
      </c>
      <c r="O575" s="3"/>
      <c r="P575" s="3"/>
      <c r="Q575" s="3">
        <v>0.78400000000000003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293</v>
      </c>
      <c r="D576" s="3"/>
      <c r="E576" s="3" t="s">
        <v>293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296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297</v>
      </c>
      <c r="D577" s="3"/>
      <c r="E577" s="3" t="s">
        <v>297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298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297</v>
      </c>
      <c r="D578" s="3"/>
      <c r="E578" s="3" t="s">
        <v>297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116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297</v>
      </c>
      <c r="D579" s="3"/>
      <c r="E579" s="3" t="s">
        <v>297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299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297</v>
      </c>
      <c r="D580" s="3"/>
      <c r="E580" s="3" t="s">
        <v>297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118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297</v>
      </c>
      <c r="D581" s="3"/>
      <c r="E581" s="3" t="s">
        <v>297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0.42399999999999999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297</v>
      </c>
      <c r="D582" s="3"/>
      <c r="E582" s="3" t="s">
        <v>297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297</v>
      </c>
      <c r="D583" s="3"/>
      <c r="E583" s="3" t="s">
        <v>297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297</v>
      </c>
      <c r="D584" s="3"/>
      <c r="E584" s="3" t="s">
        <v>297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297</v>
      </c>
      <c r="D585" s="3"/>
      <c r="E585" s="3" t="s">
        <v>297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297</v>
      </c>
      <c r="D586" s="3"/>
      <c r="E586" s="3" t="s">
        <v>297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297</v>
      </c>
      <c r="D587" s="3"/>
      <c r="E587" s="3" t="s">
        <v>297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297</v>
      </c>
      <c r="D588" s="3"/>
      <c r="E588" s="3" t="s">
        <v>297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119</v>
      </c>
      <c r="O588" s="3"/>
      <c r="P588" s="3"/>
      <c r="Q588" s="3">
        <v>0.94599999999999995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297</v>
      </c>
      <c r="D589" s="3"/>
      <c r="E589" s="3" t="s">
        <v>297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300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301</v>
      </c>
      <c r="D590" s="3"/>
      <c r="E590" s="3" t="s">
        <v>301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302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301</v>
      </c>
      <c r="D591" s="3"/>
      <c r="E591" s="3" t="s">
        <v>301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116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301</v>
      </c>
      <c r="D592" s="3"/>
      <c r="E592" s="3" t="s">
        <v>301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303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301</v>
      </c>
      <c r="D593" s="3"/>
      <c r="E593" s="3" t="s">
        <v>301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118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301</v>
      </c>
      <c r="D594" s="3"/>
      <c r="E594" s="3" t="s">
        <v>301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0.46700000000000003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301</v>
      </c>
      <c r="D595" s="3"/>
      <c r="E595" s="3" t="s">
        <v>301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301</v>
      </c>
      <c r="D596" s="3"/>
      <c r="E596" s="3" t="s">
        <v>301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301</v>
      </c>
      <c r="D597" s="3"/>
      <c r="E597" s="3" t="s">
        <v>301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121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301</v>
      </c>
      <c r="D598" s="3"/>
      <c r="E598" s="3" t="s">
        <v>301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301</v>
      </c>
      <c r="D599" s="3"/>
      <c r="E599" s="3" t="s">
        <v>301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301</v>
      </c>
      <c r="D600" s="3"/>
      <c r="E600" s="3" t="s">
        <v>301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301</v>
      </c>
      <c r="D601" s="3"/>
      <c r="E601" s="3" t="s">
        <v>301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119</v>
      </c>
      <c r="O601" s="3"/>
      <c r="P601" s="3"/>
      <c r="Q601" s="3">
        <v>1.0269999999999999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301</v>
      </c>
      <c r="D602" s="3"/>
      <c r="E602" s="3" t="s">
        <v>301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304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305</v>
      </c>
      <c r="D603" s="3"/>
      <c r="E603" s="3" t="s">
        <v>305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306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305</v>
      </c>
      <c r="D604" s="3"/>
      <c r="E604" s="3" t="s">
        <v>305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116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305</v>
      </c>
      <c r="D605" s="3"/>
      <c r="E605" s="3" t="s">
        <v>305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307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305</v>
      </c>
      <c r="D606" s="3"/>
      <c r="E606" s="3" t="s">
        <v>305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118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305</v>
      </c>
      <c r="D607" s="3"/>
      <c r="E607" s="3" t="s">
        <v>305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0.51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305</v>
      </c>
      <c r="D608" s="3"/>
      <c r="E608" s="3" t="s">
        <v>305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305</v>
      </c>
      <c r="D609" s="3"/>
      <c r="E609" s="3" t="s">
        <v>305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305</v>
      </c>
      <c r="D610" s="3"/>
      <c r="E610" s="3" t="s">
        <v>305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121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305</v>
      </c>
      <c r="D611" s="3"/>
      <c r="E611" s="3" t="s">
        <v>305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305</v>
      </c>
      <c r="D612" s="3"/>
      <c r="E612" s="3" t="s">
        <v>305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305</v>
      </c>
      <c r="D613" s="3"/>
      <c r="E613" s="3" t="s">
        <v>305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305</v>
      </c>
      <c r="D614" s="3"/>
      <c r="E614" s="3" t="s">
        <v>305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119</v>
      </c>
      <c r="O614" s="3"/>
      <c r="P614" s="3"/>
      <c r="Q614" s="3">
        <v>1.1080000000000001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305</v>
      </c>
      <c r="D615" s="3"/>
      <c r="E615" s="3" t="s">
        <v>305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308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309</v>
      </c>
      <c r="D616" s="3"/>
      <c r="E616" s="3" t="s">
        <v>309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309</v>
      </c>
      <c r="D617" s="3"/>
      <c r="E617" s="3" t="s">
        <v>309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116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309</v>
      </c>
      <c r="D618" s="3"/>
      <c r="E618" s="3" t="s">
        <v>309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311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309</v>
      </c>
      <c r="D619" s="3"/>
      <c r="E619" s="3" t="s">
        <v>309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118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309</v>
      </c>
      <c r="D620" s="3"/>
      <c r="E620" s="3" t="s">
        <v>309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0.217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309</v>
      </c>
      <c r="D621" s="3"/>
      <c r="E621" s="3" t="s">
        <v>309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309</v>
      </c>
      <c r="D622" s="3"/>
      <c r="E622" s="3" t="s">
        <v>309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309</v>
      </c>
      <c r="D623" s="3"/>
      <c r="E623" s="3" t="s">
        <v>309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121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309</v>
      </c>
      <c r="D624" s="3"/>
      <c r="E624" s="3" t="s">
        <v>309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309</v>
      </c>
      <c r="D625" s="3"/>
      <c r="E625" s="3" t="s">
        <v>309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309</v>
      </c>
      <c r="D626" s="3"/>
      <c r="E626" s="3" t="s">
        <v>309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309</v>
      </c>
      <c r="D627" s="3"/>
      <c r="E627" s="3" t="s">
        <v>309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119</v>
      </c>
      <c r="O627" s="3"/>
      <c r="P627" s="3"/>
      <c r="Q627" s="3">
        <v>0.54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309</v>
      </c>
      <c r="D628" s="3"/>
      <c r="E628" s="3" t="s">
        <v>309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312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313</v>
      </c>
      <c r="D629" s="3"/>
      <c r="E629" s="3" t="s">
        <v>313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313</v>
      </c>
      <c r="D630" s="3"/>
      <c r="E630" s="3" t="s">
        <v>313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116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313</v>
      </c>
      <c r="D631" s="3"/>
      <c r="E631" s="3" t="s">
        <v>313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315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313</v>
      </c>
      <c r="D632" s="3"/>
      <c r="E632" s="3" t="s">
        <v>313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118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313</v>
      </c>
      <c r="D633" s="3"/>
      <c r="E633" s="3" t="s">
        <v>313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0.26200000000000001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313</v>
      </c>
      <c r="D634" s="3"/>
      <c r="E634" s="3" t="s">
        <v>313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313</v>
      </c>
      <c r="D635" s="3"/>
      <c r="E635" s="3" t="s">
        <v>313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313</v>
      </c>
      <c r="D636" s="3"/>
      <c r="E636" s="3" t="s">
        <v>313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121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313</v>
      </c>
      <c r="D637" s="3"/>
      <c r="E637" s="3" t="s">
        <v>313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313</v>
      </c>
      <c r="D638" s="3"/>
      <c r="E638" s="3" t="s">
        <v>313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313</v>
      </c>
      <c r="D639" s="3"/>
      <c r="E639" s="3" t="s">
        <v>313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313</v>
      </c>
      <c r="D640" s="3"/>
      <c r="E640" s="3" t="s">
        <v>313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119</v>
      </c>
      <c r="O640" s="3"/>
      <c r="P640" s="3"/>
      <c r="Q640" s="3">
        <v>0.622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313</v>
      </c>
      <c r="D641" s="3"/>
      <c r="E641" s="3" t="s">
        <v>313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317</v>
      </c>
      <c r="D642" s="3"/>
      <c r="E642" s="3" t="s">
        <v>317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318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317</v>
      </c>
      <c r="D643" s="3"/>
      <c r="E643" s="3" t="s">
        <v>317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116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317</v>
      </c>
      <c r="D644" s="3"/>
      <c r="E644" s="3" t="s">
        <v>317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319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317</v>
      </c>
      <c r="D645" s="3"/>
      <c r="E645" s="3" t="s">
        <v>317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118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317</v>
      </c>
      <c r="D646" s="3"/>
      <c r="E646" s="3" t="s">
        <v>317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0.307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317</v>
      </c>
      <c r="D647" s="3"/>
      <c r="E647" s="3" t="s">
        <v>317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317</v>
      </c>
      <c r="D648" s="3"/>
      <c r="E648" s="3" t="s">
        <v>317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317</v>
      </c>
      <c r="D649" s="3"/>
      <c r="E649" s="3" t="s">
        <v>317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121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317</v>
      </c>
      <c r="D650" s="3"/>
      <c r="E650" s="3" t="s">
        <v>317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317</v>
      </c>
      <c r="D651" s="3"/>
      <c r="E651" s="3" t="s">
        <v>317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317</v>
      </c>
      <c r="D652" s="3"/>
      <c r="E652" s="3" t="s">
        <v>317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317</v>
      </c>
      <c r="D653" s="3"/>
      <c r="E653" s="3" t="s">
        <v>317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119</v>
      </c>
      <c r="O653" s="3"/>
      <c r="P653" s="3"/>
      <c r="Q653" s="3">
        <v>0.70299999999999996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317</v>
      </c>
      <c r="D654" s="3"/>
      <c r="E654" s="3" t="s">
        <v>317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320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321</v>
      </c>
      <c r="D655" s="3"/>
      <c r="E655" s="3" t="s">
        <v>321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322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321</v>
      </c>
      <c r="D656" s="3"/>
      <c r="E656" s="3" t="s">
        <v>321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116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321</v>
      </c>
      <c r="D657" s="3"/>
      <c r="E657" s="3" t="s">
        <v>321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323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321</v>
      </c>
      <c r="D658" s="3"/>
      <c r="E658" s="3" t="s">
        <v>321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118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321</v>
      </c>
      <c r="D659" s="3"/>
      <c r="E659" s="3" t="s">
        <v>321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0.35199999999999998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321</v>
      </c>
      <c r="D660" s="3"/>
      <c r="E660" s="3" t="s">
        <v>321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321</v>
      </c>
      <c r="D661" s="3"/>
      <c r="E661" s="3" t="s">
        <v>321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321</v>
      </c>
      <c r="D662" s="3"/>
      <c r="E662" s="3" t="s">
        <v>321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121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321</v>
      </c>
      <c r="D663" s="3"/>
      <c r="E663" s="3" t="s">
        <v>321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321</v>
      </c>
      <c r="D664" s="3"/>
      <c r="E664" s="3" t="s">
        <v>321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321</v>
      </c>
      <c r="D665" s="3"/>
      <c r="E665" s="3" t="s">
        <v>321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321</v>
      </c>
      <c r="D666" s="3"/>
      <c r="E666" s="3" t="s">
        <v>321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119</v>
      </c>
      <c r="O666" s="3"/>
      <c r="P666" s="3"/>
      <c r="Q666" s="3">
        <v>0.78400000000000003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321</v>
      </c>
      <c r="D667" s="3"/>
      <c r="E667" s="3" t="s">
        <v>321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324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325</v>
      </c>
      <c r="D668" s="3"/>
      <c r="E668" s="3" t="s">
        <v>325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326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325</v>
      </c>
      <c r="D669" s="3"/>
      <c r="E669" s="3" t="s">
        <v>325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116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325</v>
      </c>
      <c r="D670" s="3"/>
      <c r="E670" s="3" t="s">
        <v>325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327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325</v>
      </c>
      <c r="D671" s="3"/>
      <c r="E671" s="3" t="s">
        <v>325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118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325</v>
      </c>
      <c r="D672" s="3"/>
      <c r="E672" s="3" t="s">
        <v>325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0.442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325</v>
      </c>
      <c r="D673" s="3"/>
      <c r="E673" s="3" t="s">
        <v>325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325</v>
      </c>
      <c r="D674" s="3"/>
      <c r="E674" s="3" t="s">
        <v>325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325</v>
      </c>
      <c r="D675" s="3"/>
      <c r="E675" s="3" t="s">
        <v>325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121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325</v>
      </c>
      <c r="D676" s="3"/>
      <c r="E676" s="3" t="s">
        <v>325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325</v>
      </c>
      <c r="D677" s="3"/>
      <c r="E677" s="3" t="s">
        <v>325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325</v>
      </c>
      <c r="D678" s="3"/>
      <c r="E678" s="3" t="s">
        <v>325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325</v>
      </c>
      <c r="D679" s="3"/>
      <c r="E679" s="3" t="s">
        <v>325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119</v>
      </c>
      <c r="O679" s="3"/>
      <c r="P679" s="3"/>
      <c r="Q679" s="3">
        <v>0.94599999999999995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325</v>
      </c>
      <c r="D680" s="3"/>
      <c r="E680" s="3" t="s">
        <v>325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328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329</v>
      </c>
      <c r="D681" s="3"/>
      <c r="E681" s="3" t="s">
        <v>329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329</v>
      </c>
      <c r="D682" s="3"/>
      <c r="E682" s="3" t="s">
        <v>329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116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329</v>
      </c>
      <c r="D683" s="3"/>
      <c r="E683" s="3" t="s">
        <v>329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331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329</v>
      </c>
      <c r="D684" s="3"/>
      <c r="E684" s="3" t="s">
        <v>329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118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329</v>
      </c>
      <c r="D685" s="3"/>
      <c r="E685" s="3" t="s">
        <v>329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0.48699999999999999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329</v>
      </c>
      <c r="D686" s="3"/>
      <c r="E686" s="3" t="s">
        <v>329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329</v>
      </c>
      <c r="D687" s="3"/>
      <c r="E687" s="3" t="s">
        <v>329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329</v>
      </c>
      <c r="D688" s="3"/>
      <c r="E688" s="3" t="s">
        <v>329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121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329</v>
      </c>
      <c r="D689" s="3"/>
      <c r="E689" s="3" t="s">
        <v>329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329</v>
      </c>
      <c r="D690" s="3"/>
      <c r="E690" s="3" t="s">
        <v>329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329</v>
      </c>
      <c r="D691" s="3"/>
      <c r="E691" s="3" t="s">
        <v>329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329</v>
      </c>
      <c r="D692" s="3"/>
      <c r="E692" s="3" t="s">
        <v>329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119</v>
      </c>
      <c r="O692" s="3"/>
      <c r="P692" s="3"/>
      <c r="Q692" s="3">
        <v>1.0269999999999999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329</v>
      </c>
      <c r="D693" s="3"/>
      <c r="E693" s="3" t="s">
        <v>329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332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333</v>
      </c>
      <c r="D694" s="3"/>
      <c r="E694" s="3" t="s">
        <v>333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334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333</v>
      </c>
      <c r="D695" s="3"/>
      <c r="E695" s="3" t="s">
        <v>333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116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333</v>
      </c>
      <c r="D696" s="3"/>
      <c r="E696" s="3" t="s">
        <v>333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335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333</v>
      </c>
      <c r="D697" s="3"/>
      <c r="E697" s="3" t="s">
        <v>333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118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333</v>
      </c>
      <c r="D698" s="3"/>
      <c r="E698" s="3" t="s">
        <v>333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0.53200000000000003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333</v>
      </c>
      <c r="D699" s="3"/>
      <c r="E699" s="3" t="s">
        <v>333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333</v>
      </c>
      <c r="D700" s="3"/>
      <c r="E700" s="3" t="s">
        <v>333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333</v>
      </c>
      <c r="D701" s="3"/>
      <c r="E701" s="3" t="s">
        <v>333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121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333</v>
      </c>
      <c r="D702" s="3"/>
      <c r="E702" s="3" t="s">
        <v>333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333</v>
      </c>
      <c r="D703" s="3"/>
      <c r="E703" s="3" t="s">
        <v>333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333</v>
      </c>
      <c r="D704" s="3"/>
      <c r="E704" s="3" t="s">
        <v>333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333</v>
      </c>
      <c r="D705" s="3"/>
      <c r="E705" s="3" t="s">
        <v>333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119</v>
      </c>
      <c r="O705" s="3"/>
      <c r="P705" s="3"/>
      <c r="Q705" s="3">
        <v>1.1080000000000001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333</v>
      </c>
      <c r="D706" s="3"/>
      <c r="E706" s="3" t="s">
        <v>333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336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337</v>
      </c>
      <c r="D707" s="3"/>
      <c r="E707" s="3" t="s">
        <v>337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338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337</v>
      </c>
      <c r="D708" s="3"/>
      <c r="E708" s="3" t="s">
        <v>337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116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337</v>
      </c>
      <c r="D709" s="3"/>
      <c r="E709" s="3" t="s">
        <v>337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339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337</v>
      </c>
      <c r="D710" s="3"/>
      <c r="E710" s="3" t="s">
        <v>337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118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337</v>
      </c>
      <c r="D711" s="3"/>
      <c r="E711" s="3" t="s">
        <v>337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0.22600000000000001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337</v>
      </c>
      <c r="D712" s="3"/>
      <c r="E712" s="3" t="s">
        <v>337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337</v>
      </c>
      <c r="D713" s="3"/>
      <c r="E713" s="3" t="s">
        <v>337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337</v>
      </c>
      <c r="D714" s="3"/>
      <c r="E714" s="3" t="s">
        <v>337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121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337</v>
      </c>
      <c r="D715" s="3"/>
      <c r="E715" s="3" t="s">
        <v>337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337</v>
      </c>
      <c r="D716" s="3"/>
      <c r="E716" s="3" t="s">
        <v>337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337</v>
      </c>
      <c r="D717" s="3"/>
      <c r="E717" s="3" t="s">
        <v>337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337</v>
      </c>
      <c r="D718" s="3"/>
      <c r="E718" s="3" t="s">
        <v>337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119</v>
      </c>
      <c r="O718" s="3"/>
      <c r="P718" s="3"/>
      <c r="Q718" s="3">
        <v>0.54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337</v>
      </c>
      <c r="D719" s="3"/>
      <c r="E719" s="3" t="s">
        <v>337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340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341</v>
      </c>
      <c r="D720" s="3"/>
      <c r="E720" s="3" t="s">
        <v>341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342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341</v>
      </c>
      <c r="D721" s="3"/>
      <c r="E721" s="3" t="s">
        <v>341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116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341</v>
      </c>
      <c r="D722" s="3"/>
      <c r="E722" s="3" t="s">
        <v>341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343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341</v>
      </c>
      <c r="D723" s="3"/>
      <c r="E723" s="3" t="s">
        <v>341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118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341</v>
      </c>
      <c r="D724" s="3"/>
      <c r="E724" s="3" t="s">
        <v>341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0.27300000000000002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341</v>
      </c>
      <c r="D725" s="3"/>
      <c r="E725" s="3" t="s">
        <v>341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341</v>
      </c>
      <c r="D726" s="3"/>
      <c r="E726" s="3" t="s">
        <v>341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341</v>
      </c>
      <c r="D727" s="3"/>
      <c r="E727" s="3" t="s">
        <v>341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121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341</v>
      </c>
      <c r="D728" s="3"/>
      <c r="E728" s="3" t="s">
        <v>341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341</v>
      </c>
      <c r="D729" s="3"/>
      <c r="E729" s="3" t="s">
        <v>341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341</v>
      </c>
      <c r="D730" s="3"/>
      <c r="E730" s="3" t="s">
        <v>341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341</v>
      </c>
      <c r="D731" s="3"/>
      <c r="E731" s="3" t="s">
        <v>341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119</v>
      </c>
      <c r="O731" s="3"/>
      <c r="P731" s="3"/>
      <c r="Q731" s="3">
        <v>0.622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341</v>
      </c>
      <c r="D732" s="3"/>
      <c r="E732" s="3" t="s">
        <v>341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344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345</v>
      </c>
      <c r="D733" s="3"/>
      <c r="E733" s="3" t="s">
        <v>345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346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345</v>
      </c>
      <c r="D734" s="3"/>
      <c r="E734" s="3" t="s">
        <v>345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345</v>
      </c>
      <c r="D735" s="3"/>
      <c r="E735" s="3" t="s">
        <v>345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347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345</v>
      </c>
      <c r="D736" s="3"/>
      <c r="E736" s="3" t="s">
        <v>345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118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345</v>
      </c>
      <c r="D737" s="3"/>
      <c r="E737" s="3" t="s">
        <v>345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0.32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345</v>
      </c>
      <c r="D738" s="3"/>
      <c r="E738" s="3" t="s">
        <v>345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345</v>
      </c>
      <c r="D739" s="3"/>
      <c r="E739" s="3" t="s">
        <v>345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345</v>
      </c>
      <c r="D740" s="3"/>
      <c r="E740" s="3" t="s">
        <v>345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121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345</v>
      </c>
      <c r="D741" s="3"/>
      <c r="E741" s="3" t="s">
        <v>345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345</v>
      </c>
      <c r="D742" s="3"/>
      <c r="E742" s="3" t="s">
        <v>345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345</v>
      </c>
      <c r="D743" s="3"/>
      <c r="E743" s="3" t="s">
        <v>345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345</v>
      </c>
      <c r="D744" s="3"/>
      <c r="E744" s="3" t="s">
        <v>345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119</v>
      </c>
      <c r="O744" s="3"/>
      <c r="P744" s="3"/>
      <c r="Q744" s="3">
        <v>0.70299999999999996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345</v>
      </c>
      <c r="D745" s="3"/>
      <c r="E745" s="3" t="s">
        <v>345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348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349</v>
      </c>
      <c r="D746" s="3"/>
      <c r="E746" s="3" t="s">
        <v>349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350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349</v>
      </c>
      <c r="D747" s="3"/>
      <c r="E747" s="3" t="s">
        <v>349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116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349</v>
      </c>
      <c r="D748" s="3"/>
      <c r="E748" s="3" t="s">
        <v>349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351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349</v>
      </c>
      <c r="D749" s="3"/>
      <c r="E749" s="3" t="s">
        <v>349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118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349</v>
      </c>
      <c r="D750" s="3"/>
      <c r="E750" s="3" t="s">
        <v>349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0.36599999999999999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349</v>
      </c>
      <c r="D751" s="3"/>
      <c r="E751" s="3" t="s">
        <v>349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349</v>
      </c>
      <c r="D752" s="3"/>
      <c r="E752" s="3" t="s">
        <v>349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349</v>
      </c>
      <c r="D753" s="3"/>
      <c r="E753" s="3" t="s">
        <v>349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121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349</v>
      </c>
      <c r="D754" s="3"/>
      <c r="E754" s="3" t="s">
        <v>349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349</v>
      </c>
      <c r="D755" s="3"/>
      <c r="E755" s="3" t="s">
        <v>349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349</v>
      </c>
      <c r="D756" s="3"/>
      <c r="E756" s="3" t="s">
        <v>349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349</v>
      </c>
      <c r="D757" s="3"/>
      <c r="E757" s="3" t="s">
        <v>349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119</v>
      </c>
      <c r="O757" s="3"/>
      <c r="P757" s="3"/>
      <c r="Q757" s="3">
        <v>0.78400000000000003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349</v>
      </c>
      <c r="D758" s="3"/>
      <c r="E758" s="3" t="s">
        <v>349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352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353</v>
      </c>
      <c r="D759" s="3"/>
      <c r="E759" s="3" t="s">
        <v>353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354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353</v>
      </c>
      <c r="D760" s="3"/>
      <c r="E760" s="3" t="s">
        <v>353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116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353</v>
      </c>
      <c r="D761" s="3"/>
      <c r="E761" s="3" t="s">
        <v>353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355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353</v>
      </c>
      <c r="D762" s="3"/>
      <c r="E762" s="3" t="s">
        <v>353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118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353</v>
      </c>
      <c r="D763" s="3"/>
      <c r="E763" s="3" t="s">
        <v>353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0.46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353</v>
      </c>
      <c r="D764" s="3"/>
      <c r="E764" s="3" t="s">
        <v>353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353</v>
      </c>
      <c r="D765" s="3"/>
      <c r="E765" s="3" t="s">
        <v>353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353</v>
      </c>
      <c r="D766" s="3"/>
      <c r="E766" s="3" t="s">
        <v>353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121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353</v>
      </c>
      <c r="D767" s="3"/>
      <c r="E767" s="3" t="s">
        <v>353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353</v>
      </c>
      <c r="D768" s="3"/>
      <c r="E768" s="3" t="s">
        <v>353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353</v>
      </c>
      <c r="D769" s="3"/>
      <c r="E769" s="3" t="s">
        <v>353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353</v>
      </c>
      <c r="D770" s="3"/>
      <c r="E770" s="3" t="s">
        <v>353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119</v>
      </c>
      <c r="O770" s="3"/>
      <c r="P770" s="3"/>
      <c r="Q770" s="3">
        <v>0.94599999999999995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353</v>
      </c>
      <c r="D771" s="3"/>
      <c r="E771" s="3" t="s">
        <v>353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356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357</v>
      </c>
      <c r="D772" s="3"/>
      <c r="E772" s="3" t="s">
        <v>357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358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357</v>
      </c>
      <c r="D773" s="3"/>
      <c r="E773" s="3" t="s">
        <v>357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116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357</v>
      </c>
      <c r="D774" s="3"/>
      <c r="E774" s="3" t="s">
        <v>357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359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357</v>
      </c>
      <c r="D775" s="3"/>
      <c r="E775" s="3" t="s">
        <v>357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118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357</v>
      </c>
      <c r="D776" s="3"/>
      <c r="E776" s="3" t="s">
        <v>357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0.50700000000000001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357</v>
      </c>
      <c r="D777" s="3"/>
      <c r="E777" s="3" t="s">
        <v>357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357</v>
      </c>
      <c r="D778" s="3"/>
      <c r="E778" s="3" t="s">
        <v>357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357</v>
      </c>
      <c r="D779" s="3"/>
      <c r="E779" s="3" t="s">
        <v>357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357</v>
      </c>
      <c r="D780" s="3"/>
      <c r="E780" s="3" t="s">
        <v>357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357</v>
      </c>
      <c r="D781" s="3"/>
      <c r="E781" s="3" t="s">
        <v>357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357</v>
      </c>
      <c r="D782" s="3"/>
      <c r="E782" s="3" t="s">
        <v>357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357</v>
      </c>
      <c r="D783" s="3"/>
      <c r="E783" s="3" t="s">
        <v>357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119</v>
      </c>
      <c r="O783" s="3"/>
      <c r="P783" s="3"/>
      <c r="Q783" s="3">
        <v>1.0269999999999999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357</v>
      </c>
      <c r="D784" s="3"/>
      <c r="E784" s="3" t="s">
        <v>357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360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361</v>
      </c>
      <c r="D785" s="3"/>
      <c r="E785" s="3" t="s">
        <v>361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362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361</v>
      </c>
      <c r="D786" s="3"/>
      <c r="E786" s="3" t="s">
        <v>361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116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361</v>
      </c>
      <c r="D787" s="3"/>
      <c r="E787" s="3" t="s">
        <v>361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363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361</v>
      </c>
      <c r="D788" s="3"/>
      <c r="E788" s="3" t="s">
        <v>361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118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361</v>
      </c>
      <c r="D789" s="3"/>
      <c r="E789" s="3" t="s">
        <v>361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0.55400000000000005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361</v>
      </c>
      <c r="D790" s="3"/>
      <c r="E790" s="3" t="s">
        <v>361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361</v>
      </c>
      <c r="D791" s="3"/>
      <c r="E791" s="3" t="s">
        <v>361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361</v>
      </c>
      <c r="D792" s="3"/>
      <c r="E792" s="3" t="s">
        <v>361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121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361</v>
      </c>
      <c r="D793" s="3"/>
      <c r="E793" s="3" t="s">
        <v>361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361</v>
      </c>
      <c r="D794" s="3"/>
      <c r="E794" s="3" t="s">
        <v>361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361</v>
      </c>
      <c r="D795" s="3"/>
      <c r="E795" s="3" t="s">
        <v>361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361</v>
      </c>
      <c r="D796" s="3"/>
      <c r="E796" s="3" t="s">
        <v>361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119</v>
      </c>
      <c r="O796" s="3"/>
      <c r="P796" s="3"/>
      <c r="Q796" s="3">
        <v>1.1080000000000001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361</v>
      </c>
      <c r="D797" s="3"/>
      <c r="E797" s="3" t="s">
        <v>361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364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365</v>
      </c>
      <c r="D798" s="3"/>
      <c r="E798" s="3" t="s">
        <v>365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366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365</v>
      </c>
      <c r="D799" s="3"/>
      <c r="E799" s="3" t="s">
        <v>365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116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365</v>
      </c>
      <c r="D800" s="3"/>
      <c r="E800" s="3" t="s">
        <v>365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367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365</v>
      </c>
      <c r="D801" s="3"/>
      <c r="E801" s="3" t="s">
        <v>365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118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365</v>
      </c>
      <c r="D802" s="3"/>
      <c r="E802" s="3" t="s">
        <v>365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0.23200000000000001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365</v>
      </c>
      <c r="D803" s="3"/>
      <c r="E803" s="3" t="s">
        <v>365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365</v>
      </c>
      <c r="D804" s="3"/>
      <c r="E804" s="3" t="s">
        <v>365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365</v>
      </c>
      <c r="D805" s="3"/>
      <c r="E805" s="3" t="s">
        <v>365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121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365</v>
      </c>
      <c r="D806" s="3"/>
      <c r="E806" s="3" t="s">
        <v>365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365</v>
      </c>
      <c r="D807" s="3"/>
      <c r="E807" s="3" t="s">
        <v>365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365</v>
      </c>
      <c r="D808" s="3"/>
      <c r="E808" s="3" t="s">
        <v>365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365</v>
      </c>
      <c r="D809" s="3"/>
      <c r="E809" s="3" t="s">
        <v>365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119</v>
      </c>
      <c r="O809" s="3"/>
      <c r="P809" s="3"/>
      <c r="Q809" s="3">
        <v>1.216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365</v>
      </c>
      <c r="D810" s="3"/>
      <c r="E810" s="3" t="s">
        <v>365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368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369</v>
      </c>
      <c r="D811" s="3"/>
      <c r="E811" s="3" t="s">
        <v>369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370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369</v>
      </c>
      <c r="D812" s="3"/>
      <c r="E812" s="3" t="s">
        <v>369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116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369</v>
      </c>
      <c r="D813" s="3"/>
      <c r="E813" s="3" t="s">
        <v>369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371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369</v>
      </c>
      <c r="D814" s="3"/>
      <c r="E814" s="3" t="s">
        <v>369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118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369</v>
      </c>
      <c r="D815" s="3"/>
      <c r="E815" s="3" t="s">
        <v>369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0.28000000000000003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369</v>
      </c>
      <c r="D816" s="3"/>
      <c r="E816" s="3" t="s">
        <v>369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369</v>
      </c>
      <c r="D817" s="3"/>
      <c r="E817" s="3" t="s">
        <v>369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369</v>
      </c>
      <c r="D818" s="3"/>
      <c r="E818" s="3" t="s">
        <v>369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121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369</v>
      </c>
      <c r="D819" s="3"/>
      <c r="E819" s="3" t="s">
        <v>369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369</v>
      </c>
      <c r="D820" s="3"/>
      <c r="E820" s="3" t="s">
        <v>369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369</v>
      </c>
      <c r="D821" s="3"/>
      <c r="E821" s="3" t="s">
        <v>369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369</v>
      </c>
      <c r="D822" s="3"/>
      <c r="E822" s="3" t="s">
        <v>369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119</v>
      </c>
      <c r="O822" s="3"/>
      <c r="P822" s="3"/>
      <c r="Q822" s="3">
        <v>1.216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369</v>
      </c>
      <c r="D823" s="3"/>
      <c r="E823" s="3" t="s">
        <v>369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372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373</v>
      </c>
      <c r="D824" s="3"/>
      <c r="E824" s="3" t="s">
        <v>373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374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373</v>
      </c>
      <c r="D825" s="3"/>
      <c r="E825" s="3" t="s">
        <v>373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116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373</v>
      </c>
      <c r="D826" s="3"/>
      <c r="E826" s="3" t="s">
        <v>373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375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373</v>
      </c>
      <c r="D827" s="3"/>
      <c r="E827" s="3" t="s">
        <v>373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118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373</v>
      </c>
      <c r="D828" s="3"/>
      <c r="E828" s="3" t="s">
        <v>373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0.32800000000000001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373</v>
      </c>
      <c r="D829" s="3"/>
      <c r="E829" s="3" t="s">
        <v>373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373</v>
      </c>
      <c r="D830" s="3"/>
      <c r="E830" s="3" t="s">
        <v>373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373</v>
      </c>
      <c r="D831" s="3"/>
      <c r="E831" s="3" t="s">
        <v>373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121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373</v>
      </c>
      <c r="D832" s="3"/>
      <c r="E832" s="3" t="s">
        <v>373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373</v>
      </c>
      <c r="D833" s="3"/>
      <c r="E833" s="3" t="s">
        <v>373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373</v>
      </c>
      <c r="D834" s="3"/>
      <c r="E834" s="3" t="s">
        <v>373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373</v>
      </c>
      <c r="D835" s="3"/>
      <c r="E835" s="3" t="s">
        <v>373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119</v>
      </c>
      <c r="O835" s="3"/>
      <c r="P835" s="3"/>
      <c r="Q835" s="3">
        <v>1.216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373</v>
      </c>
      <c r="D836" s="3"/>
      <c r="E836" s="3" t="s">
        <v>373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376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377</v>
      </c>
      <c r="D837" s="3"/>
      <c r="E837" s="3" t="s">
        <v>377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378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377</v>
      </c>
      <c r="D838" s="3"/>
      <c r="E838" s="3" t="s">
        <v>377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116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377</v>
      </c>
      <c r="D839" s="3"/>
      <c r="E839" s="3" t="s">
        <v>377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379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377</v>
      </c>
      <c r="D840" s="3"/>
      <c r="E840" s="3" t="s">
        <v>377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118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377</v>
      </c>
      <c r="D841" s="3"/>
      <c r="E841" s="3" t="s">
        <v>377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0.376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377</v>
      </c>
      <c r="D842" s="3"/>
      <c r="E842" s="3" t="s">
        <v>377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377</v>
      </c>
      <c r="D843" s="3"/>
      <c r="E843" s="3" t="s">
        <v>377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377</v>
      </c>
      <c r="D844" s="3"/>
      <c r="E844" s="3" t="s">
        <v>377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121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377</v>
      </c>
      <c r="D845" s="3"/>
      <c r="E845" s="3" t="s">
        <v>377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377</v>
      </c>
      <c r="D846" s="3"/>
      <c r="E846" s="3" t="s">
        <v>377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377</v>
      </c>
      <c r="D847" s="3"/>
      <c r="E847" s="3" t="s">
        <v>377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377</v>
      </c>
      <c r="D848" s="3"/>
      <c r="E848" s="3" t="s">
        <v>377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119</v>
      </c>
      <c r="O848" s="3"/>
      <c r="P848" s="3"/>
      <c r="Q848" s="3">
        <v>1.216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377</v>
      </c>
      <c r="D849" s="3"/>
      <c r="E849" s="3" t="s">
        <v>377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380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381</v>
      </c>
      <c r="D850" s="3"/>
      <c r="E850" s="3" t="s">
        <v>381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382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381</v>
      </c>
      <c r="D851" s="3"/>
      <c r="E851" s="3" t="s">
        <v>381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116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381</v>
      </c>
      <c r="D852" s="3"/>
      <c r="E852" s="3" t="s">
        <v>381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383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381</v>
      </c>
      <c r="D853" s="3"/>
      <c r="E853" s="3" t="s">
        <v>381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118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381</v>
      </c>
      <c r="D854" s="3"/>
      <c r="E854" s="3" t="s">
        <v>381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0.47199999999999998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381</v>
      </c>
      <c r="D855" s="3"/>
      <c r="E855" s="3" t="s">
        <v>381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381</v>
      </c>
      <c r="D856" s="3"/>
      <c r="E856" s="3" t="s">
        <v>381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381</v>
      </c>
      <c r="D857" s="3"/>
      <c r="E857" s="3" t="s">
        <v>381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121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381</v>
      </c>
      <c r="D858" s="3"/>
      <c r="E858" s="3" t="s">
        <v>381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381</v>
      </c>
      <c r="D859" s="3"/>
      <c r="E859" s="3" t="s">
        <v>381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381</v>
      </c>
      <c r="D860" s="3"/>
      <c r="E860" s="3" t="s">
        <v>381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381</v>
      </c>
      <c r="D861" s="3"/>
      <c r="E861" s="3" t="s">
        <v>381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119</v>
      </c>
      <c r="O861" s="3"/>
      <c r="P861" s="3"/>
      <c r="Q861" s="3">
        <v>1.216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381</v>
      </c>
      <c r="D862" s="3"/>
      <c r="E862" s="3" t="s">
        <v>381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384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385</v>
      </c>
      <c r="D863" s="3"/>
      <c r="E863" s="3" t="s">
        <v>385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386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385</v>
      </c>
      <c r="D864" s="3"/>
      <c r="E864" s="3" t="s">
        <v>385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116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385</v>
      </c>
      <c r="D865" s="3"/>
      <c r="E865" s="3" t="s">
        <v>385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387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385</v>
      </c>
      <c r="D866" s="3"/>
      <c r="E866" s="3" t="s">
        <v>385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118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385</v>
      </c>
      <c r="D867" s="3"/>
      <c r="E867" s="3" t="s">
        <v>385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0.52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385</v>
      </c>
      <c r="D868" s="3"/>
      <c r="E868" s="3" t="s">
        <v>385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385</v>
      </c>
      <c r="D869" s="3"/>
      <c r="E869" s="3" t="s">
        <v>385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385</v>
      </c>
      <c r="D870" s="3"/>
      <c r="E870" s="3" t="s">
        <v>385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121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385</v>
      </c>
      <c r="D871" s="3"/>
      <c r="E871" s="3" t="s">
        <v>385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385</v>
      </c>
      <c r="D872" s="3"/>
      <c r="E872" s="3" t="s">
        <v>385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385</v>
      </c>
      <c r="D873" s="3"/>
      <c r="E873" s="3" t="s">
        <v>385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385</v>
      </c>
      <c r="D874" s="3"/>
      <c r="E874" s="3" t="s">
        <v>385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119</v>
      </c>
      <c r="O874" s="3"/>
      <c r="P874" s="3"/>
      <c r="Q874" s="3">
        <v>1.216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385</v>
      </c>
      <c r="D875" s="3"/>
      <c r="E875" s="3" t="s">
        <v>385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388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389</v>
      </c>
      <c r="D876" s="3"/>
      <c r="E876" s="3" t="s">
        <v>389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390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389</v>
      </c>
      <c r="D877" s="3"/>
      <c r="E877" s="3" t="s">
        <v>389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116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389</v>
      </c>
      <c r="D878" s="3"/>
      <c r="E878" s="3" t="s">
        <v>389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391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389</v>
      </c>
      <c r="D879" s="3"/>
      <c r="E879" s="3" t="s">
        <v>389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118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389</v>
      </c>
      <c r="D880" s="3"/>
      <c r="E880" s="3" t="s">
        <v>389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0.56799999999999995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389</v>
      </c>
      <c r="D881" s="3"/>
      <c r="E881" s="3" t="s">
        <v>389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389</v>
      </c>
      <c r="D882" s="3"/>
      <c r="E882" s="3" t="s">
        <v>389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389</v>
      </c>
      <c r="D883" s="3"/>
      <c r="E883" s="3" t="s">
        <v>389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121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389</v>
      </c>
      <c r="D884" s="3"/>
      <c r="E884" s="3" t="s">
        <v>389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389</v>
      </c>
      <c r="D885" s="3"/>
      <c r="E885" s="3" t="s">
        <v>389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389</v>
      </c>
      <c r="D886" s="3"/>
      <c r="E886" s="3" t="s">
        <v>389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389</v>
      </c>
      <c r="D887" s="3"/>
      <c r="E887" s="3" t="s">
        <v>389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119</v>
      </c>
      <c r="O887" s="3"/>
      <c r="P887" s="3"/>
      <c r="Q887" s="3">
        <v>1.216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389</v>
      </c>
      <c r="D888" s="3"/>
      <c r="E888" s="3" t="s">
        <v>389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392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393</v>
      </c>
      <c r="D889" s="3"/>
      <c r="E889" s="3" t="s">
        <v>393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394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393</v>
      </c>
      <c r="D890" s="3"/>
      <c r="E890" s="3" t="s">
        <v>393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116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393</v>
      </c>
      <c r="D891" s="3"/>
      <c r="E891" s="3" t="s">
        <v>393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393</v>
      </c>
      <c r="D892" s="3"/>
      <c r="E892" s="3" t="s">
        <v>393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118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393</v>
      </c>
      <c r="D893" s="3"/>
      <c r="E893" s="3" t="s">
        <v>393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0.24399999999999999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393</v>
      </c>
      <c r="D894" s="3"/>
      <c r="E894" s="3" t="s">
        <v>393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393</v>
      </c>
      <c r="D895" s="3"/>
      <c r="E895" s="3" t="s">
        <v>393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393</v>
      </c>
      <c r="D896" s="3"/>
      <c r="E896" s="3" t="s">
        <v>393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121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393</v>
      </c>
      <c r="D897" s="3"/>
      <c r="E897" s="3" t="s">
        <v>393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393</v>
      </c>
      <c r="D898" s="3"/>
      <c r="E898" s="3" t="s">
        <v>393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393</v>
      </c>
      <c r="D899" s="3"/>
      <c r="E899" s="3" t="s">
        <v>393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393</v>
      </c>
      <c r="D900" s="3"/>
      <c r="E900" s="3" t="s">
        <v>393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119</v>
      </c>
      <c r="O900" s="3"/>
      <c r="P900" s="3"/>
      <c r="Q900" s="3">
        <v>1.27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393</v>
      </c>
      <c r="D901" s="3"/>
      <c r="E901" s="3" t="s">
        <v>393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396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397</v>
      </c>
      <c r="D902" s="3"/>
      <c r="E902" s="3" t="s">
        <v>397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398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397</v>
      </c>
      <c r="D903" s="3"/>
      <c r="E903" s="3" t="s">
        <v>397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116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397</v>
      </c>
      <c r="D904" s="3"/>
      <c r="E904" s="3" t="s">
        <v>397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399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397</v>
      </c>
      <c r="D905" s="3"/>
      <c r="E905" s="3" t="s">
        <v>397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118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397</v>
      </c>
      <c r="D906" s="3"/>
      <c r="E906" s="3" t="s">
        <v>397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0.29399999999999998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397</v>
      </c>
      <c r="D907" s="3"/>
      <c r="E907" s="3" t="s">
        <v>397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397</v>
      </c>
      <c r="D908" s="3"/>
      <c r="E908" s="3" t="s">
        <v>397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397</v>
      </c>
      <c r="D909" s="3"/>
      <c r="E909" s="3" t="s">
        <v>397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121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397</v>
      </c>
      <c r="D910" s="3"/>
      <c r="E910" s="3" t="s">
        <v>397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397</v>
      </c>
      <c r="D911" s="3"/>
      <c r="E911" s="3" t="s">
        <v>397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397</v>
      </c>
      <c r="D912" s="3"/>
      <c r="E912" s="3" t="s">
        <v>397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397</v>
      </c>
      <c r="D913" s="3"/>
      <c r="E913" s="3" t="s">
        <v>397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119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397</v>
      </c>
      <c r="D914" s="3"/>
      <c r="E914" s="3" t="s">
        <v>397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400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401</v>
      </c>
      <c r="D915" s="3"/>
      <c r="E915" s="3" t="s">
        <v>401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401</v>
      </c>
      <c r="D916" s="3"/>
      <c r="E916" s="3" t="s">
        <v>401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401</v>
      </c>
      <c r="D917" s="3"/>
      <c r="E917" s="3" t="s">
        <v>401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403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401</v>
      </c>
      <c r="D918" s="3"/>
      <c r="E918" s="3" t="s">
        <v>401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118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401</v>
      </c>
      <c r="D919" s="3"/>
      <c r="E919" s="3" t="s">
        <v>401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0.34499999999999997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401</v>
      </c>
      <c r="D920" s="3"/>
      <c r="E920" s="3" t="s">
        <v>401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401</v>
      </c>
      <c r="D921" s="3"/>
      <c r="E921" s="3" t="s">
        <v>401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401</v>
      </c>
      <c r="D922" s="3"/>
      <c r="E922" s="3" t="s">
        <v>401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121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401</v>
      </c>
      <c r="D923" s="3"/>
      <c r="E923" s="3" t="s">
        <v>401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401</v>
      </c>
      <c r="D924" s="3"/>
      <c r="E924" s="3" t="s">
        <v>401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401</v>
      </c>
      <c r="D925" s="3"/>
      <c r="E925" s="3" t="s">
        <v>401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401</v>
      </c>
      <c r="D926" s="3"/>
      <c r="E926" s="3" t="s">
        <v>401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119</v>
      </c>
      <c r="O926" s="3"/>
      <c r="P926" s="3"/>
      <c r="Q926" s="3">
        <v>1.27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401</v>
      </c>
      <c r="D927" s="3"/>
      <c r="E927" s="3" t="s">
        <v>401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404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405</v>
      </c>
      <c r="D928" s="3"/>
      <c r="E928" s="3" t="s">
        <v>405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406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405</v>
      </c>
      <c r="D929" s="3"/>
      <c r="E929" s="3" t="s">
        <v>405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116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405</v>
      </c>
      <c r="D930" s="3"/>
      <c r="E930" s="3" t="s">
        <v>405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407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405</v>
      </c>
      <c r="D931" s="3"/>
      <c r="E931" s="3" t="s">
        <v>405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118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405</v>
      </c>
      <c r="D932" s="3"/>
      <c r="E932" s="3" t="s">
        <v>405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0.39500000000000002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405</v>
      </c>
      <c r="D933" s="3"/>
      <c r="E933" s="3" t="s">
        <v>405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405</v>
      </c>
      <c r="D934" s="3"/>
      <c r="E934" s="3" t="s">
        <v>405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405</v>
      </c>
      <c r="D935" s="3"/>
      <c r="E935" s="3" t="s">
        <v>405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121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405</v>
      </c>
      <c r="D936" s="3"/>
      <c r="E936" s="3" t="s">
        <v>405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405</v>
      </c>
      <c r="D937" s="3"/>
      <c r="E937" s="3" t="s">
        <v>405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405</v>
      </c>
      <c r="D938" s="3"/>
      <c r="E938" s="3" t="s">
        <v>405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405</v>
      </c>
      <c r="D939" s="3"/>
      <c r="E939" s="3" t="s">
        <v>405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119</v>
      </c>
      <c r="O939" s="3"/>
      <c r="P939" s="3"/>
      <c r="Q939" s="3">
        <v>1.27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405</v>
      </c>
      <c r="D940" s="3"/>
      <c r="E940" s="3" t="s">
        <v>405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408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409</v>
      </c>
      <c r="D941" s="3"/>
      <c r="E941" s="3" t="s">
        <v>409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409</v>
      </c>
      <c r="D942" s="3"/>
      <c r="E942" s="3" t="s">
        <v>409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116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409</v>
      </c>
      <c r="D943" s="3"/>
      <c r="E943" s="3" t="s">
        <v>409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409</v>
      </c>
      <c r="D944" s="3"/>
      <c r="E944" s="3" t="s">
        <v>409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118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409</v>
      </c>
      <c r="D945" s="3"/>
      <c r="E945" s="3" t="s">
        <v>409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0.496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409</v>
      </c>
      <c r="D946" s="3"/>
      <c r="E946" s="3" t="s">
        <v>409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409</v>
      </c>
      <c r="D947" s="3"/>
      <c r="E947" s="3" t="s">
        <v>409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409</v>
      </c>
      <c r="D948" s="3"/>
      <c r="E948" s="3" t="s">
        <v>409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121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409</v>
      </c>
      <c r="D949" s="3"/>
      <c r="E949" s="3" t="s">
        <v>409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409</v>
      </c>
      <c r="D950" s="3"/>
      <c r="E950" s="3" t="s">
        <v>409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409</v>
      </c>
      <c r="D951" s="3"/>
      <c r="E951" s="3" t="s">
        <v>409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409</v>
      </c>
      <c r="D952" s="3"/>
      <c r="E952" s="3" t="s">
        <v>409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119</v>
      </c>
      <c r="O952" s="3"/>
      <c r="P952" s="3"/>
      <c r="Q952" s="3">
        <v>1.27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409</v>
      </c>
      <c r="D953" s="3"/>
      <c r="E953" s="3" t="s">
        <v>409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412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413</v>
      </c>
      <c r="D954" s="3"/>
      <c r="E954" s="3" t="s">
        <v>413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413</v>
      </c>
      <c r="D955" s="3"/>
      <c r="E955" s="3" t="s">
        <v>413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116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413</v>
      </c>
      <c r="D956" s="3"/>
      <c r="E956" s="3" t="s">
        <v>413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415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413</v>
      </c>
      <c r="D957" s="3"/>
      <c r="E957" s="3" t="s">
        <v>413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118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413</v>
      </c>
      <c r="D958" s="3"/>
      <c r="E958" s="3" t="s">
        <v>413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0.54600000000000004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413</v>
      </c>
      <c r="D959" s="3"/>
      <c r="E959" s="3" t="s">
        <v>413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413</v>
      </c>
      <c r="D960" s="3"/>
      <c r="E960" s="3" t="s">
        <v>413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413</v>
      </c>
      <c r="D961" s="3"/>
      <c r="E961" s="3" t="s">
        <v>413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121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413</v>
      </c>
      <c r="D962" s="3"/>
      <c r="E962" s="3" t="s">
        <v>413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413</v>
      </c>
      <c r="D963" s="3"/>
      <c r="E963" s="3" t="s">
        <v>413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413</v>
      </c>
      <c r="D964" s="3"/>
      <c r="E964" s="3" t="s">
        <v>413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413</v>
      </c>
      <c r="D965" s="3"/>
      <c r="E965" s="3" t="s">
        <v>413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119</v>
      </c>
      <c r="O965" s="3"/>
      <c r="P965" s="3"/>
      <c r="Q965" s="3">
        <v>1.27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413</v>
      </c>
      <c r="D966" s="3"/>
      <c r="E966" s="3" t="s">
        <v>413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416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417</v>
      </c>
      <c r="D967" s="3"/>
      <c r="E967" s="3" t="s">
        <v>417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417</v>
      </c>
      <c r="D968" s="3"/>
      <c r="E968" s="3" t="s">
        <v>417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417</v>
      </c>
      <c r="D969" s="3"/>
      <c r="E969" s="3" t="s">
        <v>417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419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417</v>
      </c>
      <c r="D970" s="3"/>
      <c r="E970" s="3" t="s">
        <v>417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118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417</v>
      </c>
      <c r="D971" s="3"/>
      <c r="E971" s="3" t="s">
        <v>417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0.59699999999999998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417</v>
      </c>
      <c r="D972" s="3"/>
      <c r="E972" s="3" t="s">
        <v>417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417</v>
      </c>
      <c r="D973" s="3"/>
      <c r="E973" s="3" t="s">
        <v>417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417</v>
      </c>
      <c r="D974" s="3"/>
      <c r="E974" s="3" t="s">
        <v>417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417</v>
      </c>
      <c r="D975" s="3"/>
      <c r="E975" s="3" t="s">
        <v>417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417</v>
      </c>
      <c r="D976" s="3"/>
      <c r="E976" s="3" t="s">
        <v>417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417</v>
      </c>
      <c r="D977" s="3"/>
      <c r="E977" s="3" t="s">
        <v>417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417</v>
      </c>
      <c r="D978" s="3"/>
      <c r="E978" s="3" t="s">
        <v>417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119</v>
      </c>
      <c r="O978" s="3"/>
      <c r="P978" s="3"/>
      <c r="Q978" s="3">
        <v>1.27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417</v>
      </c>
      <c r="D979" s="3"/>
      <c r="E979" s="3" t="s">
        <v>417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420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2026-04-18T05:43:04Z</dcterms:modified>
</cp:coreProperties>
</file>