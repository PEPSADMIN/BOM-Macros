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REG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5" i="13" l="1"/>
  <c r="G4" i="13" l="1"/>
  <c r="H4" i="13" s="1"/>
  <c r="G3" i="13"/>
  <c r="G6" i="13" l="1"/>
  <c r="H6" i="13" l="1"/>
  <c r="G14" i="13" l="1"/>
  <c r="H15" i="13" l="1"/>
  <c r="H14" i="13"/>
  <c r="H13" i="13"/>
  <c r="H12" i="13"/>
  <c r="H11" i="13"/>
  <c r="H10" i="13"/>
  <c r="E10" i="13"/>
  <c r="G9" i="13"/>
  <c r="H9" i="13" s="1"/>
  <c r="G8" i="13"/>
  <c r="H8" i="13" s="1"/>
  <c r="G7" i="13"/>
  <c r="H7" i="13" s="1"/>
  <c r="H5" i="13"/>
  <c r="H3" i="13"/>
  <c r="H2" i="13"/>
</calcChain>
</file>

<file path=xl/sharedStrings.xml><?xml version="1.0" encoding="utf-8"?>
<sst xmlns="http://schemas.openxmlformats.org/spreadsheetml/2006/main" count="11875" uniqueCount="419">
  <si>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</si>
  <si>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</si>
  <si>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</si>
  <si>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</si>
  <si>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</si>
  <si>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</si>
  <si>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</si>
  <si>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</si>
  <si>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</si>
  <si>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</si>
  <si>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</si>
  <si>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</si>
  <si>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</si>
  <si>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</si>
  <si>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</si>
  <si>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</si>
  <si>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</si>
  <si>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</si>
  <si>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</si>
  <si>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</si>
  <si>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</si>
  <si>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</si>
  <si>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</si>
  <si>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</si>
  <si>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</si>
  <si>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</si>
  <si>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</si>
  <si>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</si>
  <si>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</si>
  <si>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</si>
  <si>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</si>
  <si>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</si>
  <si>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</si>
  <si>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</si>
  <si>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</si>
  <si>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</si>
  <si>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</si>
  <si>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</si>
  <si>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</si>
  <si>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</si>
  <si>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</si>
  <si>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</si>
  <si>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</si>
  <si>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</si>
  <si>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</si>
  <si>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</si>
  <si>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</si>
  <si>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</si>
  <si>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</si>
  <si>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</si>
  <si>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</si>
  <si>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</si>
  <si>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</si>
  <si>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</si>
  <si>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</si>
  <si>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</si>
  <si>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</si>
  <si>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</si>
  <si>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</si>
  <si>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</si>
  <si>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</si>
  <si>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</si>
  <si>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</si>
  <si>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</si>
  <si>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</si>
  <si>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</si>
  <si>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</si>
  <si>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</si>
  <si>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</si>
  <si>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</si>
  <si>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</si>
  <si>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</si>
  <si>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</si>
  <si>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</si>
  <si>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</si>
  <si>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</si>
  <si>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</si>
  <si>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</si>
  <si>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</si>
  <si>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</si>
  <si>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</si>
  <si>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</si>
  <si>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</si>
  <si>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</si>
  <si>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</si>
  <si>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</si>
  <si>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</si>
  <si>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</si>
  <si>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</si>
  <si>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</si>
  <si>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</si>
  <si>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</si>
  <si>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</si>
  <si>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</si>
  <si>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</si>
  <si>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</si>
  <si>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</si>
  <si>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</si>
  <si>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</si>
  <si>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</si>
  <si>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</si>
  <si>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</si>
  <si>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</si>
  <si>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</si>
  <si>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</si>
  <si>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</si>
  <si>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</si>
  <si>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</si>
  <si>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</si>
  <si>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</si>
  <si>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</si>
  <si>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</si>
  <si>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</si>
  <si>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</si>
  <si>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</si>
  <si>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RMI-PVC-50</t>
  </si>
  <si>
    <t>SFG-RTHTMTRG-BONPOC-QUILT</t>
  </si>
  <si>
    <t>RML-CS-PL-8.5</t>
  </si>
  <si>
    <t>SFG-RTHTMTRG-BONPOC-BP</t>
  </si>
  <si>
    <t>SFG-FRBNOSRG-BOR-72X33X08</t>
  </si>
  <si>
    <t>SFG-FRBNOSRG-BOR-72X39X08</t>
  </si>
  <si>
    <t>SFG-FRBNOSRG-BOR-72X45X08</t>
  </si>
  <si>
    <t>SFG-FRBNOSRG-BOR-72X51X08</t>
  </si>
  <si>
    <t>SFG-FRBNOSRG-BOR-72X54X08</t>
  </si>
  <si>
    <t>SFG-FRBNOSRG-BOR-72X57X08</t>
  </si>
  <si>
    <t>SFG-FRBNOSRG-BOR-72X63X08</t>
  </si>
  <si>
    <t>SFG-FRBNOSRG-BOR-72X69X08</t>
  </si>
  <si>
    <t>SFG-FRBNOSRG-BOR-75X33X08</t>
  </si>
  <si>
    <t>SFG-FRBNOSRG-BOR-75X39X08</t>
  </si>
  <si>
    <t>SFG-FRBNOSRG-BOR-75X45X08</t>
  </si>
  <si>
    <t>SFG-FRBNOSRG-BOR-75X51X08</t>
  </si>
  <si>
    <t>SFG-FRBNOSRG-BOR-75X54X08</t>
  </si>
  <si>
    <t>SFG-FRBNOSRG-BOR-75X57X08</t>
  </si>
  <si>
    <t>SFG-FRBNOSRG-BOR-75X63X08</t>
  </si>
  <si>
    <t>SFG-FRBNOSRG-BOR-75X69X08</t>
  </si>
  <si>
    <t>SFG-FRBNOSRG-BOR-78X33X08</t>
  </si>
  <si>
    <t>SFG-FRBNOSRG-BOR-78X39X08</t>
  </si>
  <si>
    <t>SFG-FRBNOSRG-BOR-78X45X08</t>
  </si>
  <si>
    <t>SFG-FRBNOSRG-BOR-78X51X08</t>
  </si>
  <si>
    <t>SFG-FRBNOSRG-BOR-78X54X08</t>
  </si>
  <si>
    <t>SFG-FRBNOSRG-BOR-78X57X08</t>
  </si>
  <si>
    <t>SFG-FRBNOSRG-BOR-78X63X08</t>
  </si>
  <si>
    <t>SFG-FRBNOSRG-BOR-78X69X08</t>
  </si>
  <si>
    <t>SFG-FRBNOSRG-BOR-80X33X08</t>
  </si>
  <si>
    <t>SFG-FRBNOSRG-BOR-80X39X08</t>
  </si>
  <si>
    <t>SFG-FRBNOSRG-BOR-80X45X08</t>
  </si>
  <si>
    <t>SFG-FRBNOSRG-BOR-80X51X08</t>
  </si>
  <si>
    <t>SFG-FRBNOSRG-BOR-80X54X08</t>
  </si>
  <si>
    <t>SFG-FRBNOSRG-BOR-80X57X08</t>
  </si>
  <si>
    <t>SFG-FRBNOSRG-BOR-80X63X08</t>
  </si>
  <si>
    <t>SFG-FRBNOSRG-BOR-80X69X08</t>
  </si>
  <si>
    <t>SFG-FRBNOSRG-BOR-84X33X08</t>
  </si>
  <si>
    <t>SFG-FRBNOSRG-BOR-84X39X08</t>
  </si>
  <si>
    <t>SFG-FRBNOSRG-BOR-84X45X08</t>
  </si>
  <si>
    <t>SFG-FRBNOSRG-BOR-84X51X08</t>
  </si>
  <si>
    <t>SFG-FRBNOSRG-BOR-84X54X08</t>
  </si>
  <si>
    <t>SFG-FRBNOSRG-BOR-84X57X08</t>
  </si>
  <si>
    <t>SFG-FRBNOSRG-BOR-84X63X08</t>
  </si>
  <si>
    <t>SFG-FRBNOSRG-BOR-84X69X08</t>
  </si>
  <si>
    <t>RTHTMTBNORG72X33X08</t>
  </si>
  <si>
    <t>RTHTMTBNORG72X39X08</t>
  </si>
  <si>
    <t>RTHTMTBNORG72X45X08</t>
  </si>
  <si>
    <t>RTHTMTBNORG72X51X08</t>
  </si>
  <si>
    <t>RTHTMTBNORG72X54X08</t>
  </si>
  <si>
    <t>RTHTMTBNORG72X57X08</t>
  </si>
  <si>
    <t>RTHTMTBNORG72X63X08</t>
  </si>
  <si>
    <t>RTHTMTBNORG72X69X08</t>
  </si>
  <si>
    <t>RTHTMTBNORG75X33X08</t>
  </si>
  <si>
    <t>RTHTMTBNORG75X39X08</t>
  </si>
  <si>
    <t>RTHTMTBNORG75X45X08</t>
  </si>
  <si>
    <t>RTHTMTBNORG75X51X08</t>
  </si>
  <si>
    <t>RTHTMTBNORG75X54X08</t>
  </si>
  <si>
    <t>RTHTMTBNORG75X57X08</t>
  </si>
  <si>
    <t>RTHTMTBNORG75X63X08</t>
  </si>
  <si>
    <t>RTHTMTBNORG75X69X08</t>
  </si>
  <si>
    <t>RTHTMTBNORG78X33X08</t>
  </si>
  <si>
    <t>RTHTMTBNORG78X39X08</t>
  </si>
  <si>
    <t>RTHTMTBNORG78X45X08</t>
  </si>
  <si>
    <t>RTHTMTBNORG78X51X08</t>
  </si>
  <si>
    <t>RTHTMTBNORG78X54X08</t>
  </si>
  <si>
    <t>RTHTMTBNORG78X57X08</t>
  </si>
  <si>
    <t>RTHTMTBNORG78X63X08</t>
  </si>
  <si>
    <t>RTHTMTBNORG78X69X08</t>
  </si>
  <si>
    <t>RTHTMTBNORG80X33X08</t>
  </si>
  <si>
    <t>RTHTMTBNORG80X39X08</t>
  </si>
  <si>
    <t>RTHTMTBNORG80X45X08</t>
  </si>
  <si>
    <t>RTHTMTBNORG80X51X08</t>
  </si>
  <si>
    <t>RTHTMTBNORG80X54X08</t>
  </si>
  <si>
    <t>RTHTMTBNORG80X57X08</t>
  </si>
  <si>
    <t>RTHTMTBNORG80X63X08</t>
  </si>
  <si>
    <t>RTHTMTBNORG80X69X08</t>
  </si>
  <si>
    <t>RTHTMTBNORG84X33X08</t>
  </si>
  <si>
    <t>RTHTMTBNORG84X39X08</t>
  </si>
  <si>
    <t>RTHTMTBNORG84X45X08</t>
  </si>
  <si>
    <t>RTHTMTBNORG84X51X08</t>
  </si>
  <si>
    <t>RTHTMTBNORG84X54X08</t>
  </si>
  <si>
    <t>RTHTMTBNORG84X57X08</t>
  </si>
  <si>
    <t>RTHTMTBNORG84X63X08</t>
  </si>
  <si>
    <t>RTHTMTBNORG84X69X08</t>
  </si>
  <si>
    <t>RTHTMTBNORG72X30X08</t>
  </si>
  <si>
    <t>SFG-FRBNOSRG-BOR-72X30X08</t>
  </si>
  <si>
    <t>RTHTMTBNORG72X36X08</t>
  </si>
  <si>
    <t>SFG-FRBNOSRG-BOR-72X36X08</t>
  </si>
  <si>
    <t>RTHTMTBNORG72X42X08</t>
  </si>
  <si>
    <t>SFG-FRBNOSRG-BOR-72X42X08</t>
  </si>
  <si>
    <t>RTHTMTBNORG72X48X08</t>
  </si>
  <si>
    <t>SFG-FRBNOSRG-BOR-72X48X08</t>
  </si>
  <si>
    <t>RTHTMTBNORG72X60X08</t>
  </si>
  <si>
    <t>SFG-FRBNOSRG-BOR-72X60X08</t>
  </si>
  <si>
    <t>RTHTMTBNORG72X66X08</t>
  </si>
  <si>
    <t>SFG-FRBNOSRG-BOR-72X66X08</t>
  </si>
  <si>
    <t>RTHTMTBNORG72X72X08</t>
  </si>
  <si>
    <t>SFG-FRBNOSRG-BOR-72X72X08</t>
  </si>
  <si>
    <t>RTHTMTBNORG75X30X08</t>
  </si>
  <si>
    <t>SFG-FRBNOSRG-BOR-75X30X08</t>
  </si>
  <si>
    <t>RTHTMTBNORG75X36X08</t>
  </si>
  <si>
    <t>SFG-FRBNOSRG-BOR-75X36X08</t>
  </si>
  <si>
    <t>RTHTMTBNORG75X42X08</t>
  </si>
  <si>
    <t>SFG-FRBNOSRG-BOR-75X42X08</t>
  </si>
  <si>
    <t>RTHTMTBNORG75X48X08</t>
  </si>
  <si>
    <t>SFG-FRBNOSRG-BOR-75X48X08</t>
  </si>
  <si>
    <t>RTHTMTBNORG75X60X08</t>
  </si>
  <si>
    <t>SFG-FRBNOSRG-BOR-75X60X08</t>
  </si>
  <si>
    <t>RTHTMTBNORG75X66X08</t>
  </si>
  <si>
    <t>SFG-FRBNOSRG-BOR-75X66X08</t>
  </si>
  <si>
    <t>RTHTMTBNORG75X72X08</t>
  </si>
  <si>
    <t>SFG-FRBNOSRG-BOR-75X72X08</t>
  </si>
  <si>
    <t>RTHTMTBNORG78X30X08</t>
  </si>
  <si>
    <t>SFG-FRBNOSRG-BOR-78X30X08</t>
  </si>
  <si>
    <t>RTHTMTBNORG78X36X08</t>
  </si>
  <si>
    <t>SFG-FRBNOSRG-BOR-78X36X08</t>
  </si>
  <si>
    <t>RTHTMTBNORG78X42X08</t>
  </si>
  <si>
    <t>SFG-FRBNOSRG-BOR-78X42X08</t>
  </si>
  <si>
    <t>RTHTMTBNORG78X48X08</t>
  </si>
  <si>
    <t>SFG-FRBNOSRG-BOR-78X48X08</t>
  </si>
  <si>
    <t>RTHTMTBNORG78X60X08</t>
  </si>
  <si>
    <t>SFG-FRBNOSRG-BOR-78X60X08</t>
  </si>
  <si>
    <t>RTHTMTBNORG78X66X08</t>
  </si>
  <si>
    <t>SFG-FRBNOSRG-BOR-78X66X08</t>
  </si>
  <si>
    <t>RTHTMTBNORG78X72X08</t>
  </si>
  <si>
    <t>SFG-FRBNOSRG-BOR-78X72X08</t>
  </si>
  <si>
    <t>RTHTMTBNORG80X30X08</t>
  </si>
  <si>
    <t>SFG-FRBNOSRG-BOR-80X30X08</t>
  </si>
  <si>
    <t>RTHTMTBNORG80X36X08</t>
  </si>
  <si>
    <t>SFG-FRBNOSRG-BOR-80X36X08</t>
  </si>
  <si>
    <t>RTHTMTBNORG80X42X08</t>
  </si>
  <si>
    <t>SFG-FRBNOSRG-BOR-80X42X08</t>
  </si>
  <si>
    <t>RTHTMTBNORG80X48X08</t>
  </si>
  <si>
    <t>SFG-FRBNOSRG-BOR-80X48X08</t>
  </si>
  <si>
    <t>RTHTMTBNORG80X60X08</t>
  </si>
  <si>
    <t>SFG-FRBNOSRG-BOR-80X60X08</t>
  </si>
  <si>
    <t>RTHTMTBNORG80X66X08</t>
  </si>
  <si>
    <t>SFG-FRBNOSRG-BOR-80X66X08</t>
  </si>
  <si>
    <t>RTHTMTBNORG80X72X08</t>
  </si>
  <si>
    <t>SFG-FRBNOSRG-BOR-80X72X08</t>
  </si>
  <si>
    <t>RTHTMTBNORG84X30X08</t>
  </si>
  <si>
    <t>SFG-FRBNOSRG-BOR-84X30X08</t>
  </si>
  <si>
    <t>RTHTMTBNORG84X36X08</t>
  </si>
  <si>
    <t>SFG-FRBNOSRG-BOR-84X36X08</t>
  </si>
  <si>
    <t>RTHTMTBNORG84X42X08</t>
  </si>
  <si>
    <t>SFG-FRBNOSRG-BOR-84X42X08</t>
  </si>
  <si>
    <t>RTHTMTBNORG84X48X08</t>
  </si>
  <si>
    <t>SFG-FRBNOSRG-BOR-84X48X08</t>
  </si>
  <si>
    <t>RTHTMTBNORG84X60X08</t>
  </si>
  <si>
    <t>SFG-FRBNOSRG-BOR-84X60X08</t>
  </si>
  <si>
    <t>RTHTMTBNORG84X66X08</t>
  </si>
  <si>
    <t>SFG-FRBNOSRG-BOR-84X66X08</t>
  </si>
  <si>
    <t>RTHTMTBNORG84X72X08</t>
  </si>
  <si>
    <t>SFG-FRBNOSRG-BOR-84X72X08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</si>
  <si>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</si>
  <si>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</si>
  <si>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</si>
  <si>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</si>
  <si>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</si>
  <si>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</si>
  <si>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</si>
  <si>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</si>
  <si>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</si>
  <si>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</si>
  <si>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</si>
  <si>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</si>
  <si>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</si>
  <si>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</si>
  <si>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</si>
  <si>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</si>
  <si>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</si>
  <si>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</si>
  <si>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</si>
  <si>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</si>
  <si>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</si>
  <si>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</si>
  <si>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</si>
  <si>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</si>
  <si>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</si>
  <si>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</si>
  <si>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</si>
  <si>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</si>
  <si>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</si>
  <si>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</si>
  <si>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</si>
  <si>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</si>
  <si>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</si>
  <si>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</si>
  <si>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</si>
  <si>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</si>
  <si>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</si>
  <si>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</si>
  <si>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</si>
  <si>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</si>
  <si>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</si>
  <si>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</si>
  <si>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</si>
  <si>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</si>
  <si>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</si>
  <si>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</si>
  <si>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</si>
  <si>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</si>
  <si>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</si>
  <si>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</si>
  <si>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</si>
  <si>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</si>
  <si>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</si>
  <si>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</si>
  <si>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</si>
  <si>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</si>
  <si>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</si>
  <si>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</si>
  <si>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</si>
  <si>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</si>
  <si>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</si>
  <si>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</si>
  <si>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</si>
  <si>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</si>
  <si>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</si>
  <si>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</si>
  <si>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</si>
  <si>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</si>
  <si>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</si>
  <si>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</si>
  <si>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</si>
  <si>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</si>
  <si>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</si>
  <si>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</si>
  <si>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</si>
  <si>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OEBOXBNSR71.5X32.5X170</t>
  </si>
  <si>
    <t>OEBOXBNSR71.5X38.5X170</t>
  </si>
  <si>
    <t>OEBOXBNSR71.5X44.5X170</t>
  </si>
  <si>
    <t>OEBOXBNSR71.5X50.5X170</t>
  </si>
  <si>
    <t>OEBOXBNSR71.5X53.5X170</t>
  </si>
  <si>
    <t>OEBOXBNSR71.5X56.5X170</t>
  </si>
  <si>
    <t>OEBOXBNSR71.5X62.5X170</t>
  </si>
  <si>
    <t>OEBOXBNSR71.5X68.5X170</t>
  </si>
  <si>
    <t>OEBOXBNSR74.5X32.5X170</t>
  </si>
  <si>
    <t>OEBOXBNSR74.5X38.5X170</t>
  </si>
  <si>
    <t>OEBOXBNSR74.5X44.5X170</t>
  </si>
  <si>
    <t>OEBOXBNSR74.5X50.5X170</t>
  </si>
  <si>
    <t>OEBOXBNSR74.5X53.5X170</t>
  </si>
  <si>
    <t>OEBOXBNSR74.5X56.5X170</t>
  </si>
  <si>
    <t>OEBOXBNSR74.5X62.5X170</t>
  </si>
  <si>
    <t>OEBOXBNSR74.5X68.5X170</t>
  </si>
  <si>
    <t>OEBOXBNSR77.5X32.5X170</t>
  </si>
  <si>
    <t>OEBOXBNSR77.5X38.5X170</t>
  </si>
  <si>
    <t>OEBOXBNSR77.5X44.5X170</t>
  </si>
  <si>
    <t>OEBOXBNSR77.5X50.5X170</t>
  </si>
  <si>
    <t>OEBOXBNSR77.5X53.5X170</t>
  </si>
  <si>
    <t>OEBOXBNSR77.5X56.5X170</t>
  </si>
  <si>
    <t>OEBOXBNSR77.5X62.5X170</t>
  </si>
  <si>
    <t>OEBOXBNSR77.5X68.5X170</t>
  </si>
  <si>
    <t>OEBOXBNSR79.5X32.5X170</t>
  </si>
  <si>
    <t>OEBOXBNSR79.5X38.5X170</t>
  </si>
  <si>
    <t>OEBOXBNSR79.5X44.5X170</t>
  </si>
  <si>
    <t>OEBOXBNSR79.5X50.5X170</t>
  </si>
  <si>
    <t>OEBOXBNSR79.5X53.5X170</t>
  </si>
  <si>
    <t>OEBOXBNSR79.5X56.5X170</t>
  </si>
  <si>
    <t>OEBOXBNSR79.5X62.5X170</t>
  </si>
  <si>
    <t>OEBOXBNSR79.5X68.5X170</t>
  </si>
  <si>
    <t>OEBOXBNSR83.5X32.5X170</t>
  </si>
  <si>
    <t>OEBOXBNSR83.5X38.5X170</t>
  </si>
  <si>
    <t>OEBOXBNSR83.5X44.5X170</t>
  </si>
  <si>
    <t>OEBOXBNSR83.5X50.5X170</t>
  </si>
  <si>
    <t>OEBOXBNSR83.5X53.5X170</t>
  </si>
  <si>
    <t>OEBOXBNSR83.5X56.5X170</t>
  </si>
  <si>
    <t>OEBOXBNSR83.5X62.5X170</t>
  </si>
  <si>
    <t>OEBOXBNSR83.5X68.5X170</t>
  </si>
  <si>
    <t>OEBOXBNSR71.5X29.5X170</t>
  </si>
  <si>
    <t>OEBOXBNSR71.5X35.5X170</t>
  </si>
  <si>
    <t>OEBOXBNSR71.5X41.5X170</t>
  </si>
  <si>
    <t>OEBOXBNSR71.5X47.5X170</t>
  </si>
  <si>
    <t>OEBOXBNSR71.5X59.5X170</t>
  </si>
  <si>
    <t>OEBOXBNSR71.5X65.5X170</t>
  </si>
  <si>
    <t>OEBOXBNSR71.5X71.5X170</t>
  </si>
  <si>
    <t>OEBOXBNSR74.5X29.5X170</t>
  </si>
  <si>
    <t>OEBOXBNSR74.5X35.5X170</t>
  </si>
  <si>
    <t>OEBOXBNSR74.5X41.5X170</t>
  </si>
  <si>
    <t>OEBOXBNSR74.5X47.5X170</t>
  </si>
  <si>
    <t>OEBOXBNSR74.5X59.5X170</t>
  </si>
  <si>
    <t>OEBOXBNSR74.5X65.5X170</t>
  </si>
  <si>
    <t>OEBOXBNSR74.5X71.5X170</t>
  </si>
  <si>
    <t>OEBOXBNSR77.5X29.5X170</t>
  </si>
  <si>
    <t>OEBOXBNSR77.5X35.5X170</t>
  </si>
  <si>
    <t>OEBOXBNSR77.5X41.5X170</t>
  </si>
  <si>
    <t>OEBOXBNSR77.5X47.5X170</t>
  </si>
  <si>
    <t>OEBOXBNSR77.5X59.5X170</t>
  </si>
  <si>
    <t>OEBOXBNSR77.5X65.5X170</t>
  </si>
  <si>
    <t>OEBOXBNSR77.5X71.5X170</t>
  </si>
  <si>
    <t>OEBOXBNSR79.5X29.5X170</t>
  </si>
  <si>
    <t>OEBOXBNSR79.5X35.5X170</t>
  </si>
  <si>
    <t>OEBOXBNSR79.5X41.5X170</t>
  </si>
  <si>
    <t>OEBOXBNSR79.5X47.5X170</t>
  </si>
  <si>
    <t>OEBOXBNSR79.5X59.5X170</t>
  </si>
  <si>
    <t>OEBOXBNSR79.5X65.5X170</t>
  </si>
  <si>
    <t>OEBOXBNSR79.5X71.5X170</t>
  </si>
  <si>
    <t>OEBOXBNSR83.5X29.5X170</t>
  </si>
  <si>
    <t>OEBOXBNSR83.5X35.5X170</t>
  </si>
  <si>
    <t>OEBOXBNSR83.5X41.5X170</t>
  </si>
  <si>
    <t>OEBOXBNSR83.5X47.5X170</t>
  </si>
  <si>
    <t>OEBOXBNSR83.5X59.5X170</t>
  </si>
  <si>
    <t>OEBOXBNSR83.5X65.5X170</t>
  </si>
  <si>
    <t>OEBOXBNSR83.5X71.5X170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</si>
</sst>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5" fillId="6" borderId="3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3" sqref="M1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"RTHTMTBNORG"&amp;$K$2&amp;"X"&amp;$L$2&amp;"X"&amp;IF($M$2&gt;9,$M$2,"0"&amp;$M$2)</f>
        <v>RTHTMTBNORG84X72X08</v>
      </c>
      <c r="E2" s="1" t="str">
        <f>"OEBOXBNSR"&amp;(K2-0.5)&amp;"X"&amp;(L2-0.5)&amp;"X"&amp;IF(M2=6,"130",IF(M2=8,"170",IF(M2&gt;9,"180",0)))</f>
        <v>OEBOXBNSR83.5X71.5X170</v>
      </c>
      <c r="F2" s="11" t="s">
        <v>11</v>
      </c>
      <c r="G2" s="10">
        <v>1</v>
      </c>
      <c r="H2" s="10">
        <f t="shared" ref="H2" si="0">ROUND(G2,3)</f>
        <v>1</v>
      </c>
      <c r="I2" s="20" t="s">
        <v>17</v>
      </c>
      <c r="J2" s="5"/>
      <c r="K2" s="6">
        <v>84</v>
      </c>
      <c r="L2" s="6">
        <v>72</v>
      </c>
      <c r="M2" s="38">
        <v>8</v>
      </c>
      <c r="N2" s="6"/>
      <c r="P2" s="4" t="s">
        <v>95</v>
      </c>
      <c r="R2" s="35" t="s">
        <v>96</v>
      </c>
      <c r="S2" s="35" t="s">
        <v>97</v>
      </c>
      <c r="T2" s="35">
        <v>8</v>
      </c>
      <c r="U2" s="36" t="s">
        <v>114</v>
      </c>
    </row>
    <row r="3" spans="1:21" s="18" customFormat="1" x14ac:dyDescent="0.25">
      <c r="A3" s="37">
        <v>3</v>
      </c>
      <c r="B3" s="7" t="s">
        <v>18</v>
      </c>
      <c r="C3" s="9" t="s">
        <v>19</v>
      </c>
      <c r="D3" s="7" t="str">
        <f t="shared" ref="D3:D15" si="1">"RTHTMTBNORG"&amp;$K$2&amp;"X"&amp;$L$2&amp;"X"&amp;IF($M$2&gt;9,$M$2,"0"&amp;$M$2)</f>
        <v>RTHTMTBNORG84X72X08</v>
      </c>
      <c r="E3" s="19" t="s">
        <v>116</v>
      </c>
      <c r="F3" s="11" t="s">
        <v>16</v>
      </c>
      <c r="G3" s="26">
        <f>IF(K2&lt;79,(L2+1),IF(L2&lt;37,(K2+1),(K2+1)))*0.0254</f>
        <v>2.1589999999999998</v>
      </c>
      <c r="H3" s="10">
        <f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8</v>
      </c>
      <c r="U3" s="36" t="s">
        <v>114</v>
      </c>
    </row>
    <row r="4" spans="1:21" x14ac:dyDescent="0.25">
      <c r="A4" s="37">
        <v>4</v>
      </c>
      <c r="B4" s="7" t="s">
        <v>18</v>
      </c>
      <c r="C4" s="9" t="s">
        <v>19</v>
      </c>
      <c r="D4" s="7" t="str">
        <f t="shared" si="1"/>
        <v>RTHTMTBNORG84X72X08</v>
      </c>
      <c r="E4" s="43" t="s">
        <v>118</v>
      </c>
      <c r="F4" s="11" t="s">
        <v>16</v>
      </c>
      <c r="G4" s="16">
        <f>IF(K2&lt;79,(L2+1),IF(L2&lt;37,(K2+1),(K2+1)))*0.0254</f>
        <v>2.1589999999999998</v>
      </c>
      <c r="H4" s="10">
        <f>ROUND(G4,3)</f>
        <v>2.1589999999999998</v>
      </c>
      <c r="I4" s="20" t="s">
        <v>17</v>
      </c>
      <c r="J4" s="12"/>
      <c r="O4" s="18"/>
      <c r="R4" s="35" t="s">
        <v>96</v>
      </c>
      <c r="S4" s="35" t="s">
        <v>99</v>
      </c>
      <c r="T4" s="35">
        <v>8</v>
      </c>
      <c r="U4" s="36" t="s">
        <v>114</v>
      </c>
    </row>
    <row r="5" spans="1:21" x14ac:dyDescent="0.25">
      <c r="A5" s="37">
        <v>5</v>
      </c>
      <c r="B5" s="7" t="s">
        <v>18</v>
      </c>
      <c r="C5" s="9" t="s">
        <v>27</v>
      </c>
      <c r="D5" s="7" t="str">
        <f t="shared" si="1"/>
        <v>RTHTMTBNORG84X72X08</v>
      </c>
      <c r="E5" s="27" t="str">
        <f>"SFG-FRBNOSRG-BOR-"&amp;K2&amp;"X"&amp;L2&amp;"X"&amp;IF(M2&gt;9,M2,"0"&amp;M2)</f>
        <v>SFG-FRBNOSRG-BOR-84X72X08</v>
      </c>
      <c r="F5" s="8" t="s">
        <v>11</v>
      </c>
      <c r="G5" s="10">
        <v>1</v>
      </c>
      <c r="H5" s="10">
        <f t="shared" ref="H5" si="2">ROUND(G5,3)</f>
        <v>1</v>
      </c>
      <c r="I5" s="20" t="s">
        <v>17</v>
      </c>
      <c r="J5" s="12"/>
      <c r="O5" s="18"/>
      <c r="R5" s="35" t="s">
        <v>96</v>
      </c>
      <c r="S5" s="35" t="s">
        <v>100</v>
      </c>
      <c r="T5" s="35">
        <v>8</v>
      </c>
      <c r="U5" s="36" t="s">
        <v>114</v>
      </c>
    </row>
    <row r="6" spans="1:21" x14ac:dyDescent="0.25">
      <c r="A6" s="37">
        <v>6</v>
      </c>
      <c r="B6" s="7" t="s">
        <v>18</v>
      </c>
      <c r="C6" s="9" t="s">
        <v>19</v>
      </c>
      <c r="D6" s="7" t="str">
        <f t="shared" si="1"/>
        <v>RTHTMTBNORG84X72X08</v>
      </c>
      <c r="E6" s="41" t="s">
        <v>20</v>
      </c>
      <c r="F6" s="42" t="s">
        <v>16</v>
      </c>
      <c r="G6" s="16">
        <f>(K2+L2+1.5)*4*0.0254*8</f>
        <v>128.01599999999999</v>
      </c>
      <c r="H6" s="10">
        <f t="shared" ref="H6:H15" si="3">ROUND(G6,3)</f>
        <v>128.01599999999999</v>
      </c>
      <c r="I6" s="8" t="s">
        <v>15</v>
      </c>
      <c r="J6" s="12"/>
      <c r="R6" s="35" t="s">
        <v>96</v>
      </c>
      <c r="S6" s="35" t="s">
        <v>101</v>
      </c>
      <c r="T6" s="35">
        <v>8</v>
      </c>
      <c r="U6" s="36" t="s">
        <v>114</v>
      </c>
    </row>
    <row r="7" spans="1:21" x14ac:dyDescent="0.25">
      <c r="A7" s="37">
        <v>7</v>
      </c>
      <c r="B7" s="7" t="s">
        <v>21</v>
      </c>
      <c r="C7" s="9" t="s">
        <v>22</v>
      </c>
      <c r="D7" s="7" t="str">
        <f t="shared" si="1"/>
        <v>RTHTMTBNORG84X72X08</v>
      </c>
      <c r="E7" s="21" t="s">
        <v>109</v>
      </c>
      <c r="F7" s="15" t="s">
        <v>110</v>
      </c>
      <c r="G7" s="23">
        <f>((K2-1)*(L2-1)/144)*0.00729*4</f>
        <v>1.1933325000000001</v>
      </c>
      <c r="H7" s="10">
        <f t="shared" si="3"/>
        <v>1.1930000000000001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8</v>
      </c>
      <c r="U7" s="36" t="s">
        <v>114</v>
      </c>
    </row>
    <row r="8" spans="1:21" x14ac:dyDescent="0.25">
      <c r="A8" s="37">
        <v>8</v>
      </c>
      <c r="B8" s="7" t="s">
        <v>21</v>
      </c>
      <c r="C8" s="9" t="s">
        <v>22</v>
      </c>
      <c r="D8" s="7" t="str">
        <f t="shared" si="1"/>
        <v>RTHTMTBNORG84X72X08</v>
      </c>
      <c r="E8" s="21" t="s">
        <v>111</v>
      </c>
      <c r="F8" s="11" t="s">
        <v>16</v>
      </c>
      <c r="G8" s="10">
        <f>(K2+L2+4)*2*0.0254*2</f>
        <v>16.256</v>
      </c>
      <c r="H8" s="10">
        <f t="shared" si="3"/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8</v>
      </c>
      <c r="U8" s="36" t="s">
        <v>114</v>
      </c>
    </row>
    <row r="9" spans="1:21" x14ac:dyDescent="0.25">
      <c r="A9" s="37">
        <v>9</v>
      </c>
      <c r="B9" s="7" t="s">
        <v>21</v>
      </c>
      <c r="C9" s="9" t="s">
        <v>22</v>
      </c>
      <c r="D9" s="7" t="str">
        <f t="shared" si="1"/>
        <v>RTHTMTBNORG84X72X08</v>
      </c>
      <c r="E9" s="21" t="s">
        <v>20</v>
      </c>
      <c r="F9" s="11" t="s">
        <v>16</v>
      </c>
      <c r="G9" s="10">
        <f>(K2+L2+4)*2*0.0254*(4.73+1.42)*2</f>
        <v>99.974400000000003</v>
      </c>
      <c r="H9" s="10">
        <f t="shared" si="3"/>
        <v>99.974000000000004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8</v>
      </c>
      <c r="U9" s="36" t="s">
        <v>114</v>
      </c>
    </row>
    <row r="10" spans="1:21" x14ac:dyDescent="0.25">
      <c r="A10" s="37">
        <v>10</v>
      </c>
      <c r="B10" s="7" t="s">
        <v>23</v>
      </c>
      <c r="C10" s="9" t="s">
        <v>23</v>
      </c>
      <c r="D10" s="7" t="str">
        <f t="shared" si="1"/>
        <v>RTHTMTBNORG84X72X08</v>
      </c>
      <c r="E10" s="21" t="str">
        <f>IF(M2=6,"RML-CS-PL-6.5""",IF(M2=8,"RML-CS-PL-8.5",IF(M2=10,"RML-CS-PL-10.5",IF(M2=12,"RML-CS-PL-12.25"))))</f>
        <v>RML-CS-PL-8.5</v>
      </c>
      <c r="F10" s="11" t="s">
        <v>11</v>
      </c>
      <c r="G10" s="10">
        <v>4</v>
      </c>
      <c r="H10" s="10">
        <f t="shared" si="3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8</v>
      </c>
      <c r="U10" s="36" t="s">
        <v>114</v>
      </c>
    </row>
    <row r="11" spans="1:21" x14ac:dyDescent="0.25">
      <c r="A11" s="37">
        <v>11</v>
      </c>
      <c r="B11" s="7" t="s">
        <v>23</v>
      </c>
      <c r="C11" s="9" t="s">
        <v>23</v>
      </c>
      <c r="D11" s="7" t="str">
        <f t="shared" si="1"/>
        <v>RTHTMTBNORG84X72X08</v>
      </c>
      <c r="E11" s="21" t="s">
        <v>24</v>
      </c>
      <c r="F11" s="11" t="s">
        <v>11</v>
      </c>
      <c r="G11" s="10">
        <v>1</v>
      </c>
      <c r="H11" s="10">
        <f t="shared" si="3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8</v>
      </c>
      <c r="U11" s="36" t="s">
        <v>114</v>
      </c>
    </row>
    <row r="12" spans="1:21" x14ac:dyDescent="0.25">
      <c r="A12" s="37">
        <v>12</v>
      </c>
      <c r="B12" s="7" t="s">
        <v>23</v>
      </c>
      <c r="C12" s="9" t="s">
        <v>23</v>
      </c>
      <c r="D12" s="7" t="str">
        <f t="shared" si="1"/>
        <v>RTHTMTBNORG84X72X08</v>
      </c>
      <c r="E12" s="21" t="s">
        <v>25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8</v>
      </c>
      <c r="U12" s="36" t="s">
        <v>114</v>
      </c>
    </row>
    <row r="13" spans="1:21" x14ac:dyDescent="0.25">
      <c r="A13" s="37">
        <v>13</v>
      </c>
      <c r="B13" s="7" t="s">
        <v>23</v>
      </c>
      <c r="C13" s="9" t="s">
        <v>23</v>
      </c>
      <c r="D13" s="7" t="str">
        <f t="shared" si="1"/>
        <v>RTHTMTBNORG84X72X08</v>
      </c>
      <c r="E13" s="21" t="s">
        <v>26</v>
      </c>
      <c r="F13" s="11" t="s">
        <v>11</v>
      </c>
      <c r="G13" s="14">
        <v>1</v>
      </c>
      <c r="H13" s="10">
        <f t="shared" si="3"/>
        <v>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8</v>
      </c>
      <c r="U13" s="36" t="s">
        <v>114</v>
      </c>
    </row>
    <row r="14" spans="1:21" x14ac:dyDescent="0.25">
      <c r="A14" s="37">
        <v>14</v>
      </c>
      <c r="B14" s="7" t="s">
        <v>23</v>
      </c>
      <c r="C14" s="9" t="s">
        <v>23</v>
      </c>
      <c r="D14" s="7" t="str">
        <f t="shared" si="1"/>
        <v>RTHTMTBNORG84X72X08</v>
      </c>
      <c r="E14" s="18" t="s">
        <v>115</v>
      </c>
      <c r="F14" s="11" t="s">
        <v>14</v>
      </c>
      <c r="G14" s="24">
        <f>IF(K2&lt;79,((L2*2)+(M2*2)+4),((K2*2)+(M2*2)+4))*0.0254*89.5*0.0254*0.00005*1300</f>
        <v>0.70560504039999994</v>
      </c>
      <c r="H14" s="10">
        <f t="shared" si="3"/>
        <v>0.70599999999999996</v>
      </c>
      <c r="I14" s="8" t="s">
        <v>15</v>
      </c>
      <c r="J14" s="12"/>
      <c r="M14" s="22"/>
      <c r="O14" s="22"/>
      <c r="R14" s="35" t="s">
        <v>105</v>
      </c>
      <c r="S14" s="35" t="s">
        <v>101</v>
      </c>
      <c r="T14" s="35">
        <v>8</v>
      </c>
      <c r="U14" s="36" t="s">
        <v>114</v>
      </c>
    </row>
    <row r="15" spans="1:21" x14ac:dyDescent="0.25">
      <c r="A15" s="37">
        <v>15</v>
      </c>
      <c r="B15" s="7" t="s">
        <v>112</v>
      </c>
      <c r="C15" s="9" t="s">
        <v>113</v>
      </c>
      <c r="D15" s="7" t="str">
        <f t="shared" si="1"/>
        <v>RTHTMTBNORG84X72X08</v>
      </c>
      <c r="E15" s="40" t="str">
        <f>"60D-RB-MAT-FOAM-"&amp;(K2-0.5)&amp;"0"&amp;"X"&amp;(L2-0.5)&amp;"0"&amp;"X15MM"</f>
        <v>60D-RB-MAT-FOAM-83.50X71.50X15MM</v>
      </c>
      <c r="F15" s="8" t="s">
        <v>11</v>
      </c>
      <c r="G15" s="14">
        <v>1</v>
      </c>
      <c r="H15" s="10">
        <f t="shared" si="3"/>
        <v>1</v>
      </c>
      <c r="I15" s="20" t="s">
        <v>17</v>
      </c>
      <c r="J15" s="12"/>
      <c r="N15"/>
      <c r="O15"/>
      <c r="R15" s="35" t="s">
        <v>105</v>
      </c>
      <c r="S15" s="35" t="s">
        <v>102</v>
      </c>
      <c r="T15" s="35">
        <v>8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8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8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8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8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8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8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8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8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8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8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8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8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8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8</v>
      </c>
      <c r="U29" s="36" t="s">
        <v>114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8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8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8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8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8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8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8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8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8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8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8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8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8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8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8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8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8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8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8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8</v>
      </c>
      <c r="U49" s="36"/>
    </row>
    <row r="50" spans="14:21" x14ac:dyDescent="0.25">
      <c r="R50" s="35">
        <v>75</v>
      </c>
      <c r="S50" s="35">
        <v>36</v>
      </c>
      <c r="T50" s="35">
        <v>8</v>
      </c>
      <c r="U50" s="36"/>
    </row>
    <row r="51" spans="14:21" x14ac:dyDescent="0.25">
      <c r="R51" s="35">
        <v>75</v>
      </c>
      <c r="S51" s="35">
        <v>42</v>
      </c>
      <c r="T51" s="35">
        <v>8</v>
      </c>
      <c r="U51" s="36"/>
    </row>
    <row r="52" spans="14:21" x14ac:dyDescent="0.25">
      <c r="R52" s="35">
        <v>75</v>
      </c>
      <c r="S52" s="35">
        <v>48</v>
      </c>
      <c r="T52" s="35">
        <v>8</v>
      </c>
      <c r="U52" s="36"/>
    </row>
    <row r="53" spans="14:21" x14ac:dyDescent="0.25">
      <c r="R53" s="35">
        <v>75</v>
      </c>
      <c r="S53" s="35">
        <v>60</v>
      </c>
      <c r="T53" s="35">
        <v>8</v>
      </c>
      <c r="U53" s="36"/>
    </row>
    <row r="54" spans="14:21" x14ac:dyDescent="0.25">
      <c r="R54" s="35">
        <v>75</v>
      </c>
      <c r="S54" s="35">
        <v>66</v>
      </c>
      <c r="T54" s="35">
        <v>8</v>
      </c>
      <c r="U54" s="36"/>
    </row>
    <row r="55" spans="14:21" x14ac:dyDescent="0.25">
      <c r="R55" s="35">
        <v>75</v>
      </c>
      <c r="S55" s="35">
        <v>72</v>
      </c>
      <c r="T55" s="35">
        <v>8</v>
      </c>
      <c r="U55" s="36"/>
    </row>
    <row r="56" spans="14:21" x14ac:dyDescent="0.25">
      <c r="R56" s="35">
        <v>78</v>
      </c>
      <c r="S56" s="35">
        <v>30</v>
      </c>
      <c r="T56" s="35">
        <v>8</v>
      </c>
      <c r="U56" s="36"/>
    </row>
    <row r="57" spans="14:21" x14ac:dyDescent="0.25">
      <c r="R57" s="35">
        <v>78</v>
      </c>
      <c r="S57" s="35">
        <v>36</v>
      </c>
      <c r="T57" s="35">
        <v>8</v>
      </c>
      <c r="U57" s="36"/>
    </row>
    <row r="58" spans="14:21" x14ac:dyDescent="0.25">
      <c r="R58" s="35">
        <v>78</v>
      </c>
      <c r="S58" s="35">
        <v>42</v>
      </c>
      <c r="T58" s="35">
        <v>8</v>
      </c>
      <c r="U58" s="36"/>
    </row>
    <row r="59" spans="14:21" x14ac:dyDescent="0.25">
      <c r="R59" s="35">
        <v>78</v>
      </c>
      <c r="S59" s="35">
        <v>48</v>
      </c>
      <c r="T59" s="35">
        <v>8</v>
      </c>
      <c r="U59" s="36"/>
    </row>
    <row r="60" spans="14:21" x14ac:dyDescent="0.25">
      <c r="R60" s="35">
        <v>78</v>
      </c>
      <c r="S60" s="35">
        <v>60</v>
      </c>
      <c r="T60" s="35">
        <v>8</v>
      </c>
      <c r="U60" s="36"/>
    </row>
    <row r="61" spans="14:21" x14ac:dyDescent="0.25">
      <c r="R61" s="35">
        <v>78</v>
      </c>
      <c r="S61" s="35">
        <v>66</v>
      </c>
      <c r="T61" s="35">
        <v>8</v>
      </c>
      <c r="U61" s="36"/>
    </row>
    <row r="62" spans="14:21" x14ac:dyDescent="0.25">
      <c r="R62" s="35">
        <v>78</v>
      </c>
      <c r="S62" s="35">
        <v>72</v>
      </c>
      <c r="T62" s="35">
        <v>8</v>
      </c>
      <c r="U62" s="36"/>
    </row>
    <row r="63" spans="14:21" x14ac:dyDescent="0.25">
      <c r="R63" s="35">
        <v>80</v>
      </c>
      <c r="S63" s="35">
        <v>30</v>
      </c>
      <c r="T63" s="35">
        <v>8</v>
      </c>
      <c r="U63" s="36"/>
    </row>
    <row r="64" spans="14:21" x14ac:dyDescent="0.25">
      <c r="R64" s="35">
        <v>80</v>
      </c>
      <c r="S64" s="35">
        <v>36</v>
      </c>
      <c r="T64" s="35">
        <v>8</v>
      </c>
      <c r="U64" s="36"/>
    </row>
    <row r="65" spans="18:21" x14ac:dyDescent="0.25">
      <c r="R65" s="35">
        <v>80</v>
      </c>
      <c r="S65" s="35">
        <v>42</v>
      </c>
      <c r="T65" s="35">
        <v>8</v>
      </c>
      <c r="U65" s="36"/>
    </row>
    <row r="66" spans="18:21" x14ac:dyDescent="0.25">
      <c r="R66" s="35">
        <v>80</v>
      </c>
      <c r="S66" s="35">
        <v>48</v>
      </c>
      <c r="T66" s="35">
        <v>8</v>
      </c>
      <c r="U66" s="36"/>
    </row>
    <row r="67" spans="18:21" x14ac:dyDescent="0.25">
      <c r="R67" s="35">
        <v>80</v>
      </c>
      <c r="S67" s="35">
        <v>60</v>
      </c>
      <c r="T67" s="35">
        <v>8</v>
      </c>
      <c r="U67" s="36"/>
    </row>
    <row r="68" spans="18:21" x14ac:dyDescent="0.25">
      <c r="R68" s="35">
        <v>80</v>
      </c>
      <c r="S68" s="35">
        <v>66</v>
      </c>
      <c r="T68" s="35">
        <v>8</v>
      </c>
      <c r="U68" s="36"/>
    </row>
    <row r="69" spans="18:21" x14ac:dyDescent="0.25">
      <c r="R69" s="35">
        <v>80</v>
      </c>
      <c r="S69" s="35">
        <v>72</v>
      </c>
      <c r="T69" s="35">
        <v>8</v>
      </c>
      <c r="U69" s="36"/>
    </row>
    <row r="70" spans="18:21" x14ac:dyDescent="0.25">
      <c r="R70" s="35">
        <v>84</v>
      </c>
      <c r="S70" s="35">
        <v>30</v>
      </c>
      <c r="T70" s="35">
        <v>8</v>
      </c>
      <c r="U70" s="36"/>
    </row>
    <row r="71" spans="18:21" x14ac:dyDescent="0.25">
      <c r="R71" s="35">
        <v>84</v>
      </c>
      <c r="S71" s="35">
        <v>36</v>
      </c>
      <c r="T71" s="35">
        <v>8</v>
      </c>
      <c r="U71" s="36"/>
    </row>
    <row r="72" spans="18:21" x14ac:dyDescent="0.25">
      <c r="R72" s="35">
        <v>84</v>
      </c>
      <c r="S72" s="35">
        <v>42</v>
      </c>
      <c r="T72" s="35">
        <v>8</v>
      </c>
      <c r="U72" s="36"/>
    </row>
    <row r="73" spans="18:21" x14ac:dyDescent="0.25">
      <c r="R73" s="35">
        <v>84</v>
      </c>
      <c r="S73" s="35">
        <v>48</v>
      </c>
      <c r="T73" s="35">
        <v>8</v>
      </c>
      <c r="U73" s="36"/>
    </row>
    <row r="74" spans="18:21" x14ac:dyDescent="0.25">
      <c r="R74" s="35">
        <v>84</v>
      </c>
      <c r="S74" s="35">
        <v>60</v>
      </c>
      <c r="T74" s="35">
        <v>8</v>
      </c>
      <c r="U74" s="36"/>
    </row>
    <row r="75" spans="18:21" x14ac:dyDescent="0.25">
      <c r="R75" s="35">
        <v>84</v>
      </c>
      <c r="S75" s="35">
        <v>66</v>
      </c>
      <c r="T75" s="35">
        <v>8</v>
      </c>
      <c r="U75" s="36"/>
    </row>
    <row r="76" spans="18:21" x14ac:dyDescent="0.25">
      <c r="R76" s="35">
        <v>84</v>
      </c>
      <c r="S76" s="35">
        <v>72</v>
      </c>
      <c r="T76" s="35">
        <v>8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159</v>
      </c>
      <c r="C2">
        <v>10</v>
      </c>
      <c r="D2" t="s">
        <v>344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159</v>
      </c>
      <c r="C3">
        <v>20</v>
      </c>
      <c r="D3" t="s">
        <v>116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159</v>
      </c>
      <c r="C4">
        <v>30</v>
      </c>
      <c r="D4" t="s">
        <v>118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159</v>
      </c>
      <c r="C5">
        <v>40</v>
      </c>
      <c r="D5" t="s">
        <v>119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159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159</v>
      </c>
      <c r="C7">
        <v>60</v>
      </c>
      <c r="D7" t="s">
        <v>109</v>
      </c>
      <c r="E7" t="s">
        <v>110</v>
      </c>
      <c r="F7">
        <v>0.46</v>
      </c>
      <c r="G7" t="s">
        <v>15</v>
      </c>
    </row>
    <row r="8" spans="1:7" x14ac:dyDescent="0.25">
      <c r="A8">
        <v>1</v>
      </c>
      <c r="B8" t="s">
        <v>159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159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159</v>
      </c>
      <c r="C10">
        <v>90</v>
      </c>
      <c r="D10" t="s">
        <v>117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159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159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159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159</v>
      </c>
      <c r="C14">
        <v>130</v>
      </c>
      <c r="D14" t="s">
        <v>115</v>
      </c>
      <c r="E14" t="s">
        <v>14</v>
      </c>
      <c r="F14">
        <v>0.32300000000000001</v>
      </c>
      <c r="G14" t="s">
        <v>15</v>
      </c>
    </row>
    <row r="15" spans="1:7" x14ac:dyDescent="0.25">
      <c r="A15">
        <v>1</v>
      </c>
      <c r="B15" t="s">
        <v>159</v>
      </c>
      <c r="C15">
        <v>140</v>
      </c>
      <c r="D15" t="s">
        <v>269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160</v>
      </c>
      <c r="C16">
        <v>10</v>
      </c>
      <c r="D16" t="s">
        <v>345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160</v>
      </c>
      <c r="C17">
        <v>20</v>
      </c>
      <c r="D17" t="s">
        <v>116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160</v>
      </c>
      <c r="C18">
        <v>30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160</v>
      </c>
      <c r="C19">
        <v>40</v>
      </c>
      <c r="D19" t="s">
        <v>120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160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160</v>
      </c>
      <c r="C21">
        <v>60</v>
      </c>
      <c r="D21" t="s">
        <v>109</v>
      </c>
      <c r="E21" t="s">
        <v>110</v>
      </c>
      <c r="F21">
        <v>0.54600000000000004</v>
      </c>
      <c r="G21" t="s">
        <v>15</v>
      </c>
    </row>
    <row r="22" spans="1:7" x14ac:dyDescent="0.25">
      <c r="A22">
        <v>2</v>
      </c>
      <c r="B22" t="s">
        <v>160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160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160</v>
      </c>
      <c r="C24">
        <v>90</v>
      </c>
      <c r="D24" t="s">
        <v>117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160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160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160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160</v>
      </c>
      <c r="C28">
        <v>130</v>
      </c>
      <c r="D28" t="s">
        <v>115</v>
      </c>
      <c r="E28" t="s">
        <v>14</v>
      </c>
      <c r="F28">
        <v>0.36799999999999999</v>
      </c>
      <c r="G28" t="s">
        <v>15</v>
      </c>
    </row>
    <row r="29" spans="1:7" x14ac:dyDescent="0.25">
      <c r="A29">
        <v>2</v>
      </c>
      <c r="B29" t="s">
        <v>160</v>
      </c>
      <c r="C29">
        <v>140</v>
      </c>
      <c r="D29" t="s">
        <v>270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161</v>
      </c>
      <c r="C30">
        <v>10</v>
      </c>
      <c r="D30" t="s">
        <v>346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161</v>
      </c>
      <c r="C31">
        <v>20</v>
      </c>
      <c r="D31" t="s">
        <v>116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161</v>
      </c>
      <c r="C32">
        <v>30</v>
      </c>
      <c r="D32" t="s">
        <v>118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161</v>
      </c>
      <c r="C33">
        <v>40</v>
      </c>
      <c r="D33" t="s">
        <v>121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161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161</v>
      </c>
      <c r="C35">
        <v>60</v>
      </c>
      <c r="D35" t="s">
        <v>109</v>
      </c>
      <c r="E35" t="s">
        <v>110</v>
      </c>
      <c r="F35">
        <v>0.63300000000000001</v>
      </c>
      <c r="G35" t="s">
        <v>15</v>
      </c>
    </row>
    <row r="36" spans="1:7" x14ac:dyDescent="0.25">
      <c r="A36">
        <v>3</v>
      </c>
      <c r="B36" t="s">
        <v>161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161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161</v>
      </c>
      <c r="C38">
        <v>90</v>
      </c>
      <c r="D38" t="s">
        <v>117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161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161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161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161</v>
      </c>
      <c r="C42">
        <v>130</v>
      </c>
      <c r="D42" t="s">
        <v>115</v>
      </c>
      <c r="E42" t="s">
        <v>14</v>
      </c>
      <c r="F42">
        <v>0.41299999999999998</v>
      </c>
      <c r="G42" t="s">
        <v>15</v>
      </c>
    </row>
    <row r="43" spans="1:7" x14ac:dyDescent="0.25">
      <c r="A43">
        <v>3</v>
      </c>
      <c r="B43" t="s">
        <v>161</v>
      </c>
      <c r="C43">
        <v>140</v>
      </c>
      <c r="D43" t="s">
        <v>271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162</v>
      </c>
      <c r="C44">
        <v>10</v>
      </c>
      <c r="D44" t="s">
        <v>347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162</v>
      </c>
      <c r="C45">
        <v>20</v>
      </c>
      <c r="D45" t="s">
        <v>116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162</v>
      </c>
      <c r="C46">
        <v>30</v>
      </c>
      <c r="D46" t="s">
        <v>118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162</v>
      </c>
      <c r="C47">
        <v>40</v>
      </c>
      <c r="D47" t="s">
        <v>122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162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162</v>
      </c>
      <c r="C49">
        <v>60</v>
      </c>
      <c r="D49" t="s">
        <v>109</v>
      </c>
      <c r="E49" t="s">
        <v>110</v>
      </c>
      <c r="F49">
        <v>0.71899999999999997</v>
      </c>
      <c r="G49" t="s">
        <v>15</v>
      </c>
    </row>
    <row r="50" spans="1:7" x14ac:dyDescent="0.25">
      <c r="A50">
        <v>4</v>
      </c>
      <c r="B50" t="s">
        <v>162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162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162</v>
      </c>
      <c r="C52">
        <v>90</v>
      </c>
      <c r="D52" t="s">
        <v>117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162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162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162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162</v>
      </c>
      <c r="C56">
        <v>130</v>
      </c>
      <c r="D56" t="s">
        <v>115</v>
      </c>
      <c r="E56" t="s">
        <v>14</v>
      </c>
      <c r="F56">
        <v>0.45800000000000002</v>
      </c>
      <c r="G56" t="s">
        <v>15</v>
      </c>
    </row>
    <row r="57" spans="1:7" x14ac:dyDescent="0.25">
      <c r="A57">
        <v>4</v>
      </c>
      <c r="B57" t="s">
        <v>162</v>
      </c>
      <c r="C57">
        <v>140</v>
      </c>
      <c r="D57" t="s">
        <v>272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163</v>
      </c>
      <c r="C58">
        <v>10</v>
      </c>
      <c r="D58" t="s">
        <v>348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163</v>
      </c>
      <c r="C59">
        <v>20</v>
      </c>
      <c r="D59" t="s">
        <v>116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163</v>
      </c>
      <c r="C60">
        <v>30</v>
      </c>
      <c r="D60" t="s">
        <v>118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163</v>
      </c>
      <c r="C61">
        <v>40</v>
      </c>
      <c r="D61" t="s">
        <v>123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163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163</v>
      </c>
      <c r="C63">
        <v>60</v>
      </c>
      <c r="D63" t="s">
        <v>109</v>
      </c>
      <c r="E63" t="s">
        <v>110</v>
      </c>
      <c r="F63">
        <v>0.76200000000000001</v>
      </c>
      <c r="G63" t="s">
        <v>15</v>
      </c>
    </row>
    <row r="64" spans="1:7" x14ac:dyDescent="0.25">
      <c r="A64">
        <v>5</v>
      </c>
      <c r="B64" t="s">
        <v>163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163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163</v>
      </c>
      <c r="C66">
        <v>90</v>
      </c>
      <c r="D66" t="s">
        <v>117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163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163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163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163</v>
      </c>
      <c r="C70">
        <v>130</v>
      </c>
      <c r="D70" t="s">
        <v>115</v>
      </c>
      <c r="E70" t="s">
        <v>14</v>
      </c>
      <c r="F70">
        <v>0.48</v>
      </c>
      <c r="G70" t="s">
        <v>15</v>
      </c>
    </row>
    <row r="71" spans="1:7" x14ac:dyDescent="0.25">
      <c r="A71">
        <v>5</v>
      </c>
      <c r="B71" t="s">
        <v>163</v>
      </c>
      <c r="C71">
        <v>140</v>
      </c>
      <c r="D71" t="s">
        <v>273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164</v>
      </c>
      <c r="C72">
        <v>10</v>
      </c>
      <c r="D72" t="s">
        <v>349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164</v>
      </c>
      <c r="C73">
        <v>20</v>
      </c>
      <c r="D73" t="s">
        <v>116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164</v>
      </c>
      <c r="C74">
        <v>30</v>
      </c>
      <c r="D74" t="s">
        <v>118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164</v>
      </c>
      <c r="C75">
        <v>40</v>
      </c>
      <c r="D75" t="s">
        <v>124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164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164</v>
      </c>
      <c r="C77">
        <v>60</v>
      </c>
      <c r="D77" t="s">
        <v>109</v>
      </c>
      <c r="E77" t="s">
        <v>110</v>
      </c>
      <c r="F77">
        <v>0.80500000000000005</v>
      </c>
      <c r="G77" t="s">
        <v>15</v>
      </c>
    </row>
    <row r="78" spans="1:7" x14ac:dyDescent="0.25">
      <c r="A78">
        <v>6</v>
      </c>
      <c r="B78" t="s">
        <v>164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164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164</v>
      </c>
      <c r="C80">
        <v>90</v>
      </c>
      <c r="D80" t="s">
        <v>117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164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164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164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164</v>
      </c>
      <c r="C84">
        <v>130</v>
      </c>
      <c r="D84" t="s">
        <v>115</v>
      </c>
      <c r="E84" t="s">
        <v>14</v>
      </c>
      <c r="F84">
        <v>0.503</v>
      </c>
      <c r="G84" t="s">
        <v>15</v>
      </c>
    </row>
    <row r="85" spans="1:7" x14ac:dyDescent="0.25">
      <c r="A85">
        <v>6</v>
      </c>
      <c r="B85" t="s">
        <v>164</v>
      </c>
      <c r="C85">
        <v>140</v>
      </c>
      <c r="D85" t="s">
        <v>274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165</v>
      </c>
      <c r="C86">
        <v>10</v>
      </c>
      <c r="D86" t="s">
        <v>350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165</v>
      </c>
      <c r="C87">
        <v>20</v>
      </c>
      <c r="D87" t="s">
        <v>116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165</v>
      </c>
      <c r="C88">
        <v>30</v>
      </c>
      <c r="D88" t="s">
        <v>118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165</v>
      </c>
      <c r="C89">
        <v>40</v>
      </c>
      <c r="D89" t="s">
        <v>125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165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165</v>
      </c>
      <c r="C91">
        <v>60</v>
      </c>
      <c r="D91" t="s">
        <v>109</v>
      </c>
      <c r="E91" t="s">
        <v>110</v>
      </c>
      <c r="F91">
        <v>0.89100000000000001</v>
      </c>
      <c r="G91" t="s">
        <v>15</v>
      </c>
    </row>
    <row r="92" spans="1:7" x14ac:dyDescent="0.25">
      <c r="A92">
        <v>7</v>
      </c>
      <c r="B92" t="s">
        <v>165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165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165</v>
      </c>
      <c r="C94">
        <v>90</v>
      </c>
      <c r="D94" t="s">
        <v>117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165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165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165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165</v>
      </c>
      <c r="C98">
        <v>130</v>
      </c>
      <c r="D98" t="s">
        <v>115</v>
      </c>
      <c r="E98" t="s">
        <v>14</v>
      </c>
      <c r="F98">
        <v>0.54800000000000004</v>
      </c>
      <c r="G98" t="s">
        <v>15</v>
      </c>
    </row>
    <row r="99" spans="1:7" x14ac:dyDescent="0.25">
      <c r="A99">
        <v>7</v>
      </c>
      <c r="B99" t="s">
        <v>165</v>
      </c>
      <c r="C99">
        <v>140</v>
      </c>
      <c r="D99" t="s">
        <v>275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166</v>
      </c>
      <c r="C100">
        <v>10</v>
      </c>
      <c r="D100" t="s">
        <v>351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166</v>
      </c>
      <c r="C101">
        <v>20</v>
      </c>
      <c r="D101" t="s">
        <v>116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166</v>
      </c>
      <c r="C102">
        <v>30</v>
      </c>
      <c r="D102" t="s">
        <v>118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166</v>
      </c>
      <c r="C103">
        <v>40</v>
      </c>
      <c r="D103" t="s">
        <v>126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166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166</v>
      </c>
      <c r="C105">
        <v>60</v>
      </c>
      <c r="D105" t="s">
        <v>109</v>
      </c>
      <c r="E105" t="s">
        <v>110</v>
      </c>
      <c r="F105">
        <v>0.97799999999999998</v>
      </c>
      <c r="G105" t="s">
        <v>15</v>
      </c>
    </row>
    <row r="106" spans="1:7" x14ac:dyDescent="0.25">
      <c r="A106">
        <v>8</v>
      </c>
      <c r="B106" t="s">
        <v>166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166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166</v>
      </c>
      <c r="C108">
        <v>90</v>
      </c>
      <c r="D108" t="s">
        <v>117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166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166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166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166</v>
      </c>
      <c r="C112">
        <v>130</v>
      </c>
      <c r="D112" t="s">
        <v>115</v>
      </c>
      <c r="E112" t="s">
        <v>14</v>
      </c>
      <c r="F112">
        <v>0.59299999999999997</v>
      </c>
      <c r="G112" t="s">
        <v>15</v>
      </c>
    </row>
    <row r="113" spans="1:7" x14ac:dyDescent="0.25">
      <c r="A113">
        <v>8</v>
      </c>
      <c r="B113" t="s">
        <v>166</v>
      </c>
      <c r="C113">
        <v>140</v>
      </c>
      <c r="D113" t="s">
        <v>276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167</v>
      </c>
      <c r="C114">
        <v>10</v>
      </c>
      <c r="D114" t="s">
        <v>352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167</v>
      </c>
      <c r="C115">
        <v>20</v>
      </c>
      <c r="D115" t="s">
        <v>116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167</v>
      </c>
      <c r="C116">
        <v>30</v>
      </c>
      <c r="D116" t="s">
        <v>118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167</v>
      </c>
      <c r="C117">
        <v>40</v>
      </c>
      <c r="D117" t="s">
        <v>127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167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167</v>
      </c>
      <c r="C119">
        <v>60</v>
      </c>
      <c r="D119" t="s">
        <v>109</v>
      </c>
      <c r="E119" t="s">
        <v>110</v>
      </c>
      <c r="F119">
        <v>0.48</v>
      </c>
      <c r="G119" t="s">
        <v>15</v>
      </c>
    </row>
    <row r="120" spans="1:7" x14ac:dyDescent="0.25">
      <c r="A120">
        <v>9</v>
      </c>
      <c r="B120" t="s">
        <v>167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167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167</v>
      </c>
      <c r="C122">
        <v>90</v>
      </c>
      <c r="D122" t="s">
        <v>117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167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167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167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167</v>
      </c>
      <c r="C126">
        <v>130</v>
      </c>
      <c r="D126" t="s">
        <v>115</v>
      </c>
      <c r="E126" t="s">
        <v>14</v>
      </c>
      <c r="F126">
        <v>0.32300000000000001</v>
      </c>
      <c r="G126" t="s">
        <v>15</v>
      </c>
    </row>
    <row r="127" spans="1:7" x14ac:dyDescent="0.25">
      <c r="A127">
        <v>9</v>
      </c>
      <c r="B127" t="s">
        <v>167</v>
      </c>
      <c r="C127">
        <v>140</v>
      </c>
      <c r="D127" t="s">
        <v>277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168</v>
      </c>
      <c r="C128">
        <v>10</v>
      </c>
      <c r="D128" t="s">
        <v>353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168</v>
      </c>
      <c r="C129">
        <v>20</v>
      </c>
      <c r="D129" t="s">
        <v>116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168</v>
      </c>
      <c r="C130">
        <v>30</v>
      </c>
      <c r="D130" t="s">
        <v>118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168</v>
      </c>
      <c r="C131">
        <v>40</v>
      </c>
      <c r="D131" t="s">
        <v>128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168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168</v>
      </c>
      <c r="C133">
        <v>60</v>
      </c>
      <c r="D133" t="s">
        <v>109</v>
      </c>
      <c r="E133" t="s">
        <v>110</v>
      </c>
      <c r="F133">
        <v>0.56899999999999995</v>
      </c>
      <c r="G133" t="s">
        <v>15</v>
      </c>
    </row>
    <row r="134" spans="1:7" x14ac:dyDescent="0.25">
      <c r="A134">
        <v>10</v>
      </c>
      <c r="B134" t="s">
        <v>168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168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168</v>
      </c>
      <c r="C136">
        <v>90</v>
      </c>
      <c r="D136" t="s">
        <v>117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168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168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168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168</v>
      </c>
      <c r="C140">
        <v>130</v>
      </c>
      <c r="D140" t="s">
        <v>115</v>
      </c>
      <c r="E140" t="s">
        <v>14</v>
      </c>
      <c r="F140">
        <v>0.36799999999999999</v>
      </c>
      <c r="G140" t="s">
        <v>15</v>
      </c>
    </row>
    <row r="141" spans="1:7" x14ac:dyDescent="0.25">
      <c r="A141">
        <v>10</v>
      </c>
      <c r="B141" t="s">
        <v>168</v>
      </c>
      <c r="C141">
        <v>140</v>
      </c>
      <c r="D141" t="s">
        <v>278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169</v>
      </c>
      <c r="C142">
        <v>10</v>
      </c>
      <c r="D142" t="s">
        <v>354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169</v>
      </c>
      <c r="C143">
        <v>20</v>
      </c>
      <c r="D143" t="s">
        <v>116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169</v>
      </c>
      <c r="C144">
        <v>30</v>
      </c>
      <c r="D144" t="s">
        <v>118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169</v>
      </c>
      <c r="C145">
        <v>40</v>
      </c>
      <c r="D145" t="s">
        <v>129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169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169</v>
      </c>
      <c r="C147">
        <v>60</v>
      </c>
      <c r="D147" t="s">
        <v>109</v>
      </c>
      <c r="E147" t="s">
        <v>110</v>
      </c>
      <c r="F147">
        <v>0.65900000000000003</v>
      </c>
      <c r="G147" t="s">
        <v>15</v>
      </c>
    </row>
    <row r="148" spans="1:7" x14ac:dyDescent="0.25">
      <c r="A148">
        <v>11</v>
      </c>
      <c r="B148" t="s">
        <v>169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169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169</v>
      </c>
      <c r="C150">
        <v>90</v>
      </c>
      <c r="D150" t="s">
        <v>117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169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169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169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169</v>
      </c>
      <c r="C154">
        <v>130</v>
      </c>
      <c r="D154" t="s">
        <v>115</v>
      </c>
      <c r="E154" t="s">
        <v>14</v>
      </c>
      <c r="F154">
        <v>0.41299999999999998</v>
      </c>
      <c r="G154" t="s">
        <v>15</v>
      </c>
    </row>
    <row r="155" spans="1:7" x14ac:dyDescent="0.25">
      <c r="A155">
        <v>11</v>
      </c>
      <c r="B155" t="s">
        <v>169</v>
      </c>
      <c r="C155">
        <v>140</v>
      </c>
      <c r="D155" t="s">
        <v>279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170</v>
      </c>
      <c r="C156">
        <v>10</v>
      </c>
      <c r="D156" t="s">
        <v>355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170</v>
      </c>
      <c r="C157">
        <v>20</v>
      </c>
      <c r="D157" t="s">
        <v>116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170</v>
      </c>
      <c r="C158">
        <v>30</v>
      </c>
      <c r="D158" t="s">
        <v>118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170</v>
      </c>
      <c r="C159">
        <v>40</v>
      </c>
      <c r="D159" t="s">
        <v>130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170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170</v>
      </c>
      <c r="C161">
        <v>60</v>
      </c>
      <c r="D161" t="s">
        <v>109</v>
      </c>
      <c r="E161" t="s">
        <v>110</v>
      </c>
      <c r="F161">
        <v>0.749</v>
      </c>
      <c r="G161" t="s">
        <v>15</v>
      </c>
    </row>
    <row r="162" spans="1:7" x14ac:dyDescent="0.25">
      <c r="A162">
        <v>12</v>
      </c>
      <c r="B162" t="s">
        <v>170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170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170</v>
      </c>
      <c r="C164">
        <v>90</v>
      </c>
      <c r="D164" t="s">
        <v>117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170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170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170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170</v>
      </c>
      <c r="C168">
        <v>130</v>
      </c>
      <c r="D168" t="s">
        <v>115</v>
      </c>
      <c r="E168" t="s">
        <v>14</v>
      </c>
      <c r="F168">
        <v>0.45800000000000002</v>
      </c>
      <c r="G168" t="s">
        <v>15</v>
      </c>
    </row>
    <row r="169" spans="1:7" x14ac:dyDescent="0.25">
      <c r="A169">
        <v>12</v>
      </c>
      <c r="B169" t="s">
        <v>170</v>
      </c>
      <c r="C169">
        <v>140</v>
      </c>
      <c r="D169" t="s">
        <v>280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171</v>
      </c>
      <c r="C170">
        <v>10</v>
      </c>
      <c r="D170" t="s">
        <v>356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171</v>
      </c>
      <c r="C171">
        <v>20</v>
      </c>
      <c r="D171" t="s">
        <v>116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171</v>
      </c>
      <c r="C172">
        <v>30</v>
      </c>
      <c r="D172" t="s">
        <v>118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171</v>
      </c>
      <c r="C173">
        <v>40</v>
      </c>
      <c r="D173" t="s">
        <v>131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171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171</v>
      </c>
      <c r="C175">
        <v>60</v>
      </c>
      <c r="D175" t="s">
        <v>109</v>
      </c>
      <c r="E175" t="s">
        <v>110</v>
      </c>
      <c r="F175">
        <v>0.79400000000000004</v>
      </c>
      <c r="G175" t="s">
        <v>15</v>
      </c>
    </row>
    <row r="176" spans="1:7" x14ac:dyDescent="0.25">
      <c r="A176">
        <v>13</v>
      </c>
      <c r="B176" t="s">
        <v>171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171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171</v>
      </c>
      <c r="C178">
        <v>90</v>
      </c>
      <c r="D178" t="s">
        <v>117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171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171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171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171</v>
      </c>
      <c r="C182">
        <v>130</v>
      </c>
      <c r="D182" t="s">
        <v>115</v>
      </c>
      <c r="E182" t="s">
        <v>14</v>
      </c>
      <c r="F182">
        <v>0.48</v>
      </c>
      <c r="G182" t="s">
        <v>15</v>
      </c>
    </row>
    <row r="183" spans="1:7" x14ac:dyDescent="0.25">
      <c r="A183">
        <v>13</v>
      </c>
      <c r="B183" t="s">
        <v>171</v>
      </c>
      <c r="C183">
        <v>140</v>
      </c>
      <c r="D183" t="s">
        <v>281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172</v>
      </c>
      <c r="C184">
        <v>10</v>
      </c>
      <c r="D184" t="s">
        <v>357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172</v>
      </c>
      <c r="C185">
        <v>20</v>
      </c>
      <c r="D185" t="s">
        <v>116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172</v>
      </c>
      <c r="C186">
        <v>30</v>
      </c>
      <c r="D186" t="s">
        <v>118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172</v>
      </c>
      <c r="C187">
        <v>40</v>
      </c>
      <c r="D187" t="s">
        <v>132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172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172</v>
      </c>
      <c r="C189">
        <v>60</v>
      </c>
      <c r="D189" t="s">
        <v>109</v>
      </c>
      <c r="E189" t="s">
        <v>110</v>
      </c>
      <c r="F189">
        <v>0.83899999999999997</v>
      </c>
      <c r="G189" t="s">
        <v>15</v>
      </c>
    </row>
    <row r="190" spans="1:7" x14ac:dyDescent="0.25">
      <c r="A190">
        <v>14</v>
      </c>
      <c r="B190" t="s">
        <v>172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172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172</v>
      </c>
      <c r="C192">
        <v>90</v>
      </c>
      <c r="D192" t="s">
        <v>117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172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172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172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172</v>
      </c>
      <c r="C196">
        <v>130</v>
      </c>
      <c r="D196" t="s">
        <v>115</v>
      </c>
      <c r="E196" t="s">
        <v>14</v>
      </c>
      <c r="F196">
        <v>0.503</v>
      </c>
      <c r="G196" t="s">
        <v>15</v>
      </c>
    </row>
    <row r="197" spans="1:7" x14ac:dyDescent="0.25">
      <c r="A197">
        <v>14</v>
      </c>
      <c r="B197" t="s">
        <v>172</v>
      </c>
      <c r="C197">
        <v>140</v>
      </c>
      <c r="D197" t="s">
        <v>282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173</v>
      </c>
      <c r="C198">
        <v>10</v>
      </c>
      <c r="D198" t="s">
        <v>358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173</v>
      </c>
      <c r="C199">
        <v>20</v>
      </c>
      <c r="D199" t="s">
        <v>116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173</v>
      </c>
      <c r="C200">
        <v>30</v>
      </c>
      <c r="D200" t="s">
        <v>118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173</v>
      </c>
      <c r="C201">
        <v>40</v>
      </c>
      <c r="D201" t="s">
        <v>133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173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173</v>
      </c>
      <c r="C203">
        <v>60</v>
      </c>
      <c r="D203" t="s">
        <v>109</v>
      </c>
      <c r="E203" t="s">
        <v>110</v>
      </c>
      <c r="F203">
        <v>0.92900000000000005</v>
      </c>
      <c r="G203" t="s">
        <v>15</v>
      </c>
    </row>
    <row r="204" spans="1:7" x14ac:dyDescent="0.25">
      <c r="A204">
        <v>15</v>
      </c>
      <c r="B204" t="s">
        <v>173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173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173</v>
      </c>
      <c r="C206">
        <v>90</v>
      </c>
      <c r="D206" t="s">
        <v>117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173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173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173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173</v>
      </c>
      <c r="C210">
        <v>130</v>
      </c>
      <c r="D210" t="s">
        <v>115</v>
      </c>
      <c r="E210" t="s">
        <v>14</v>
      </c>
      <c r="F210">
        <v>0.54800000000000004</v>
      </c>
      <c r="G210" t="s">
        <v>15</v>
      </c>
    </row>
    <row r="211" spans="1:7" x14ac:dyDescent="0.25">
      <c r="A211">
        <v>15</v>
      </c>
      <c r="B211" t="s">
        <v>173</v>
      </c>
      <c r="C211">
        <v>140</v>
      </c>
      <c r="D211" t="s">
        <v>283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174</v>
      </c>
      <c r="C212">
        <v>10</v>
      </c>
      <c r="D212" t="s">
        <v>359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174</v>
      </c>
      <c r="C213">
        <v>20</v>
      </c>
      <c r="D213" t="s">
        <v>116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174</v>
      </c>
      <c r="C214">
        <v>30</v>
      </c>
      <c r="D214" t="s">
        <v>118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174</v>
      </c>
      <c r="C215">
        <v>40</v>
      </c>
      <c r="D215" t="s">
        <v>134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174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174</v>
      </c>
      <c r="C217">
        <v>60</v>
      </c>
      <c r="D217" t="s">
        <v>109</v>
      </c>
      <c r="E217" t="s">
        <v>110</v>
      </c>
      <c r="F217">
        <v>1.0189999999999999</v>
      </c>
      <c r="G217" t="s">
        <v>15</v>
      </c>
    </row>
    <row r="218" spans="1:7" x14ac:dyDescent="0.25">
      <c r="A218">
        <v>16</v>
      </c>
      <c r="B218" t="s">
        <v>174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174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174</v>
      </c>
      <c r="C220">
        <v>90</v>
      </c>
      <c r="D220" t="s">
        <v>117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174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174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174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174</v>
      </c>
      <c r="C224">
        <v>130</v>
      </c>
      <c r="D224" t="s">
        <v>115</v>
      </c>
      <c r="E224" t="s">
        <v>14</v>
      </c>
      <c r="F224">
        <v>0.59299999999999997</v>
      </c>
      <c r="G224" t="s">
        <v>15</v>
      </c>
    </row>
    <row r="225" spans="1:7" x14ac:dyDescent="0.25">
      <c r="A225">
        <v>16</v>
      </c>
      <c r="B225" t="s">
        <v>174</v>
      </c>
      <c r="C225">
        <v>140</v>
      </c>
      <c r="D225" t="s">
        <v>284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175</v>
      </c>
      <c r="C226">
        <v>10</v>
      </c>
      <c r="D226" t="s">
        <v>360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175</v>
      </c>
      <c r="C227">
        <v>20</v>
      </c>
      <c r="D227" t="s">
        <v>116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175</v>
      </c>
      <c r="C228">
        <v>30</v>
      </c>
      <c r="D228" t="s">
        <v>118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175</v>
      </c>
      <c r="C229">
        <v>40</v>
      </c>
      <c r="D229" t="s">
        <v>135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175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175</v>
      </c>
      <c r="C231">
        <v>60</v>
      </c>
      <c r="D231" t="s">
        <v>109</v>
      </c>
      <c r="E231" t="s">
        <v>110</v>
      </c>
      <c r="F231">
        <v>0.499</v>
      </c>
      <c r="G231" t="s">
        <v>15</v>
      </c>
    </row>
    <row r="232" spans="1:7" x14ac:dyDescent="0.25">
      <c r="A232">
        <v>17</v>
      </c>
      <c r="B232" t="s">
        <v>175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175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175</v>
      </c>
      <c r="C234">
        <v>90</v>
      </c>
      <c r="D234" t="s">
        <v>117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175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175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175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175</v>
      </c>
      <c r="C238">
        <v>130</v>
      </c>
      <c r="D238" t="s">
        <v>115</v>
      </c>
      <c r="E238" t="s">
        <v>14</v>
      </c>
      <c r="F238">
        <v>0.32300000000000001</v>
      </c>
      <c r="G238" t="s">
        <v>15</v>
      </c>
    </row>
    <row r="239" spans="1:7" x14ac:dyDescent="0.25">
      <c r="A239">
        <v>17</v>
      </c>
      <c r="B239" t="s">
        <v>175</v>
      </c>
      <c r="C239">
        <v>140</v>
      </c>
      <c r="D239" t="s">
        <v>285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176</v>
      </c>
      <c r="C240">
        <v>10</v>
      </c>
      <c r="D240" t="s">
        <v>361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176</v>
      </c>
      <c r="C241">
        <v>20</v>
      </c>
      <c r="D241" t="s">
        <v>116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176</v>
      </c>
      <c r="C242">
        <v>30</v>
      </c>
      <c r="D242" t="s">
        <v>118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176</v>
      </c>
      <c r="C243">
        <v>40</v>
      </c>
      <c r="D243" t="s">
        <v>136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176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176</v>
      </c>
      <c r="C245">
        <v>60</v>
      </c>
      <c r="D245" t="s">
        <v>109</v>
      </c>
      <c r="E245" t="s">
        <v>110</v>
      </c>
      <c r="F245">
        <v>0.59299999999999997</v>
      </c>
      <c r="G245" t="s">
        <v>15</v>
      </c>
    </row>
    <row r="246" spans="1:7" x14ac:dyDescent="0.25">
      <c r="A246">
        <v>18</v>
      </c>
      <c r="B246" t="s">
        <v>176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176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176</v>
      </c>
      <c r="C248">
        <v>90</v>
      </c>
      <c r="D248" t="s">
        <v>117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176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176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176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176</v>
      </c>
      <c r="C252">
        <v>130</v>
      </c>
      <c r="D252" t="s">
        <v>115</v>
      </c>
      <c r="E252" t="s">
        <v>14</v>
      </c>
      <c r="F252">
        <v>0.36799999999999999</v>
      </c>
      <c r="G252" t="s">
        <v>15</v>
      </c>
    </row>
    <row r="253" spans="1:7" x14ac:dyDescent="0.25">
      <c r="A253">
        <v>18</v>
      </c>
      <c r="B253" t="s">
        <v>176</v>
      </c>
      <c r="C253">
        <v>140</v>
      </c>
      <c r="D253" t="s">
        <v>286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177</v>
      </c>
      <c r="C254">
        <v>10</v>
      </c>
      <c r="D254" t="s">
        <v>362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177</v>
      </c>
      <c r="C255">
        <v>20</v>
      </c>
      <c r="D255" t="s">
        <v>116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177</v>
      </c>
      <c r="C256">
        <v>30</v>
      </c>
      <c r="D256" t="s">
        <v>118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177</v>
      </c>
      <c r="C257">
        <v>40</v>
      </c>
      <c r="D257" t="s">
        <v>137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177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177</v>
      </c>
      <c r="C259">
        <v>60</v>
      </c>
      <c r="D259" t="s">
        <v>109</v>
      </c>
      <c r="E259" t="s">
        <v>110</v>
      </c>
      <c r="F259">
        <v>0.68600000000000005</v>
      </c>
      <c r="G259" t="s">
        <v>15</v>
      </c>
    </row>
    <row r="260" spans="1:7" x14ac:dyDescent="0.25">
      <c r="A260">
        <v>19</v>
      </c>
      <c r="B260" t="s">
        <v>177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177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177</v>
      </c>
      <c r="C262">
        <v>90</v>
      </c>
      <c r="D262" t="s">
        <v>117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177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177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177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177</v>
      </c>
      <c r="C266">
        <v>130</v>
      </c>
      <c r="D266" t="s">
        <v>115</v>
      </c>
      <c r="E266" t="s">
        <v>14</v>
      </c>
      <c r="F266">
        <v>0.41299999999999998</v>
      </c>
      <c r="G266" t="s">
        <v>15</v>
      </c>
    </row>
    <row r="267" spans="1:7" x14ac:dyDescent="0.25">
      <c r="A267">
        <v>19</v>
      </c>
      <c r="B267" t="s">
        <v>177</v>
      </c>
      <c r="C267">
        <v>140</v>
      </c>
      <c r="D267" t="s">
        <v>287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178</v>
      </c>
      <c r="C268">
        <v>10</v>
      </c>
      <c r="D268" t="s">
        <v>363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178</v>
      </c>
      <c r="C269">
        <v>20</v>
      </c>
      <c r="D269" t="s">
        <v>116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178</v>
      </c>
      <c r="C270">
        <v>30</v>
      </c>
      <c r="D270" t="s">
        <v>118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178</v>
      </c>
      <c r="C271">
        <v>40</v>
      </c>
      <c r="D271" t="s">
        <v>138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178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178</v>
      </c>
      <c r="C273">
        <v>60</v>
      </c>
      <c r="D273" t="s">
        <v>109</v>
      </c>
      <c r="E273" t="s">
        <v>110</v>
      </c>
      <c r="F273">
        <v>0.78</v>
      </c>
      <c r="G273" t="s">
        <v>15</v>
      </c>
    </row>
    <row r="274" spans="1:7" x14ac:dyDescent="0.25">
      <c r="A274">
        <v>20</v>
      </c>
      <c r="B274" t="s">
        <v>178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178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178</v>
      </c>
      <c r="C276">
        <v>90</v>
      </c>
      <c r="D276" t="s">
        <v>117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178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178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178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178</v>
      </c>
      <c r="C280">
        <v>130</v>
      </c>
      <c r="D280" t="s">
        <v>115</v>
      </c>
      <c r="E280" t="s">
        <v>14</v>
      </c>
      <c r="F280">
        <v>0.45800000000000002</v>
      </c>
      <c r="G280" t="s">
        <v>15</v>
      </c>
    </row>
    <row r="281" spans="1:7" x14ac:dyDescent="0.25">
      <c r="A281">
        <v>20</v>
      </c>
      <c r="B281" t="s">
        <v>178</v>
      </c>
      <c r="C281">
        <v>140</v>
      </c>
      <c r="D281" t="s">
        <v>288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179</v>
      </c>
      <c r="C282">
        <v>10</v>
      </c>
      <c r="D282" t="s">
        <v>364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179</v>
      </c>
      <c r="C283">
        <v>20</v>
      </c>
      <c r="D283" t="s">
        <v>116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179</v>
      </c>
      <c r="C284">
        <v>30</v>
      </c>
      <c r="D284" t="s">
        <v>118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179</v>
      </c>
      <c r="C285">
        <v>40</v>
      </c>
      <c r="D285" t="s">
        <v>139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179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179</v>
      </c>
      <c r="C287">
        <v>60</v>
      </c>
      <c r="D287" t="s">
        <v>109</v>
      </c>
      <c r="E287" t="s">
        <v>110</v>
      </c>
      <c r="F287">
        <v>0.82599999999999996</v>
      </c>
      <c r="G287" t="s">
        <v>15</v>
      </c>
    </row>
    <row r="288" spans="1:7" x14ac:dyDescent="0.25">
      <c r="A288">
        <v>21</v>
      </c>
      <c r="B288" t="s">
        <v>179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179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179</v>
      </c>
      <c r="C290">
        <v>90</v>
      </c>
      <c r="D290" t="s">
        <v>117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179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179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179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179</v>
      </c>
      <c r="C294">
        <v>130</v>
      </c>
      <c r="D294" t="s">
        <v>115</v>
      </c>
      <c r="E294" t="s">
        <v>14</v>
      </c>
      <c r="F294">
        <v>0.48</v>
      </c>
      <c r="G294" t="s">
        <v>15</v>
      </c>
    </row>
    <row r="295" spans="1:7" x14ac:dyDescent="0.25">
      <c r="A295">
        <v>21</v>
      </c>
      <c r="B295" t="s">
        <v>179</v>
      </c>
      <c r="C295">
        <v>140</v>
      </c>
      <c r="D295" t="s">
        <v>289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180</v>
      </c>
      <c r="C296">
        <v>10</v>
      </c>
      <c r="D296" t="s">
        <v>365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180</v>
      </c>
      <c r="C297">
        <v>20</v>
      </c>
      <c r="D297" t="s">
        <v>116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180</v>
      </c>
      <c r="C298">
        <v>30</v>
      </c>
      <c r="D298" t="s">
        <v>118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180</v>
      </c>
      <c r="C299">
        <v>40</v>
      </c>
      <c r="D299" t="s">
        <v>140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180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180</v>
      </c>
      <c r="C301">
        <v>60</v>
      </c>
      <c r="D301" t="s">
        <v>109</v>
      </c>
      <c r="E301" t="s">
        <v>110</v>
      </c>
      <c r="F301">
        <v>0.873</v>
      </c>
      <c r="G301" t="s">
        <v>15</v>
      </c>
    </row>
    <row r="302" spans="1:7" x14ac:dyDescent="0.25">
      <c r="A302">
        <v>22</v>
      </c>
      <c r="B302" t="s">
        <v>180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180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180</v>
      </c>
      <c r="C304">
        <v>90</v>
      </c>
      <c r="D304" t="s">
        <v>117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180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180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180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180</v>
      </c>
      <c r="C308">
        <v>130</v>
      </c>
      <c r="D308" t="s">
        <v>115</v>
      </c>
      <c r="E308" t="s">
        <v>14</v>
      </c>
      <c r="F308">
        <v>0.503</v>
      </c>
      <c r="G308" t="s">
        <v>15</v>
      </c>
    </row>
    <row r="309" spans="1:7" x14ac:dyDescent="0.25">
      <c r="A309">
        <v>22</v>
      </c>
      <c r="B309" t="s">
        <v>180</v>
      </c>
      <c r="C309">
        <v>140</v>
      </c>
      <c r="D309" t="s">
        <v>290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181</v>
      </c>
      <c r="C310">
        <v>10</v>
      </c>
      <c r="D310" t="s">
        <v>366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181</v>
      </c>
      <c r="C311">
        <v>20</v>
      </c>
      <c r="D311" t="s">
        <v>116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181</v>
      </c>
      <c r="C312">
        <v>30</v>
      </c>
      <c r="D312" t="s">
        <v>118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181</v>
      </c>
      <c r="C313">
        <v>40</v>
      </c>
      <c r="D313" t="s">
        <v>141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181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181</v>
      </c>
      <c r="C315">
        <v>60</v>
      </c>
      <c r="D315" t="s">
        <v>109</v>
      </c>
      <c r="E315" t="s">
        <v>110</v>
      </c>
      <c r="F315">
        <v>0.96699999999999997</v>
      </c>
      <c r="G315" t="s">
        <v>15</v>
      </c>
    </row>
    <row r="316" spans="1:7" x14ac:dyDescent="0.25">
      <c r="A316">
        <v>23</v>
      </c>
      <c r="B316" t="s">
        <v>181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181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181</v>
      </c>
      <c r="C318">
        <v>90</v>
      </c>
      <c r="D318" t="s">
        <v>117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181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181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181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181</v>
      </c>
      <c r="C322">
        <v>130</v>
      </c>
      <c r="D322" t="s">
        <v>115</v>
      </c>
      <c r="E322" t="s">
        <v>14</v>
      </c>
      <c r="F322">
        <v>0.54800000000000004</v>
      </c>
      <c r="G322" t="s">
        <v>15</v>
      </c>
    </row>
    <row r="323" spans="1:7" x14ac:dyDescent="0.25">
      <c r="A323">
        <v>23</v>
      </c>
      <c r="B323" t="s">
        <v>181</v>
      </c>
      <c r="C323">
        <v>140</v>
      </c>
      <c r="D323" t="s">
        <v>291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182</v>
      </c>
      <c r="C324">
        <v>10</v>
      </c>
      <c r="D324" t="s">
        <v>367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182</v>
      </c>
      <c r="C325">
        <v>20</v>
      </c>
      <c r="D325" t="s">
        <v>116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182</v>
      </c>
      <c r="C326">
        <v>30</v>
      </c>
      <c r="D326" t="s">
        <v>118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182</v>
      </c>
      <c r="C327">
        <v>40</v>
      </c>
      <c r="D327" t="s">
        <v>142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182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182</v>
      </c>
      <c r="C329">
        <v>60</v>
      </c>
      <c r="D329" t="s">
        <v>109</v>
      </c>
      <c r="E329" t="s">
        <v>110</v>
      </c>
      <c r="F329">
        <v>1.06</v>
      </c>
      <c r="G329" t="s">
        <v>15</v>
      </c>
    </row>
    <row r="330" spans="1:7" x14ac:dyDescent="0.25">
      <c r="A330">
        <v>24</v>
      </c>
      <c r="B330" t="s">
        <v>182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182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182</v>
      </c>
      <c r="C332">
        <v>90</v>
      </c>
      <c r="D332" t="s">
        <v>117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182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182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182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182</v>
      </c>
      <c r="C336">
        <v>130</v>
      </c>
      <c r="D336" t="s">
        <v>115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24</v>
      </c>
      <c r="B337" t="s">
        <v>182</v>
      </c>
      <c r="C337">
        <v>140</v>
      </c>
      <c r="D337" t="s">
        <v>292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183</v>
      </c>
      <c r="C338">
        <v>10</v>
      </c>
      <c r="D338" t="s">
        <v>368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183</v>
      </c>
      <c r="C339">
        <v>20</v>
      </c>
      <c r="D339" t="s">
        <v>116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183</v>
      </c>
      <c r="C340">
        <v>30</v>
      </c>
      <c r="D340" t="s">
        <v>118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183</v>
      </c>
      <c r="C341">
        <v>40</v>
      </c>
      <c r="D341" t="s">
        <v>143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183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183</v>
      </c>
      <c r="C343">
        <v>60</v>
      </c>
      <c r="D343" t="s">
        <v>109</v>
      </c>
      <c r="E343" t="s">
        <v>110</v>
      </c>
      <c r="F343">
        <v>0.51200000000000001</v>
      </c>
      <c r="G343" t="s">
        <v>15</v>
      </c>
    </row>
    <row r="344" spans="1:7" x14ac:dyDescent="0.25">
      <c r="A344">
        <v>25</v>
      </c>
      <c r="B344" t="s">
        <v>183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183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183</v>
      </c>
      <c r="C346">
        <v>90</v>
      </c>
      <c r="D346" t="s">
        <v>117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183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183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183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183</v>
      </c>
      <c r="C350">
        <v>130</v>
      </c>
      <c r="D350" t="s">
        <v>115</v>
      </c>
      <c r="E350" t="s">
        <v>14</v>
      </c>
      <c r="F350">
        <v>0.67600000000000005</v>
      </c>
      <c r="G350" t="s">
        <v>15</v>
      </c>
    </row>
    <row r="351" spans="1:7" x14ac:dyDescent="0.25">
      <c r="A351">
        <v>25</v>
      </c>
      <c r="B351" t="s">
        <v>183</v>
      </c>
      <c r="C351">
        <v>140</v>
      </c>
      <c r="D351" t="s">
        <v>293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184</v>
      </c>
      <c r="C352">
        <v>10</v>
      </c>
      <c r="D352" t="s">
        <v>369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184</v>
      </c>
      <c r="C353">
        <v>20</v>
      </c>
      <c r="D353" t="s">
        <v>116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184</v>
      </c>
      <c r="C354">
        <v>30</v>
      </c>
      <c r="D354" t="s">
        <v>118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184</v>
      </c>
      <c r="C355">
        <v>40</v>
      </c>
      <c r="D355" t="s">
        <v>144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184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184</v>
      </c>
      <c r="C357">
        <v>60</v>
      </c>
      <c r="D357" t="s">
        <v>109</v>
      </c>
      <c r="E357" t="s">
        <v>110</v>
      </c>
      <c r="F357">
        <v>0.60799999999999998</v>
      </c>
      <c r="G357" t="s">
        <v>15</v>
      </c>
    </row>
    <row r="358" spans="1:7" x14ac:dyDescent="0.25">
      <c r="A358">
        <v>26</v>
      </c>
      <c r="B358" t="s">
        <v>184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184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184</v>
      </c>
      <c r="C360">
        <v>90</v>
      </c>
      <c r="D360" t="s">
        <v>117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184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184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184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184</v>
      </c>
      <c r="C364">
        <v>130</v>
      </c>
      <c r="D364" t="s">
        <v>115</v>
      </c>
      <c r="E364" t="s">
        <v>14</v>
      </c>
      <c r="F364">
        <v>0.67600000000000005</v>
      </c>
      <c r="G364" t="s">
        <v>15</v>
      </c>
    </row>
    <row r="365" spans="1:7" x14ac:dyDescent="0.25">
      <c r="A365">
        <v>26</v>
      </c>
      <c r="B365" t="s">
        <v>184</v>
      </c>
      <c r="C365">
        <v>140</v>
      </c>
      <c r="D365" t="s">
        <v>294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185</v>
      </c>
      <c r="C366">
        <v>10</v>
      </c>
      <c r="D366" t="s">
        <v>370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185</v>
      </c>
      <c r="C367">
        <v>20</v>
      </c>
      <c r="D367" t="s">
        <v>116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185</v>
      </c>
      <c r="C368">
        <v>30</v>
      </c>
      <c r="D368" t="s">
        <v>118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185</v>
      </c>
      <c r="C369">
        <v>40</v>
      </c>
      <c r="D369" t="s">
        <v>145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185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185</v>
      </c>
      <c r="C371">
        <v>60</v>
      </c>
      <c r="D371" t="s">
        <v>109</v>
      </c>
      <c r="E371" t="s">
        <v>110</v>
      </c>
      <c r="F371">
        <v>0.70399999999999996</v>
      </c>
      <c r="G371" t="s">
        <v>15</v>
      </c>
    </row>
    <row r="372" spans="1:7" x14ac:dyDescent="0.25">
      <c r="A372">
        <v>27</v>
      </c>
      <c r="B372" t="s">
        <v>185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185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185</v>
      </c>
      <c r="C374">
        <v>90</v>
      </c>
      <c r="D374" t="s">
        <v>117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185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185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185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185</v>
      </c>
      <c r="C378">
        <v>130</v>
      </c>
      <c r="D378" t="s">
        <v>115</v>
      </c>
      <c r="E378" t="s">
        <v>14</v>
      </c>
      <c r="F378">
        <v>0.67600000000000005</v>
      </c>
      <c r="G378" t="s">
        <v>15</v>
      </c>
    </row>
    <row r="379" spans="1:7" x14ac:dyDescent="0.25">
      <c r="A379">
        <v>27</v>
      </c>
      <c r="B379" t="s">
        <v>185</v>
      </c>
      <c r="C379">
        <v>140</v>
      </c>
      <c r="D379" t="s">
        <v>295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186</v>
      </c>
      <c r="C380">
        <v>10</v>
      </c>
      <c r="D380" t="s">
        <v>371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186</v>
      </c>
      <c r="C381">
        <v>20</v>
      </c>
      <c r="D381" t="s">
        <v>116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186</v>
      </c>
      <c r="C382">
        <v>30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186</v>
      </c>
      <c r="C383">
        <v>40</v>
      </c>
      <c r="D383" t="s">
        <v>146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186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186</v>
      </c>
      <c r="C385">
        <v>60</v>
      </c>
      <c r="D385" t="s">
        <v>109</v>
      </c>
      <c r="E385" t="s">
        <v>110</v>
      </c>
      <c r="F385">
        <v>0.8</v>
      </c>
      <c r="G385" t="s">
        <v>15</v>
      </c>
    </row>
    <row r="386" spans="1:7" x14ac:dyDescent="0.25">
      <c r="A386">
        <v>28</v>
      </c>
      <c r="B386" t="s">
        <v>186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186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186</v>
      </c>
      <c r="C388">
        <v>90</v>
      </c>
      <c r="D388" t="s">
        <v>117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186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186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186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186</v>
      </c>
      <c r="C392">
        <v>130</v>
      </c>
      <c r="D392" t="s">
        <v>115</v>
      </c>
      <c r="E392" t="s">
        <v>14</v>
      </c>
      <c r="F392">
        <v>0.67600000000000005</v>
      </c>
      <c r="G392" t="s">
        <v>15</v>
      </c>
    </row>
    <row r="393" spans="1:7" x14ac:dyDescent="0.25">
      <c r="A393">
        <v>28</v>
      </c>
      <c r="B393" t="s">
        <v>186</v>
      </c>
      <c r="C393">
        <v>140</v>
      </c>
      <c r="D393" t="s">
        <v>296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187</v>
      </c>
      <c r="C394">
        <v>10</v>
      </c>
      <c r="D394" t="s">
        <v>372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187</v>
      </c>
      <c r="C395">
        <v>20</v>
      </c>
      <c r="D395" t="s">
        <v>116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187</v>
      </c>
      <c r="C396">
        <v>30</v>
      </c>
      <c r="D396" t="s">
        <v>118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187</v>
      </c>
      <c r="C397">
        <v>40</v>
      </c>
      <c r="D397" t="s">
        <v>147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187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187</v>
      </c>
      <c r="C399">
        <v>60</v>
      </c>
      <c r="D399" t="s">
        <v>109</v>
      </c>
      <c r="E399" t="s">
        <v>110</v>
      </c>
      <c r="F399">
        <v>0.84799999999999998</v>
      </c>
      <c r="G399" t="s">
        <v>15</v>
      </c>
    </row>
    <row r="400" spans="1:7" x14ac:dyDescent="0.25">
      <c r="A400">
        <v>29</v>
      </c>
      <c r="B400" t="s">
        <v>187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187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187</v>
      </c>
      <c r="C402">
        <v>90</v>
      </c>
      <c r="D402" t="s">
        <v>117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187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187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187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187</v>
      </c>
      <c r="C406">
        <v>130</v>
      </c>
      <c r="D406" t="s">
        <v>115</v>
      </c>
      <c r="E406" t="s">
        <v>14</v>
      </c>
      <c r="F406">
        <v>0.67600000000000005</v>
      </c>
      <c r="G406" t="s">
        <v>15</v>
      </c>
    </row>
    <row r="407" spans="1:7" x14ac:dyDescent="0.25">
      <c r="A407">
        <v>29</v>
      </c>
      <c r="B407" t="s">
        <v>187</v>
      </c>
      <c r="C407">
        <v>140</v>
      </c>
      <c r="D407" t="s">
        <v>297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188</v>
      </c>
      <c r="C408">
        <v>10</v>
      </c>
      <c r="D408" t="s">
        <v>373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188</v>
      </c>
      <c r="C409">
        <v>20</v>
      </c>
      <c r="D409" t="s">
        <v>116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188</v>
      </c>
      <c r="C410">
        <v>30</v>
      </c>
      <c r="D410" t="s">
        <v>118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188</v>
      </c>
      <c r="C411">
        <v>40</v>
      </c>
      <c r="D411" t="s">
        <v>148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188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188</v>
      </c>
      <c r="C413">
        <v>60</v>
      </c>
      <c r="D413" t="s">
        <v>109</v>
      </c>
      <c r="E413" t="s">
        <v>110</v>
      </c>
      <c r="F413">
        <v>0.89600000000000002</v>
      </c>
      <c r="G413" t="s">
        <v>15</v>
      </c>
    </row>
    <row r="414" spans="1:7" x14ac:dyDescent="0.25">
      <c r="A414">
        <v>30</v>
      </c>
      <c r="B414" t="s">
        <v>188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188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188</v>
      </c>
      <c r="C416">
        <v>90</v>
      </c>
      <c r="D416" t="s">
        <v>117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188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188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188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188</v>
      </c>
      <c r="C420">
        <v>130</v>
      </c>
      <c r="D420" t="s">
        <v>115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30</v>
      </c>
      <c r="B421" t="s">
        <v>188</v>
      </c>
      <c r="C421">
        <v>140</v>
      </c>
      <c r="D421" t="s">
        <v>298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189</v>
      </c>
      <c r="C422">
        <v>10</v>
      </c>
      <c r="D422" t="s">
        <v>374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189</v>
      </c>
      <c r="C423">
        <v>20</v>
      </c>
      <c r="D423" t="s">
        <v>116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189</v>
      </c>
      <c r="C424">
        <v>30</v>
      </c>
      <c r="D424" t="s">
        <v>118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189</v>
      </c>
      <c r="C425">
        <v>40</v>
      </c>
      <c r="D425" t="s">
        <v>149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189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189</v>
      </c>
      <c r="C427">
        <v>60</v>
      </c>
      <c r="D427" t="s">
        <v>109</v>
      </c>
      <c r="E427" t="s">
        <v>110</v>
      </c>
      <c r="F427">
        <v>0.99199999999999999</v>
      </c>
      <c r="G427" t="s">
        <v>15</v>
      </c>
    </row>
    <row r="428" spans="1:7" x14ac:dyDescent="0.25">
      <c r="A428">
        <v>31</v>
      </c>
      <c r="B428" t="s">
        <v>189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189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189</v>
      </c>
      <c r="C430">
        <v>90</v>
      </c>
      <c r="D430" t="s">
        <v>117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189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189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189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189</v>
      </c>
      <c r="C434">
        <v>130</v>
      </c>
      <c r="D434" t="s">
        <v>115</v>
      </c>
      <c r="E434" t="s">
        <v>14</v>
      </c>
      <c r="F434">
        <v>0.67600000000000005</v>
      </c>
      <c r="G434" t="s">
        <v>15</v>
      </c>
    </row>
    <row r="435" spans="1:7" x14ac:dyDescent="0.25">
      <c r="A435">
        <v>31</v>
      </c>
      <c r="B435" t="s">
        <v>189</v>
      </c>
      <c r="C435">
        <v>140</v>
      </c>
      <c r="D435" t="s">
        <v>299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190</v>
      </c>
      <c r="C436">
        <v>10</v>
      </c>
      <c r="D436" t="s">
        <v>375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190</v>
      </c>
      <c r="C437">
        <v>20</v>
      </c>
      <c r="D437" t="s">
        <v>116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190</v>
      </c>
      <c r="C438">
        <v>30</v>
      </c>
      <c r="D438" t="s">
        <v>118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190</v>
      </c>
      <c r="C439">
        <v>40</v>
      </c>
      <c r="D439" t="s">
        <v>150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190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190</v>
      </c>
      <c r="C441">
        <v>60</v>
      </c>
      <c r="D441" t="s">
        <v>109</v>
      </c>
      <c r="E441" t="s">
        <v>110</v>
      </c>
      <c r="F441">
        <v>1.0880000000000001</v>
      </c>
      <c r="G441" t="s">
        <v>15</v>
      </c>
    </row>
    <row r="442" spans="1:7" x14ac:dyDescent="0.25">
      <c r="A442">
        <v>32</v>
      </c>
      <c r="B442" t="s">
        <v>190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190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190</v>
      </c>
      <c r="C444">
        <v>90</v>
      </c>
      <c r="D444" t="s">
        <v>117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190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190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190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190</v>
      </c>
      <c r="C448">
        <v>130</v>
      </c>
      <c r="D448" t="s">
        <v>115</v>
      </c>
      <c r="E448" t="s">
        <v>14</v>
      </c>
      <c r="F448">
        <v>0.67600000000000005</v>
      </c>
      <c r="G448" t="s">
        <v>15</v>
      </c>
    </row>
    <row r="449" spans="1:7" x14ac:dyDescent="0.25">
      <c r="A449">
        <v>32</v>
      </c>
      <c r="B449" t="s">
        <v>190</v>
      </c>
      <c r="C449">
        <v>140</v>
      </c>
      <c r="D449" t="s">
        <v>300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191</v>
      </c>
      <c r="C450">
        <v>10</v>
      </c>
      <c r="D450" t="s">
        <v>376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191</v>
      </c>
      <c r="C451">
        <v>20</v>
      </c>
      <c r="D451" t="s">
        <v>116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191</v>
      </c>
      <c r="C452">
        <v>30</v>
      </c>
      <c r="D452" t="s">
        <v>118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191</v>
      </c>
      <c r="C453">
        <v>40</v>
      </c>
      <c r="D453" t="s">
        <v>151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191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191</v>
      </c>
      <c r="C455">
        <v>60</v>
      </c>
      <c r="D455" t="s">
        <v>109</v>
      </c>
      <c r="E455" t="s">
        <v>110</v>
      </c>
      <c r="F455">
        <v>0.53800000000000003</v>
      </c>
      <c r="G455" t="s">
        <v>15</v>
      </c>
    </row>
    <row r="456" spans="1:7" x14ac:dyDescent="0.25">
      <c r="A456">
        <v>33</v>
      </c>
      <c r="B456" t="s">
        <v>191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191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191</v>
      </c>
      <c r="C458">
        <v>90</v>
      </c>
      <c r="D458" t="s">
        <v>117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191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191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191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191</v>
      </c>
      <c r="C462">
        <v>130</v>
      </c>
      <c r="D462" t="s">
        <v>115</v>
      </c>
      <c r="E462" t="s">
        <v>14</v>
      </c>
      <c r="F462">
        <v>0.70599999999999996</v>
      </c>
      <c r="G462" t="s">
        <v>15</v>
      </c>
    </row>
    <row r="463" spans="1:7" x14ac:dyDescent="0.25">
      <c r="A463">
        <v>33</v>
      </c>
      <c r="B463" t="s">
        <v>191</v>
      </c>
      <c r="C463">
        <v>140</v>
      </c>
      <c r="D463" t="s">
        <v>301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192</v>
      </c>
      <c r="C464">
        <v>10</v>
      </c>
      <c r="D464" t="s">
        <v>377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192</v>
      </c>
      <c r="C465">
        <v>20</v>
      </c>
      <c r="D465" t="s">
        <v>116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192</v>
      </c>
      <c r="C466">
        <v>30</v>
      </c>
      <c r="D466" t="s">
        <v>118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192</v>
      </c>
      <c r="C467">
        <v>40</v>
      </c>
      <c r="D467" t="s">
        <v>152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192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192</v>
      </c>
      <c r="C469">
        <v>60</v>
      </c>
      <c r="D469" t="s">
        <v>109</v>
      </c>
      <c r="E469" t="s">
        <v>110</v>
      </c>
      <c r="F469">
        <v>0.63900000000000001</v>
      </c>
      <c r="G469" t="s">
        <v>15</v>
      </c>
    </row>
    <row r="470" spans="1:7" x14ac:dyDescent="0.25">
      <c r="A470">
        <v>34</v>
      </c>
      <c r="B470" t="s">
        <v>192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192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192</v>
      </c>
      <c r="C472">
        <v>90</v>
      </c>
      <c r="D472" t="s">
        <v>117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192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192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192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192</v>
      </c>
      <c r="C476">
        <v>130</v>
      </c>
      <c r="D476" t="s">
        <v>115</v>
      </c>
      <c r="E476" t="s">
        <v>14</v>
      </c>
      <c r="F476">
        <v>0.70599999999999996</v>
      </c>
      <c r="G476" t="s">
        <v>15</v>
      </c>
    </row>
    <row r="477" spans="1:7" x14ac:dyDescent="0.25">
      <c r="A477">
        <v>34</v>
      </c>
      <c r="B477" t="s">
        <v>192</v>
      </c>
      <c r="C477">
        <v>140</v>
      </c>
      <c r="D477" t="s">
        <v>302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193</v>
      </c>
      <c r="C478">
        <v>10</v>
      </c>
      <c r="D478" t="s">
        <v>378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193</v>
      </c>
      <c r="C479">
        <v>20</v>
      </c>
      <c r="D479" t="s">
        <v>116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193</v>
      </c>
      <c r="C480">
        <v>30</v>
      </c>
      <c r="D480" t="s">
        <v>118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193</v>
      </c>
      <c r="C481">
        <v>40</v>
      </c>
      <c r="D481" t="s">
        <v>153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193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193</v>
      </c>
      <c r="C483">
        <v>60</v>
      </c>
      <c r="D483" t="s">
        <v>109</v>
      </c>
      <c r="E483" t="s">
        <v>110</v>
      </c>
      <c r="F483">
        <v>0.74</v>
      </c>
      <c r="G483" t="s">
        <v>15</v>
      </c>
    </row>
    <row r="484" spans="1:7" x14ac:dyDescent="0.25">
      <c r="A484">
        <v>35</v>
      </c>
      <c r="B484" t="s">
        <v>193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193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193</v>
      </c>
      <c r="C486">
        <v>90</v>
      </c>
      <c r="D486" t="s">
        <v>117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193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193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193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193</v>
      </c>
      <c r="C490">
        <v>130</v>
      </c>
      <c r="D490" t="s">
        <v>115</v>
      </c>
      <c r="E490" t="s">
        <v>14</v>
      </c>
      <c r="F490">
        <v>0.70599999999999996</v>
      </c>
      <c r="G490" t="s">
        <v>15</v>
      </c>
    </row>
    <row r="491" spans="1:7" x14ac:dyDescent="0.25">
      <c r="A491">
        <v>35</v>
      </c>
      <c r="B491" t="s">
        <v>193</v>
      </c>
      <c r="C491">
        <v>140</v>
      </c>
      <c r="D491" t="s">
        <v>303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194</v>
      </c>
      <c r="C492">
        <v>10</v>
      </c>
      <c r="D492" t="s">
        <v>379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194</v>
      </c>
      <c r="C493">
        <v>20</v>
      </c>
      <c r="D493" t="s">
        <v>116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194</v>
      </c>
      <c r="C494">
        <v>30</v>
      </c>
      <c r="D494" t="s">
        <v>118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194</v>
      </c>
      <c r="C495">
        <v>40</v>
      </c>
      <c r="D495" t="s">
        <v>154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194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194</v>
      </c>
      <c r="C497">
        <v>60</v>
      </c>
      <c r="D497" t="s">
        <v>109</v>
      </c>
      <c r="E497" t="s">
        <v>110</v>
      </c>
      <c r="F497">
        <v>0.84</v>
      </c>
      <c r="G497" t="s">
        <v>15</v>
      </c>
    </row>
    <row r="498" spans="1:7" x14ac:dyDescent="0.25">
      <c r="A498">
        <v>36</v>
      </c>
      <c r="B498" t="s">
        <v>194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194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194</v>
      </c>
      <c r="C500">
        <v>90</v>
      </c>
      <c r="D500" t="s">
        <v>117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194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194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194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194</v>
      </c>
      <c r="C504">
        <v>130</v>
      </c>
      <c r="D504" t="s">
        <v>115</v>
      </c>
      <c r="E504" t="s">
        <v>14</v>
      </c>
      <c r="F504">
        <v>0.70599999999999996</v>
      </c>
      <c r="G504" t="s">
        <v>15</v>
      </c>
    </row>
    <row r="505" spans="1:7" x14ac:dyDescent="0.25">
      <c r="A505">
        <v>36</v>
      </c>
      <c r="B505" t="s">
        <v>194</v>
      </c>
      <c r="C505">
        <v>140</v>
      </c>
      <c r="D505" t="s">
        <v>304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195</v>
      </c>
      <c r="C506">
        <v>10</v>
      </c>
      <c r="D506" t="s">
        <v>380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195</v>
      </c>
      <c r="C507">
        <v>20</v>
      </c>
      <c r="D507" t="s">
        <v>116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195</v>
      </c>
      <c r="C508">
        <v>30</v>
      </c>
      <c r="D508" t="s">
        <v>118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195</v>
      </c>
      <c r="C509">
        <v>40</v>
      </c>
      <c r="D509" t="s">
        <v>155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195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195</v>
      </c>
      <c r="C511">
        <v>60</v>
      </c>
      <c r="D511" t="s">
        <v>109</v>
      </c>
      <c r="E511" t="s">
        <v>110</v>
      </c>
      <c r="F511">
        <v>0.89100000000000001</v>
      </c>
      <c r="G511" t="s">
        <v>15</v>
      </c>
    </row>
    <row r="512" spans="1:7" x14ac:dyDescent="0.25">
      <c r="A512">
        <v>37</v>
      </c>
      <c r="B512" t="s">
        <v>195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195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195</v>
      </c>
      <c r="C514">
        <v>90</v>
      </c>
      <c r="D514" t="s">
        <v>117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195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195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195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195</v>
      </c>
      <c r="C518">
        <v>130</v>
      </c>
      <c r="D518" t="s">
        <v>115</v>
      </c>
      <c r="E518" t="s">
        <v>14</v>
      </c>
      <c r="F518">
        <v>0.70599999999999996</v>
      </c>
      <c r="G518" t="s">
        <v>15</v>
      </c>
    </row>
    <row r="519" spans="1:7" x14ac:dyDescent="0.25">
      <c r="A519">
        <v>37</v>
      </c>
      <c r="B519" t="s">
        <v>195</v>
      </c>
      <c r="C519">
        <v>140</v>
      </c>
      <c r="D519" t="s">
        <v>305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196</v>
      </c>
      <c r="C520">
        <v>10</v>
      </c>
      <c r="D520" t="s">
        <v>381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196</v>
      </c>
      <c r="C521">
        <v>20</v>
      </c>
      <c r="D521" t="s">
        <v>116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196</v>
      </c>
      <c r="C522">
        <v>30</v>
      </c>
      <c r="D522" t="s">
        <v>118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196</v>
      </c>
      <c r="C523">
        <v>40</v>
      </c>
      <c r="D523" t="s">
        <v>156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196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196</v>
      </c>
      <c r="C525">
        <v>60</v>
      </c>
      <c r="D525" t="s">
        <v>109</v>
      </c>
      <c r="E525" t="s">
        <v>110</v>
      </c>
      <c r="F525">
        <v>0.94099999999999995</v>
      </c>
      <c r="G525" t="s">
        <v>15</v>
      </c>
    </row>
    <row r="526" spans="1:7" x14ac:dyDescent="0.25">
      <c r="A526">
        <v>38</v>
      </c>
      <c r="B526" t="s">
        <v>196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196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196</v>
      </c>
      <c r="C528">
        <v>90</v>
      </c>
      <c r="D528" t="s">
        <v>117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196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196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196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196</v>
      </c>
      <c r="C532">
        <v>130</v>
      </c>
      <c r="D532" t="s">
        <v>115</v>
      </c>
      <c r="E532" t="s">
        <v>14</v>
      </c>
      <c r="F532">
        <v>0.70599999999999996</v>
      </c>
      <c r="G532" t="s">
        <v>15</v>
      </c>
    </row>
    <row r="533" spans="1:7" x14ac:dyDescent="0.25">
      <c r="A533">
        <v>38</v>
      </c>
      <c r="B533" t="s">
        <v>196</v>
      </c>
      <c r="C533">
        <v>140</v>
      </c>
      <c r="D533" t="s">
        <v>306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197</v>
      </c>
      <c r="C534">
        <v>10</v>
      </c>
      <c r="D534" t="s">
        <v>382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197</v>
      </c>
      <c r="C535">
        <v>20</v>
      </c>
      <c r="D535" t="s">
        <v>116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197</v>
      </c>
      <c r="C536">
        <v>30</v>
      </c>
      <c r="D536" t="s">
        <v>118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197</v>
      </c>
      <c r="C537">
        <v>40</v>
      </c>
      <c r="D537" t="s">
        <v>157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197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197</v>
      </c>
      <c r="C539">
        <v>60</v>
      </c>
      <c r="D539" t="s">
        <v>109</v>
      </c>
      <c r="E539" t="s">
        <v>110</v>
      </c>
      <c r="F539">
        <v>1.042</v>
      </c>
      <c r="G539" t="s">
        <v>15</v>
      </c>
    </row>
    <row r="540" spans="1:7" x14ac:dyDescent="0.25">
      <c r="A540">
        <v>39</v>
      </c>
      <c r="B540" t="s">
        <v>197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197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197</v>
      </c>
      <c r="C542">
        <v>90</v>
      </c>
      <c r="D542" t="s">
        <v>117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197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197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197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197</v>
      </c>
      <c r="C546">
        <v>130</v>
      </c>
      <c r="D546" t="s">
        <v>115</v>
      </c>
      <c r="E546" t="s">
        <v>14</v>
      </c>
      <c r="F546">
        <v>0.70599999999999996</v>
      </c>
      <c r="G546" t="s">
        <v>15</v>
      </c>
    </row>
    <row r="547" spans="1:7" x14ac:dyDescent="0.25">
      <c r="A547">
        <v>39</v>
      </c>
      <c r="B547" t="s">
        <v>197</v>
      </c>
      <c r="C547">
        <v>140</v>
      </c>
      <c r="D547" t="s">
        <v>307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198</v>
      </c>
      <c r="C548">
        <v>10</v>
      </c>
      <c r="D548" t="s">
        <v>383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198</v>
      </c>
      <c r="C549">
        <v>20</v>
      </c>
      <c r="D549" t="s">
        <v>116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198</v>
      </c>
      <c r="C550">
        <v>30</v>
      </c>
      <c r="D550" t="s">
        <v>118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198</v>
      </c>
      <c r="C551">
        <v>40</v>
      </c>
      <c r="D551" t="s">
        <v>158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198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198</v>
      </c>
      <c r="C553">
        <v>60</v>
      </c>
      <c r="D553" t="s">
        <v>109</v>
      </c>
      <c r="E553" t="s">
        <v>110</v>
      </c>
      <c r="F553">
        <v>1.143</v>
      </c>
      <c r="G553" t="s">
        <v>15</v>
      </c>
    </row>
    <row r="554" spans="1:7" x14ac:dyDescent="0.25">
      <c r="A554">
        <v>40</v>
      </c>
      <c r="B554" t="s">
        <v>198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198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198</v>
      </c>
      <c r="C556">
        <v>90</v>
      </c>
      <c r="D556" t="s">
        <v>117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198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198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198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198</v>
      </c>
      <c r="C560">
        <v>130</v>
      </c>
      <c r="D560" t="s">
        <v>115</v>
      </c>
      <c r="E560" t="s">
        <v>14</v>
      </c>
      <c r="F560">
        <v>0.70599999999999996</v>
      </c>
      <c r="G560" t="s">
        <v>15</v>
      </c>
    </row>
    <row r="561" spans="1:7" x14ac:dyDescent="0.25">
      <c r="A561">
        <v>40</v>
      </c>
      <c r="B561" t="s">
        <v>198</v>
      </c>
      <c r="C561">
        <v>140</v>
      </c>
      <c r="D561" t="s">
        <v>308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199</v>
      </c>
      <c r="C562">
        <v>10</v>
      </c>
      <c r="D562" t="s">
        <v>384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199</v>
      </c>
      <c r="C563">
        <v>20</v>
      </c>
      <c r="D563" t="s">
        <v>116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199</v>
      </c>
      <c r="C564">
        <v>30</v>
      </c>
      <c r="D564" t="s">
        <v>118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199</v>
      </c>
      <c r="C565">
        <v>40</v>
      </c>
      <c r="D565" t="s">
        <v>200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199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199</v>
      </c>
      <c r="C567">
        <v>60</v>
      </c>
      <c r="D567" t="s">
        <v>109</v>
      </c>
      <c r="E567" t="s">
        <v>110</v>
      </c>
      <c r="F567">
        <v>0.41699999999999998</v>
      </c>
      <c r="G567" t="s">
        <v>15</v>
      </c>
    </row>
    <row r="568" spans="1:7" x14ac:dyDescent="0.25">
      <c r="A568">
        <v>41</v>
      </c>
      <c r="B568" t="s">
        <v>199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199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199</v>
      </c>
      <c r="C570">
        <v>90</v>
      </c>
      <c r="D570" t="s">
        <v>117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199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199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199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199</v>
      </c>
      <c r="C574">
        <v>130</v>
      </c>
      <c r="D574" t="s">
        <v>115</v>
      </c>
      <c r="E574" t="s">
        <v>14</v>
      </c>
      <c r="F574">
        <v>0.3</v>
      </c>
      <c r="G574" t="s">
        <v>15</v>
      </c>
    </row>
    <row r="575" spans="1:7" x14ac:dyDescent="0.25">
      <c r="A575">
        <v>41</v>
      </c>
      <c r="B575" t="s">
        <v>199</v>
      </c>
      <c r="C575">
        <v>140</v>
      </c>
      <c r="D575" t="s">
        <v>309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201</v>
      </c>
      <c r="C576">
        <v>10</v>
      </c>
      <c r="D576" t="s">
        <v>385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201</v>
      </c>
      <c r="C577">
        <v>20</v>
      </c>
      <c r="D577" t="s">
        <v>116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201</v>
      </c>
      <c r="C578">
        <v>30</v>
      </c>
      <c r="D578" t="s">
        <v>118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201</v>
      </c>
      <c r="C579">
        <v>40</v>
      </c>
      <c r="D579" t="s">
        <v>202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201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201</v>
      </c>
      <c r="C581">
        <v>60</v>
      </c>
      <c r="D581" t="s">
        <v>109</v>
      </c>
      <c r="E581" t="s">
        <v>110</v>
      </c>
      <c r="F581">
        <v>0.503</v>
      </c>
      <c r="G581" t="s">
        <v>15</v>
      </c>
    </row>
    <row r="582" spans="1:7" x14ac:dyDescent="0.25">
      <c r="A582">
        <v>42</v>
      </c>
      <c r="B582" t="s">
        <v>201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201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201</v>
      </c>
      <c r="C584">
        <v>90</v>
      </c>
      <c r="D584" t="s">
        <v>117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201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201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201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201</v>
      </c>
      <c r="C588">
        <v>130</v>
      </c>
      <c r="D588" t="s">
        <v>115</v>
      </c>
      <c r="E588" t="s">
        <v>14</v>
      </c>
      <c r="F588">
        <v>0.34499999999999997</v>
      </c>
      <c r="G588" t="s">
        <v>15</v>
      </c>
    </row>
    <row r="589" spans="1:7" x14ac:dyDescent="0.25">
      <c r="A589">
        <v>42</v>
      </c>
      <c r="B589" t="s">
        <v>201</v>
      </c>
      <c r="C589">
        <v>140</v>
      </c>
      <c r="D589" t="s">
        <v>310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203</v>
      </c>
      <c r="C590">
        <v>10</v>
      </c>
      <c r="D590" t="s">
        <v>386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203</v>
      </c>
      <c r="C591">
        <v>20</v>
      </c>
      <c r="D591" t="s">
        <v>116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203</v>
      </c>
      <c r="C592">
        <v>30</v>
      </c>
      <c r="D592" t="s">
        <v>118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203</v>
      </c>
      <c r="C593">
        <v>40</v>
      </c>
      <c r="D593" t="s">
        <v>204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203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203</v>
      </c>
      <c r="C595">
        <v>60</v>
      </c>
      <c r="D595" t="s">
        <v>109</v>
      </c>
      <c r="E595" t="s">
        <v>110</v>
      </c>
      <c r="F595">
        <v>0.58899999999999997</v>
      </c>
      <c r="G595" t="s">
        <v>15</v>
      </c>
    </row>
    <row r="596" spans="1:7" x14ac:dyDescent="0.25">
      <c r="A596">
        <v>43</v>
      </c>
      <c r="B596" t="s">
        <v>203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203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203</v>
      </c>
      <c r="C598">
        <v>90</v>
      </c>
      <c r="D598" t="s">
        <v>117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203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203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203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203</v>
      </c>
      <c r="C602">
        <v>130</v>
      </c>
      <c r="D602" t="s">
        <v>115</v>
      </c>
      <c r="E602" t="s">
        <v>14</v>
      </c>
      <c r="F602">
        <v>0.39</v>
      </c>
      <c r="G602" t="s">
        <v>15</v>
      </c>
    </row>
    <row r="603" spans="1:7" x14ac:dyDescent="0.25">
      <c r="A603">
        <v>43</v>
      </c>
      <c r="B603" t="s">
        <v>203</v>
      </c>
      <c r="C603">
        <v>140</v>
      </c>
      <c r="D603" t="s">
        <v>311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205</v>
      </c>
      <c r="C604">
        <v>10</v>
      </c>
      <c r="D604" t="s">
        <v>387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205</v>
      </c>
      <c r="C605">
        <v>20</v>
      </c>
      <c r="D605" t="s">
        <v>116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205</v>
      </c>
      <c r="C606">
        <v>30</v>
      </c>
      <c r="D606" t="s">
        <v>118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205</v>
      </c>
      <c r="C607">
        <v>40</v>
      </c>
      <c r="D607" t="s">
        <v>206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205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205</v>
      </c>
      <c r="C609">
        <v>60</v>
      </c>
      <c r="D609" t="s">
        <v>109</v>
      </c>
      <c r="E609" t="s">
        <v>110</v>
      </c>
      <c r="F609">
        <v>0.67600000000000005</v>
      </c>
      <c r="G609" t="s">
        <v>15</v>
      </c>
    </row>
    <row r="610" spans="1:7" x14ac:dyDescent="0.25">
      <c r="A610">
        <v>44</v>
      </c>
      <c r="B610" t="s">
        <v>205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205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205</v>
      </c>
      <c r="C612">
        <v>90</v>
      </c>
      <c r="D612" t="s">
        <v>117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205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205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205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205</v>
      </c>
      <c r="C616">
        <v>130</v>
      </c>
      <c r="D616" t="s">
        <v>115</v>
      </c>
      <c r="E616" t="s">
        <v>14</v>
      </c>
      <c r="F616">
        <v>0.435</v>
      </c>
      <c r="G616" t="s">
        <v>15</v>
      </c>
    </row>
    <row r="617" spans="1:7" x14ac:dyDescent="0.25">
      <c r="A617">
        <v>44</v>
      </c>
      <c r="B617" t="s">
        <v>205</v>
      </c>
      <c r="C617">
        <v>140</v>
      </c>
      <c r="D617" t="s">
        <v>312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207</v>
      </c>
      <c r="C618">
        <v>10</v>
      </c>
      <c r="D618" t="s">
        <v>388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207</v>
      </c>
      <c r="C619">
        <v>20</v>
      </c>
      <c r="D619" t="s">
        <v>116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207</v>
      </c>
      <c r="C620">
        <v>30</v>
      </c>
      <c r="D620" t="s">
        <v>118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207</v>
      </c>
      <c r="C621">
        <v>40</v>
      </c>
      <c r="D621" t="s">
        <v>208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207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207</v>
      </c>
      <c r="C623">
        <v>60</v>
      </c>
      <c r="D623" t="s">
        <v>109</v>
      </c>
      <c r="E623" t="s">
        <v>110</v>
      </c>
      <c r="F623">
        <v>0.84799999999999998</v>
      </c>
      <c r="G623" t="s">
        <v>15</v>
      </c>
    </row>
    <row r="624" spans="1:7" x14ac:dyDescent="0.25">
      <c r="A624">
        <v>45</v>
      </c>
      <c r="B624" t="s">
        <v>207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207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207</v>
      </c>
      <c r="C626">
        <v>90</v>
      </c>
      <c r="D626" t="s">
        <v>117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207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207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207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207</v>
      </c>
      <c r="C630">
        <v>130</v>
      </c>
      <c r="D630" t="s">
        <v>115</v>
      </c>
      <c r="E630" t="s">
        <v>14</v>
      </c>
      <c r="F630">
        <v>0.52500000000000002</v>
      </c>
      <c r="G630" t="s">
        <v>15</v>
      </c>
    </row>
    <row r="631" spans="1:7" x14ac:dyDescent="0.25">
      <c r="A631">
        <v>45</v>
      </c>
      <c r="B631" t="s">
        <v>207</v>
      </c>
      <c r="C631">
        <v>140</v>
      </c>
      <c r="D631" t="s">
        <v>313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209</v>
      </c>
      <c r="C632">
        <v>10</v>
      </c>
      <c r="D632" t="s">
        <v>389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209</v>
      </c>
      <c r="C633">
        <v>20</v>
      </c>
      <c r="D633" t="s">
        <v>116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209</v>
      </c>
      <c r="C634">
        <v>30</v>
      </c>
      <c r="D634" t="s">
        <v>118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209</v>
      </c>
      <c r="C635">
        <v>40</v>
      </c>
      <c r="D635" t="s">
        <v>210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209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209</v>
      </c>
      <c r="C637">
        <v>60</v>
      </c>
      <c r="D637" t="s">
        <v>109</v>
      </c>
      <c r="E637" t="s">
        <v>110</v>
      </c>
      <c r="F637">
        <v>0.93500000000000005</v>
      </c>
      <c r="G637" t="s">
        <v>15</v>
      </c>
    </row>
    <row r="638" spans="1:7" x14ac:dyDescent="0.25">
      <c r="A638">
        <v>46</v>
      </c>
      <c r="B638" t="s">
        <v>209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209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209</v>
      </c>
      <c r="C640">
        <v>90</v>
      </c>
      <c r="D640" t="s">
        <v>117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209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209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209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209</v>
      </c>
      <c r="C644">
        <v>130</v>
      </c>
      <c r="D644" t="s">
        <v>115</v>
      </c>
      <c r="E644" t="s">
        <v>14</v>
      </c>
      <c r="F644">
        <v>0.56999999999999995</v>
      </c>
      <c r="G644" t="s">
        <v>15</v>
      </c>
    </row>
    <row r="645" spans="1:7" x14ac:dyDescent="0.25">
      <c r="A645">
        <v>46</v>
      </c>
      <c r="B645" t="s">
        <v>209</v>
      </c>
      <c r="C645">
        <v>140</v>
      </c>
      <c r="D645" t="s">
        <v>314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211</v>
      </c>
      <c r="C646">
        <v>10</v>
      </c>
      <c r="D646" t="s">
        <v>390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211</v>
      </c>
      <c r="C647">
        <v>20</v>
      </c>
      <c r="D647" t="s">
        <v>116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211</v>
      </c>
      <c r="C648">
        <v>30</v>
      </c>
      <c r="D648" t="s">
        <v>118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211</v>
      </c>
      <c r="C649">
        <v>40</v>
      </c>
      <c r="D649" t="s">
        <v>212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211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211</v>
      </c>
      <c r="C651">
        <v>60</v>
      </c>
      <c r="D651" t="s">
        <v>109</v>
      </c>
      <c r="E651" t="s">
        <v>110</v>
      </c>
      <c r="F651">
        <v>1.0209999999999999</v>
      </c>
      <c r="G651" t="s">
        <v>15</v>
      </c>
    </row>
    <row r="652" spans="1:7" x14ac:dyDescent="0.25">
      <c r="A652">
        <v>47</v>
      </c>
      <c r="B652" t="s">
        <v>211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211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211</v>
      </c>
      <c r="C654">
        <v>90</v>
      </c>
      <c r="D654" t="s">
        <v>117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211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211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211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211</v>
      </c>
      <c r="C658">
        <v>130</v>
      </c>
      <c r="D658" t="s">
        <v>115</v>
      </c>
      <c r="E658" t="s">
        <v>14</v>
      </c>
      <c r="F658">
        <v>0.61599999999999999</v>
      </c>
      <c r="G658" t="s">
        <v>15</v>
      </c>
    </row>
    <row r="659" spans="1:7" x14ac:dyDescent="0.25">
      <c r="A659">
        <v>47</v>
      </c>
      <c r="B659" t="s">
        <v>211</v>
      </c>
      <c r="C659">
        <v>140</v>
      </c>
      <c r="D659" t="s">
        <v>315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213</v>
      </c>
      <c r="C660">
        <v>10</v>
      </c>
      <c r="D660" t="s">
        <v>391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213</v>
      </c>
      <c r="C661">
        <v>20</v>
      </c>
      <c r="D661" t="s">
        <v>116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213</v>
      </c>
      <c r="C662">
        <v>30</v>
      </c>
      <c r="D662" t="s">
        <v>118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213</v>
      </c>
      <c r="C663">
        <v>40</v>
      </c>
      <c r="D663" t="s">
        <v>214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213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213</v>
      </c>
      <c r="C665">
        <v>60</v>
      </c>
      <c r="D665" t="s">
        <v>109</v>
      </c>
      <c r="E665" t="s">
        <v>110</v>
      </c>
      <c r="F665">
        <v>0.435</v>
      </c>
      <c r="G665" t="s">
        <v>15</v>
      </c>
    </row>
    <row r="666" spans="1:7" x14ac:dyDescent="0.25">
      <c r="A666">
        <v>48</v>
      </c>
      <c r="B666" t="s">
        <v>213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213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213</v>
      </c>
      <c r="C668">
        <v>90</v>
      </c>
      <c r="D668" t="s">
        <v>117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213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213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213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213</v>
      </c>
      <c r="C672">
        <v>130</v>
      </c>
      <c r="D672" t="s">
        <v>115</v>
      </c>
      <c r="E672" t="s">
        <v>14</v>
      </c>
      <c r="F672">
        <v>0.3</v>
      </c>
      <c r="G672" t="s">
        <v>15</v>
      </c>
    </row>
    <row r="673" spans="1:7" x14ac:dyDescent="0.25">
      <c r="A673">
        <v>48</v>
      </c>
      <c r="B673" t="s">
        <v>213</v>
      </c>
      <c r="C673">
        <v>140</v>
      </c>
      <c r="D673" t="s">
        <v>316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215</v>
      </c>
      <c r="C674">
        <v>10</v>
      </c>
      <c r="D674" t="s">
        <v>392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215</v>
      </c>
      <c r="C675">
        <v>20</v>
      </c>
      <c r="D675" t="s">
        <v>116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215</v>
      </c>
      <c r="C676">
        <v>30</v>
      </c>
      <c r="D676" t="s">
        <v>118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215</v>
      </c>
      <c r="C677">
        <v>40</v>
      </c>
      <c r="D677" t="s">
        <v>216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215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215</v>
      </c>
      <c r="C679">
        <v>60</v>
      </c>
      <c r="D679" t="s">
        <v>109</v>
      </c>
      <c r="E679" t="s">
        <v>110</v>
      </c>
      <c r="F679">
        <v>0.52400000000000002</v>
      </c>
      <c r="G679" t="s">
        <v>15</v>
      </c>
    </row>
    <row r="680" spans="1:7" x14ac:dyDescent="0.25">
      <c r="A680">
        <v>49</v>
      </c>
      <c r="B680" t="s">
        <v>215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215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215</v>
      </c>
      <c r="C682">
        <v>90</v>
      </c>
      <c r="D682" t="s">
        <v>117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215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215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215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215</v>
      </c>
      <c r="C686">
        <v>130</v>
      </c>
      <c r="D686" t="s">
        <v>115</v>
      </c>
      <c r="E686" t="s">
        <v>14</v>
      </c>
      <c r="F686">
        <v>0.34499999999999997</v>
      </c>
      <c r="G686" t="s">
        <v>15</v>
      </c>
    </row>
    <row r="687" spans="1:7" x14ac:dyDescent="0.25">
      <c r="A687">
        <v>49</v>
      </c>
      <c r="B687" t="s">
        <v>215</v>
      </c>
      <c r="C687">
        <v>140</v>
      </c>
      <c r="D687" t="s">
        <v>317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217</v>
      </c>
      <c r="C688">
        <v>10</v>
      </c>
      <c r="D688" t="s">
        <v>393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217</v>
      </c>
      <c r="C689">
        <v>20</v>
      </c>
      <c r="D689" t="s">
        <v>116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217</v>
      </c>
      <c r="C690">
        <v>30</v>
      </c>
      <c r="D690" t="s">
        <v>118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217</v>
      </c>
      <c r="C691">
        <v>40</v>
      </c>
      <c r="D691" t="s">
        <v>218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217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217</v>
      </c>
      <c r="C693">
        <v>60</v>
      </c>
      <c r="D693" t="s">
        <v>109</v>
      </c>
      <c r="E693" t="s">
        <v>110</v>
      </c>
      <c r="F693">
        <v>0.61399999999999999</v>
      </c>
      <c r="G693" t="s">
        <v>15</v>
      </c>
    </row>
    <row r="694" spans="1:7" x14ac:dyDescent="0.25">
      <c r="A694">
        <v>50</v>
      </c>
      <c r="B694" t="s">
        <v>217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217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217</v>
      </c>
      <c r="C696">
        <v>90</v>
      </c>
      <c r="D696" t="s">
        <v>117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217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217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217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217</v>
      </c>
      <c r="C700">
        <v>130</v>
      </c>
      <c r="D700" t="s">
        <v>115</v>
      </c>
      <c r="E700" t="s">
        <v>14</v>
      </c>
      <c r="F700">
        <v>0.39</v>
      </c>
      <c r="G700" t="s">
        <v>15</v>
      </c>
    </row>
    <row r="701" spans="1:7" x14ac:dyDescent="0.25">
      <c r="A701">
        <v>50</v>
      </c>
      <c r="B701" t="s">
        <v>217</v>
      </c>
      <c r="C701">
        <v>140</v>
      </c>
      <c r="D701" t="s">
        <v>318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219</v>
      </c>
      <c r="C702">
        <v>10</v>
      </c>
      <c r="D702" t="s">
        <v>394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219</v>
      </c>
      <c r="C703">
        <v>20</v>
      </c>
      <c r="D703" t="s">
        <v>116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219</v>
      </c>
      <c r="C704">
        <v>30</v>
      </c>
      <c r="D704" t="s">
        <v>118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219</v>
      </c>
      <c r="C705">
        <v>40</v>
      </c>
      <c r="D705" t="s">
        <v>220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219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219</v>
      </c>
      <c r="C707">
        <v>60</v>
      </c>
      <c r="D707" t="s">
        <v>109</v>
      </c>
      <c r="E707" t="s">
        <v>110</v>
      </c>
      <c r="F707">
        <v>0.70399999999999996</v>
      </c>
      <c r="G707" t="s">
        <v>15</v>
      </c>
    </row>
    <row r="708" spans="1:7" x14ac:dyDescent="0.25">
      <c r="A708">
        <v>51</v>
      </c>
      <c r="B708" t="s">
        <v>219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219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219</v>
      </c>
      <c r="C710">
        <v>90</v>
      </c>
      <c r="D710" t="s">
        <v>117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219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219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219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219</v>
      </c>
      <c r="C714">
        <v>130</v>
      </c>
      <c r="D714" t="s">
        <v>115</v>
      </c>
      <c r="E714" t="s">
        <v>14</v>
      </c>
      <c r="F714">
        <v>0.435</v>
      </c>
      <c r="G714" t="s">
        <v>15</v>
      </c>
    </row>
    <row r="715" spans="1:7" x14ac:dyDescent="0.25">
      <c r="A715">
        <v>51</v>
      </c>
      <c r="B715" t="s">
        <v>219</v>
      </c>
      <c r="C715">
        <v>140</v>
      </c>
      <c r="D715" t="s">
        <v>319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221</v>
      </c>
      <c r="C716">
        <v>10</v>
      </c>
      <c r="D716" t="s">
        <v>395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221</v>
      </c>
      <c r="C717">
        <v>20</v>
      </c>
      <c r="D717" t="s">
        <v>116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221</v>
      </c>
      <c r="C718">
        <v>30</v>
      </c>
      <c r="D718" t="s">
        <v>118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221</v>
      </c>
      <c r="C719">
        <v>40</v>
      </c>
      <c r="D719" t="s">
        <v>222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221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221</v>
      </c>
      <c r="C721">
        <v>60</v>
      </c>
      <c r="D721" t="s">
        <v>109</v>
      </c>
      <c r="E721" t="s">
        <v>110</v>
      </c>
      <c r="F721">
        <v>0.88400000000000001</v>
      </c>
      <c r="G721" t="s">
        <v>15</v>
      </c>
    </row>
    <row r="722" spans="1:7" x14ac:dyDescent="0.25">
      <c r="A722">
        <v>52</v>
      </c>
      <c r="B722" t="s">
        <v>221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221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221</v>
      </c>
      <c r="C724">
        <v>90</v>
      </c>
      <c r="D724" t="s">
        <v>117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221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221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221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221</v>
      </c>
      <c r="C728">
        <v>130</v>
      </c>
      <c r="D728" t="s">
        <v>115</v>
      </c>
      <c r="E728" t="s">
        <v>14</v>
      </c>
      <c r="F728">
        <v>0.52500000000000002</v>
      </c>
      <c r="G728" t="s">
        <v>15</v>
      </c>
    </row>
    <row r="729" spans="1:7" x14ac:dyDescent="0.25">
      <c r="A729">
        <v>52</v>
      </c>
      <c r="B729" t="s">
        <v>221</v>
      </c>
      <c r="C729">
        <v>140</v>
      </c>
      <c r="D729" t="s">
        <v>320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223</v>
      </c>
      <c r="C730">
        <v>10</v>
      </c>
      <c r="D730" t="s">
        <v>396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223</v>
      </c>
      <c r="C731">
        <v>20</v>
      </c>
      <c r="D731" t="s">
        <v>116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223</v>
      </c>
      <c r="C732">
        <v>30</v>
      </c>
      <c r="D732" t="s">
        <v>118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223</v>
      </c>
      <c r="C733">
        <v>40</v>
      </c>
      <c r="D733" t="s">
        <v>224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223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223</v>
      </c>
      <c r="C735">
        <v>60</v>
      </c>
      <c r="D735" t="s">
        <v>109</v>
      </c>
      <c r="E735" t="s">
        <v>110</v>
      </c>
      <c r="F735">
        <v>0.97399999999999998</v>
      </c>
      <c r="G735" t="s">
        <v>15</v>
      </c>
    </row>
    <row r="736" spans="1:7" x14ac:dyDescent="0.25">
      <c r="A736">
        <v>53</v>
      </c>
      <c r="B736" t="s">
        <v>223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223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223</v>
      </c>
      <c r="C738">
        <v>90</v>
      </c>
      <c r="D738" t="s">
        <v>117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223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223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223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223</v>
      </c>
      <c r="C742">
        <v>130</v>
      </c>
      <c r="D742" t="s">
        <v>115</v>
      </c>
      <c r="E742" t="s">
        <v>14</v>
      </c>
      <c r="F742">
        <v>0.56999999999999995</v>
      </c>
      <c r="G742" t="s">
        <v>15</v>
      </c>
    </row>
    <row r="743" spans="1:7" x14ac:dyDescent="0.25">
      <c r="A743">
        <v>53</v>
      </c>
      <c r="B743" t="s">
        <v>223</v>
      </c>
      <c r="C743">
        <v>140</v>
      </c>
      <c r="D743" t="s">
        <v>321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225</v>
      </c>
      <c r="C744">
        <v>10</v>
      </c>
      <c r="D744" t="s">
        <v>397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225</v>
      </c>
      <c r="C745">
        <v>20</v>
      </c>
      <c r="D745" t="s">
        <v>116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225</v>
      </c>
      <c r="C746">
        <v>30</v>
      </c>
      <c r="D746" t="s">
        <v>118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225</v>
      </c>
      <c r="C747">
        <v>40</v>
      </c>
      <c r="D747" t="s">
        <v>226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225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225</v>
      </c>
      <c r="C749">
        <v>60</v>
      </c>
      <c r="D749" t="s">
        <v>109</v>
      </c>
      <c r="E749" t="s">
        <v>110</v>
      </c>
      <c r="F749">
        <v>1.0640000000000001</v>
      </c>
      <c r="G749" t="s">
        <v>15</v>
      </c>
    </row>
    <row r="750" spans="1:7" x14ac:dyDescent="0.25">
      <c r="A750">
        <v>54</v>
      </c>
      <c r="B750" t="s">
        <v>225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225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225</v>
      </c>
      <c r="C752">
        <v>90</v>
      </c>
      <c r="D752" t="s">
        <v>117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225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225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225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225</v>
      </c>
      <c r="C756">
        <v>130</v>
      </c>
      <c r="D756" t="s">
        <v>115</v>
      </c>
      <c r="E756" t="s">
        <v>14</v>
      </c>
      <c r="F756">
        <v>0.61599999999999999</v>
      </c>
      <c r="G756" t="s">
        <v>15</v>
      </c>
    </row>
    <row r="757" spans="1:7" x14ac:dyDescent="0.25">
      <c r="A757">
        <v>54</v>
      </c>
      <c r="B757" t="s">
        <v>225</v>
      </c>
      <c r="C757">
        <v>140</v>
      </c>
      <c r="D757" t="s">
        <v>322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227</v>
      </c>
      <c r="C758">
        <v>10</v>
      </c>
      <c r="D758" t="s">
        <v>398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227</v>
      </c>
      <c r="C759">
        <v>20</v>
      </c>
      <c r="D759" t="s">
        <v>116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227</v>
      </c>
      <c r="C760">
        <v>30</v>
      </c>
      <c r="D760" t="s">
        <v>118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227</v>
      </c>
      <c r="C761">
        <v>40</v>
      </c>
      <c r="D761" t="s">
        <v>228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227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227</v>
      </c>
      <c r="C763">
        <v>60</v>
      </c>
      <c r="D763" t="s">
        <v>109</v>
      </c>
      <c r="E763" t="s">
        <v>110</v>
      </c>
      <c r="F763">
        <v>0.45200000000000001</v>
      </c>
      <c r="G763" t="s">
        <v>15</v>
      </c>
    </row>
    <row r="764" spans="1:7" x14ac:dyDescent="0.25">
      <c r="A764">
        <v>55</v>
      </c>
      <c r="B764" t="s">
        <v>227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227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227</v>
      </c>
      <c r="C766">
        <v>90</v>
      </c>
      <c r="D766" t="s">
        <v>117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227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227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227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227</v>
      </c>
      <c r="C770">
        <v>130</v>
      </c>
      <c r="D770" t="s">
        <v>115</v>
      </c>
      <c r="E770" t="s">
        <v>14</v>
      </c>
      <c r="F770">
        <v>0.3</v>
      </c>
      <c r="G770" t="s">
        <v>15</v>
      </c>
    </row>
    <row r="771" spans="1:7" x14ac:dyDescent="0.25">
      <c r="A771">
        <v>55</v>
      </c>
      <c r="B771" t="s">
        <v>227</v>
      </c>
      <c r="C771">
        <v>140</v>
      </c>
      <c r="D771" t="s">
        <v>323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229</v>
      </c>
      <c r="C772">
        <v>10</v>
      </c>
      <c r="D772" t="s">
        <v>399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229</v>
      </c>
      <c r="C773">
        <v>20</v>
      </c>
      <c r="D773" t="s">
        <v>116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229</v>
      </c>
      <c r="C774">
        <v>30</v>
      </c>
      <c r="D774" t="s">
        <v>118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229</v>
      </c>
      <c r="C775">
        <v>40</v>
      </c>
      <c r="D775" t="s">
        <v>230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229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229</v>
      </c>
      <c r="C777">
        <v>60</v>
      </c>
      <c r="D777" t="s">
        <v>109</v>
      </c>
      <c r="E777" t="s">
        <v>110</v>
      </c>
      <c r="F777">
        <v>0.54600000000000004</v>
      </c>
      <c r="G777" t="s">
        <v>15</v>
      </c>
    </row>
    <row r="778" spans="1:7" x14ac:dyDescent="0.25">
      <c r="A778">
        <v>56</v>
      </c>
      <c r="B778" t="s">
        <v>229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229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229</v>
      </c>
      <c r="C780">
        <v>90</v>
      </c>
      <c r="D780" t="s">
        <v>117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229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229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229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229</v>
      </c>
      <c r="C784">
        <v>130</v>
      </c>
      <c r="D784" t="s">
        <v>115</v>
      </c>
      <c r="E784" t="s">
        <v>14</v>
      </c>
      <c r="F784">
        <v>0.34499999999999997</v>
      </c>
      <c r="G784" t="s">
        <v>15</v>
      </c>
    </row>
    <row r="785" spans="1:7" x14ac:dyDescent="0.25">
      <c r="A785">
        <v>56</v>
      </c>
      <c r="B785" t="s">
        <v>229</v>
      </c>
      <c r="C785">
        <v>140</v>
      </c>
      <c r="D785" t="s">
        <v>324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231</v>
      </c>
      <c r="C786">
        <v>10</v>
      </c>
      <c r="D786" t="s">
        <v>400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231</v>
      </c>
      <c r="C787">
        <v>20</v>
      </c>
      <c r="D787" t="s">
        <v>116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231</v>
      </c>
      <c r="C788">
        <v>30</v>
      </c>
      <c r="D788" t="s">
        <v>118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231</v>
      </c>
      <c r="C789">
        <v>40</v>
      </c>
      <c r="D789" t="s">
        <v>232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231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231</v>
      </c>
      <c r="C791">
        <v>60</v>
      </c>
      <c r="D791" t="s">
        <v>109</v>
      </c>
      <c r="E791" t="s">
        <v>110</v>
      </c>
      <c r="F791">
        <v>0.63900000000000001</v>
      </c>
      <c r="G791" t="s">
        <v>15</v>
      </c>
    </row>
    <row r="792" spans="1:7" x14ac:dyDescent="0.25">
      <c r="A792">
        <v>57</v>
      </c>
      <c r="B792" t="s">
        <v>231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231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231</v>
      </c>
      <c r="C794">
        <v>90</v>
      </c>
      <c r="D794" t="s">
        <v>117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231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231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231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231</v>
      </c>
      <c r="C798">
        <v>130</v>
      </c>
      <c r="D798" t="s">
        <v>115</v>
      </c>
      <c r="E798" t="s">
        <v>14</v>
      </c>
      <c r="F798">
        <v>0.39</v>
      </c>
      <c r="G798" t="s">
        <v>15</v>
      </c>
    </row>
    <row r="799" spans="1:7" x14ac:dyDescent="0.25">
      <c r="A799">
        <v>57</v>
      </c>
      <c r="B799" t="s">
        <v>231</v>
      </c>
      <c r="C799">
        <v>140</v>
      </c>
      <c r="D799" t="s">
        <v>325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233</v>
      </c>
      <c r="C800">
        <v>10</v>
      </c>
      <c r="D800" t="s">
        <v>401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233</v>
      </c>
      <c r="C801">
        <v>20</v>
      </c>
      <c r="D801" t="s">
        <v>116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233</v>
      </c>
      <c r="C802">
        <v>30</v>
      </c>
      <c r="D802" t="s">
        <v>118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233</v>
      </c>
      <c r="C803">
        <v>40</v>
      </c>
      <c r="D803" t="s">
        <v>234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233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233</v>
      </c>
      <c r="C805">
        <v>60</v>
      </c>
      <c r="D805" t="s">
        <v>109</v>
      </c>
      <c r="E805" t="s">
        <v>110</v>
      </c>
      <c r="F805">
        <v>0.73299999999999998</v>
      </c>
      <c r="G805" t="s">
        <v>15</v>
      </c>
    </row>
    <row r="806" spans="1:7" x14ac:dyDescent="0.25">
      <c r="A806">
        <v>58</v>
      </c>
      <c r="B806" t="s">
        <v>233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233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233</v>
      </c>
      <c r="C808">
        <v>90</v>
      </c>
      <c r="D808" t="s">
        <v>117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233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233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233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233</v>
      </c>
      <c r="C812">
        <v>130</v>
      </c>
      <c r="D812" t="s">
        <v>115</v>
      </c>
      <c r="E812" t="s">
        <v>14</v>
      </c>
      <c r="F812">
        <v>0.435</v>
      </c>
      <c r="G812" t="s">
        <v>15</v>
      </c>
    </row>
    <row r="813" spans="1:7" x14ac:dyDescent="0.25">
      <c r="A813">
        <v>58</v>
      </c>
      <c r="B813" t="s">
        <v>233</v>
      </c>
      <c r="C813">
        <v>140</v>
      </c>
      <c r="D813" t="s">
        <v>326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235</v>
      </c>
      <c r="C814">
        <v>10</v>
      </c>
      <c r="D814" t="s">
        <v>402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235</v>
      </c>
      <c r="C815">
        <v>20</v>
      </c>
      <c r="D815" t="s">
        <v>116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235</v>
      </c>
      <c r="C816">
        <v>30</v>
      </c>
      <c r="D816" t="s">
        <v>118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235</v>
      </c>
      <c r="C817">
        <v>40</v>
      </c>
      <c r="D817" t="s">
        <v>236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235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235</v>
      </c>
      <c r="C819">
        <v>60</v>
      </c>
      <c r="D819" t="s">
        <v>109</v>
      </c>
      <c r="E819" t="s">
        <v>110</v>
      </c>
      <c r="F819">
        <v>0.92</v>
      </c>
      <c r="G819" t="s">
        <v>15</v>
      </c>
    </row>
    <row r="820" spans="1:7" x14ac:dyDescent="0.25">
      <c r="A820">
        <v>59</v>
      </c>
      <c r="B820" t="s">
        <v>235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235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235</v>
      </c>
      <c r="C822">
        <v>90</v>
      </c>
      <c r="D822" t="s">
        <v>117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235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235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235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235</v>
      </c>
      <c r="C826">
        <v>130</v>
      </c>
      <c r="D826" t="s">
        <v>115</v>
      </c>
      <c r="E826" t="s">
        <v>14</v>
      </c>
      <c r="F826">
        <v>0.52500000000000002</v>
      </c>
      <c r="G826" t="s">
        <v>15</v>
      </c>
    </row>
    <row r="827" spans="1:7" x14ac:dyDescent="0.25">
      <c r="A827">
        <v>59</v>
      </c>
      <c r="B827" t="s">
        <v>235</v>
      </c>
      <c r="C827">
        <v>140</v>
      </c>
      <c r="D827" t="s">
        <v>327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237</v>
      </c>
      <c r="C828">
        <v>10</v>
      </c>
      <c r="D828" t="s">
        <v>403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237</v>
      </c>
      <c r="C829">
        <v>20</v>
      </c>
      <c r="D829" t="s">
        <v>116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237</v>
      </c>
      <c r="C830">
        <v>30</v>
      </c>
      <c r="D830" t="s">
        <v>118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237</v>
      </c>
      <c r="C831">
        <v>40</v>
      </c>
      <c r="D831" t="s">
        <v>238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237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237</v>
      </c>
      <c r="C833">
        <v>60</v>
      </c>
      <c r="D833" t="s">
        <v>109</v>
      </c>
      <c r="E833" t="s">
        <v>110</v>
      </c>
      <c r="F833">
        <v>1.014</v>
      </c>
      <c r="G833" t="s">
        <v>15</v>
      </c>
    </row>
    <row r="834" spans="1:7" x14ac:dyDescent="0.25">
      <c r="A834">
        <v>60</v>
      </c>
      <c r="B834" t="s">
        <v>237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237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237</v>
      </c>
      <c r="C836">
        <v>90</v>
      </c>
      <c r="D836" t="s">
        <v>117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237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237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237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237</v>
      </c>
      <c r="C840">
        <v>130</v>
      </c>
      <c r="D840" t="s">
        <v>115</v>
      </c>
      <c r="E840" t="s">
        <v>14</v>
      </c>
      <c r="F840">
        <v>0.56999999999999995</v>
      </c>
      <c r="G840" t="s">
        <v>15</v>
      </c>
    </row>
    <row r="841" spans="1:7" x14ac:dyDescent="0.25">
      <c r="A841">
        <v>60</v>
      </c>
      <c r="B841" t="s">
        <v>237</v>
      </c>
      <c r="C841">
        <v>140</v>
      </c>
      <c r="D841" t="s">
        <v>328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239</v>
      </c>
      <c r="C842">
        <v>10</v>
      </c>
      <c r="D842" t="s">
        <v>404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239</v>
      </c>
      <c r="C843">
        <v>20</v>
      </c>
      <c r="D843" t="s">
        <v>116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239</v>
      </c>
      <c r="C844">
        <v>30</v>
      </c>
      <c r="D844" t="s">
        <v>118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239</v>
      </c>
      <c r="C845">
        <v>40</v>
      </c>
      <c r="D845" t="s">
        <v>240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239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239</v>
      </c>
      <c r="C847">
        <v>60</v>
      </c>
      <c r="D847" t="s">
        <v>109</v>
      </c>
      <c r="E847" t="s">
        <v>110</v>
      </c>
      <c r="F847">
        <v>1.107</v>
      </c>
      <c r="G847" t="s">
        <v>15</v>
      </c>
    </row>
    <row r="848" spans="1:7" x14ac:dyDescent="0.25">
      <c r="A848">
        <v>61</v>
      </c>
      <c r="B848" t="s">
        <v>239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239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239</v>
      </c>
      <c r="C850">
        <v>90</v>
      </c>
      <c r="D850" t="s">
        <v>117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239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239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239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239</v>
      </c>
      <c r="C854">
        <v>130</v>
      </c>
      <c r="D854" t="s">
        <v>115</v>
      </c>
      <c r="E854" t="s">
        <v>14</v>
      </c>
      <c r="F854">
        <v>0.61599999999999999</v>
      </c>
      <c r="G854" t="s">
        <v>15</v>
      </c>
    </row>
    <row r="855" spans="1:7" x14ac:dyDescent="0.25">
      <c r="A855">
        <v>61</v>
      </c>
      <c r="B855" t="s">
        <v>239</v>
      </c>
      <c r="C855">
        <v>140</v>
      </c>
      <c r="D855" t="s">
        <v>329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241</v>
      </c>
      <c r="C856">
        <v>10</v>
      </c>
      <c r="D856" t="s">
        <v>405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241</v>
      </c>
      <c r="C857">
        <v>20</v>
      </c>
      <c r="D857" t="s">
        <v>116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241</v>
      </c>
      <c r="C858">
        <v>30</v>
      </c>
      <c r="D858" t="s">
        <v>118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241</v>
      </c>
      <c r="C859">
        <v>40</v>
      </c>
      <c r="D859" t="s">
        <v>242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241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241</v>
      </c>
      <c r="C861">
        <v>60</v>
      </c>
      <c r="D861" t="s">
        <v>109</v>
      </c>
      <c r="E861" t="s">
        <v>110</v>
      </c>
      <c r="F861">
        <v>0.46400000000000002</v>
      </c>
      <c r="G861" t="s">
        <v>15</v>
      </c>
    </row>
    <row r="862" spans="1:7" x14ac:dyDescent="0.25">
      <c r="A862">
        <v>62</v>
      </c>
      <c r="B862" t="s">
        <v>241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241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241</v>
      </c>
      <c r="C864">
        <v>90</v>
      </c>
      <c r="D864" t="s">
        <v>117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241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241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241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241</v>
      </c>
      <c r="C868">
        <v>130</v>
      </c>
      <c r="D868" t="s">
        <v>115</v>
      </c>
      <c r="E868" t="s">
        <v>14</v>
      </c>
      <c r="F868">
        <v>0.67600000000000005</v>
      </c>
      <c r="G868" t="s">
        <v>15</v>
      </c>
    </row>
    <row r="869" spans="1:7" x14ac:dyDescent="0.25">
      <c r="A869">
        <v>62</v>
      </c>
      <c r="B869" t="s">
        <v>241</v>
      </c>
      <c r="C869">
        <v>140</v>
      </c>
      <c r="D869" t="s">
        <v>330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243</v>
      </c>
      <c r="C870">
        <v>10</v>
      </c>
      <c r="D870" t="s">
        <v>406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243</v>
      </c>
      <c r="C871">
        <v>20</v>
      </c>
      <c r="D871" t="s">
        <v>116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243</v>
      </c>
      <c r="C872">
        <v>30</v>
      </c>
      <c r="D872" t="s">
        <v>118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243</v>
      </c>
      <c r="C873">
        <v>40</v>
      </c>
      <c r="D873" t="s">
        <v>244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243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243</v>
      </c>
      <c r="C875">
        <v>60</v>
      </c>
      <c r="D875" t="s">
        <v>109</v>
      </c>
      <c r="E875" t="s">
        <v>110</v>
      </c>
      <c r="F875">
        <v>0.56000000000000005</v>
      </c>
      <c r="G875" t="s">
        <v>15</v>
      </c>
    </row>
    <row r="876" spans="1:7" x14ac:dyDescent="0.25">
      <c r="A876">
        <v>63</v>
      </c>
      <c r="B876" t="s">
        <v>243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243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243</v>
      </c>
      <c r="C878">
        <v>90</v>
      </c>
      <c r="D878" t="s">
        <v>117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243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243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243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243</v>
      </c>
      <c r="C882">
        <v>130</v>
      </c>
      <c r="D882" t="s">
        <v>115</v>
      </c>
      <c r="E882" t="s">
        <v>14</v>
      </c>
      <c r="F882">
        <v>0.67600000000000005</v>
      </c>
      <c r="G882" t="s">
        <v>15</v>
      </c>
    </row>
    <row r="883" spans="1:7" x14ac:dyDescent="0.25">
      <c r="A883">
        <v>63</v>
      </c>
      <c r="B883" t="s">
        <v>243</v>
      </c>
      <c r="C883">
        <v>140</v>
      </c>
      <c r="D883" t="s">
        <v>331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245</v>
      </c>
      <c r="C884">
        <v>10</v>
      </c>
      <c r="D884" t="s">
        <v>407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245</v>
      </c>
      <c r="C885">
        <v>20</v>
      </c>
      <c r="D885" t="s">
        <v>116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245</v>
      </c>
      <c r="C886">
        <v>30</v>
      </c>
      <c r="D886" t="s">
        <v>118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245</v>
      </c>
      <c r="C887">
        <v>40</v>
      </c>
      <c r="D887" t="s">
        <v>246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245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245</v>
      </c>
      <c r="C889">
        <v>60</v>
      </c>
      <c r="D889" t="s">
        <v>109</v>
      </c>
      <c r="E889" t="s">
        <v>110</v>
      </c>
      <c r="F889">
        <v>0.65600000000000003</v>
      </c>
      <c r="G889" t="s">
        <v>15</v>
      </c>
    </row>
    <row r="890" spans="1:7" x14ac:dyDescent="0.25">
      <c r="A890">
        <v>64</v>
      </c>
      <c r="B890" t="s">
        <v>245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245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245</v>
      </c>
      <c r="C892">
        <v>90</v>
      </c>
      <c r="D892" t="s">
        <v>117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245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245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245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245</v>
      </c>
      <c r="C896">
        <v>130</v>
      </c>
      <c r="D896" t="s">
        <v>115</v>
      </c>
      <c r="E896" t="s">
        <v>14</v>
      </c>
      <c r="F896">
        <v>0.67600000000000005</v>
      </c>
      <c r="G896" t="s">
        <v>15</v>
      </c>
    </row>
    <row r="897" spans="1:7" x14ac:dyDescent="0.25">
      <c r="A897">
        <v>64</v>
      </c>
      <c r="B897" t="s">
        <v>245</v>
      </c>
      <c r="C897">
        <v>140</v>
      </c>
      <c r="D897" t="s">
        <v>332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247</v>
      </c>
      <c r="C898">
        <v>10</v>
      </c>
      <c r="D898" t="s">
        <v>408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247</v>
      </c>
      <c r="C899">
        <v>20</v>
      </c>
      <c r="D899" t="s">
        <v>116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247</v>
      </c>
      <c r="C900">
        <v>30</v>
      </c>
      <c r="D900" t="s">
        <v>118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247</v>
      </c>
      <c r="C901">
        <v>40</v>
      </c>
      <c r="D901" t="s">
        <v>248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247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247</v>
      </c>
      <c r="C903">
        <v>60</v>
      </c>
      <c r="D903" t="s">
        <v>109</v>
      </c>
      <c r="E903" t="s">
        <v>110</v>
      </c>
      <c r="F903">
        <v>0.752</v>
      </c>
      <c r="G903" t="s">
        <v>15</v>
      </c>
    </row>
    <row r="904" spans="1:7" x14ac:dyDescent="0.25">
      <c r="A904">
        <v>65</v>
      </c>
      <c r="B904" t="s">
        <v>247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247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247</v>
      </c>
      <c r="C906">
        <v>90</v>
      </c>
      <c r="D906" t="s">
        <v>117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247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247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247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247</v>
      </c>
      <c r="C910">
        <v>130</v>
      </c>
      <c r="D910" t="s">
        <v>115</v>
      </c>
      <c r="E910" t="s">
        <v>14</v>
      </c>
      <c r="F910">
        <v>0.67600000000000005</v>
      </c>
      <c r="G910" t="s">
        <v>15</v>
      </c>
    </row>
    <row r="911" spans="1:7" x14ac:dyDescent="0.25">
      <c r="A911">
        <v>65</v>
      </c>
      <c r="B911" t="s">
        <v>247</v>
      </c>
      <c r="C911">
        <v>140</v>
      </c>
      <c r="D911" t="s">
        <v>333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249</v>
      </c>
      <c r="C912">
        <v>10</v>
      </c>
      <c r="D912" t="s">
        <v>409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249</v>
      </c>
      <c r="C913">
        <v>20</v>
      </c>
      <c r="D913" t="s">
        <v>116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249</v>
      </c>
      <c r="C914">
        <v>30</v>
      </c>
      <c r="D914" t="s">
        <v>118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249</v>
      </c>
      <c r="C915">
        <v>40</v>
      </c>
      <c r="D915" t="s">
        <v>250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249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249</v>
      </c>
      <c r="C917">
        <v>60</v>
      </c>
      <c r="D917" t="s">
        <v>109</v>
      </c>
      <c r="E917" t="s">
        <v>110</v>
      </c>
      <c r="F917">
        <v>0.94399999999999995</v>
      </c>
      <c r="G917" t="s">
        <v>15</v>
      </c>
    </row>
    <row r="918" spans="1:7" x14ac:dyDescent="0.25">
      <c r="A918">
        <v>66</v>
      </c>
      <c r="B918" t="s">
        <v>249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249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249</v>
      </c>
      <c r="C920">
        <v>90</v>
      </c>
      <c r="D920" t="s">
        <v>117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249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249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249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249</v>
      </c>
      <c r="C924">
        <v>130</v>
      </c>
      <c r="D924" t="s">
        <v>115</v>
      </c>
      <c r="E924" t="s">
        <v>14</v>
      </c>
      <c r="F924">
        <v>0.67600000000000005</v>
      </c>
      <c r="G924" t="s">
        <v>15</v>
      </c>
    </row>
    <row r="925" spans="1:7" x14ac:dyDescent="0.25">
      <c r="A925">
        <v>66</v>
      </c>
      <c r="B925" t="s">
        <v>249</v>
      </c>
      <c r="C925">
        <v>140</v>
      </c>
      <c r="D925" t="s">
        <v>334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251</v>
      </c>
      <c r="C926">
        <v>10</v>
      </c>
      <c r="D926" t="s">
        <v>410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251</v>
      </c>
      <c r="C927">
        <v>20</v>
      </c>
      <c r="D927" t="s">
        <v>116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251</v>
      </c>
      <c r="C928">
        <v>30</v>
      </c>
      <c r="D928" t="s">
        <v>118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251</v>
      </c>
      <c r="C929">
        <v>40</v>
      </c>
      <c r="D929" t="s">
        <v>252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251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251</v>
      </c>
      <c r="C931">
        <v>60</v>
      </c>
      <c r="D931" t="s">
        <v>109</v>
      </c>
      <c r="E931" t="s">
        <v>110</v>
      </c>
      <c r="F931">
        <v>1.04</v>
      </c>
      <c r="G931" t="s">
        <v>15</v>
      </c>
    </row>
    <row r="932" spans="1:7" x14ac:dyDescent="0.25">
      <c r="A932">
        <v>67</v>
      </c>
      <c r="B932" t="s">
        <v>251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251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251</v>
      </c>
      <c r="C934">
        <v>90</v>
      </c>
      <c r="D934" t="s">
        <v>117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251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251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251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251</v>
      </c>
      <c r="C938">
        <v>130</v>
      </c>
      <c r="D938" t="s">
        <v>115</v>
      </c>
      <c r="E938" t="s">
        <v>14</v>
      </c>
      <c r="F938">
        <v>0.67600000000000005</v>
      </c>
      <c r="G938" t="s">
        <v>15</v>
      </c>
    </row>
    <row r="939" spans="1:7" x14ac:dyDescent="0.25">
      <c r="A939">
        <v>67</v>
      </c>
      <c r="B939" t="s">
        <v>251</v>
      </c>
      <c r="C939">
        <v>140</v>
      </c>
      <c r="D939" t="s">
        <v>335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253</v>
      </c>
      <c r="C940">
        <v>10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253</v>
      </c>
      <c r="C941">
        <v>20</v>
      </c>
      <c r="D941" t="s">
        <v>116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253</v>
      </c>
      <c r="C942">
        <v>30</v>
      </c>
      <c r="D942" t="s">
        <v>118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253</v>
      </c>
      <c r="C943">
        <v>40</v>
      </c>
      <c r="D943" t="s">
        <v>254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253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253</v>
      </c>
      <c r="C945">
        <v>60</v>
      </c>
      <c r="D945" t="s">
        <v>109</v>
      </c>
      <c r="E945" t="s">
        <v>110</v>
      </c>
      <c r="F945">
        <v>1.1359999999999999</v>
      </c>
      <c r="G945" t="s">
        <v>15</v>
      </c>
    </row>
    <row r="946" spans="1:7" x14ac:dyDescent="0.25">
      <c r="A946">
        <v>68</v>
      </c>
      <c r="B946" t="s">
        <v>253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253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253</v>
      </c>
      <c r="C948">
        <v>90</v>
      </c>
      <c r="D948" t="s">
        <v>117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253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253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253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253</v>
      </c>
      <c r="C952">
        <v>130</v>
      </c>
      <c r="D952" t="s">
        <v>115</v>
      </c>
      <c r="E952" t="s">
        <v>14</v>
      </c>
      <c r="F952">
        <v>0.67600000000000005</v>
      </c>
      <c r="G952" t="s">
        <v>15</v>
      </c>
    </row>
    <row r="953" spans="1:7" x14ac:dyDescent="0.25">
      <c r="A953">
        <v>68</v>
      </c>
      <c r="B953" t="s">
        <v>253</v>
      </c>
      <c r="C953">
        <v>140</v>
      </c>
      <c r="D953" t="s">
        <v>336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255</v>
      </c>
      <c r="C954">
        <v>10</v>
      </c>
      <c r="D954" t="s">
        <v>412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255</v>
      </c>
      <c r="C955">
        <v>20</v>
      </c>
      <c r="D955" t="s">
        <v>116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255</v>
      </c>
      <c r="C956">
        <v>30</v>
      </c>
      <c r="D956" t="s">
        <v>118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255</v>
      </c>
      <c r="C957">
        <v>40</v>
      </c>
      <c r="D957" t="s">
        <v>256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255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255</v>
      </c>
      <c r="C959">
        <v>60</v>
      </c>
      <c r="D959" t="s">
        <v>109</v>
      </c>
      <c r="E959" t="s">
        <v>110</v>
      </c>
      <c r="F959">
        <v>0.48699999999999999</v>
      </c>
      <c r="G959" t="s">
        <v>15</v>
      </c>
    </row>
    <row r="960" spans="1:7" x14ac:dyDescent="0.25">
      <c r="A960">
        <v>69</v>
      </c>
      <c r="B960" t="s">
        <v>255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255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255</v>
      </c>
      <c r="C962">
        <v>90</v>
      </c>
      <c r="D962" t="s">
        <v>117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255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255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255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255</v>
      </c>
      <c r="C966">
        <v>130</v>
      </c>
      <c r="D966" t="s">
        <v>115</v>
      </c>
      <c r="E966" t="s">
        <v>14</v>
      </c>
      <c r="F966">
        <v>0.70599999999999996</v>
      </c>
      <c r="G966" t="s">
        <v>15</v>
      </c>
    </row>
    <row r="967" spans="1:7" x14ac:dyDescent="0.25">
      <c r="A967">
        <v>69</v>
      </c>
      <c r="B967" t="s">
        <v>255</v>
      </c>
      <c r="C967">
        <v>140</v>
      </c>
      <c r="D967" t="s">
        <v>337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257</v>
      </c>
      <c r="C968">
        <v>10</v>
      </c>
      <c r="D968" t="s">
        <v>413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257</v>
      </c>
      <c r="C969">
        <v>20</v>
      </c>
      <c r="D969" t="s">
        <v>116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257</v>
      </c>
      <c r="C970">
        <v>30</v>
      </c>
      <c r="D970" t="s">
        <v>118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257</v>
      </c>
      <c r="C971">
        <v>40</v>
      </c>
      <c r="D971" t="s">
        <v>258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257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257</v>
      </c>
      <c r="C973">
        <v>60</v>
      </c>
      <c r="D973" t="s">
        <v>109</v>
      </c>
      <c r="E973" t="s">
        <v>110</v>
      </c>
      <c r="F973">
        <v>0.58799999999999997</v>
      </c>
      <c r="G973" t="s">
        <v>15</v>
      </c>
    </row>
    <row r="974" spans="1:7" x14ac:dyDescent="0.25">
      <c r="A974">
        <v>70</v>
      </c>
      <c r="B974" t="s">
        <v>257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257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257</v>
      </c>
      <c r="C976">
        <v>90</v>
      </c>
      <c r="D976" t="s">
        <v>117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257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257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257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257</v>
      </c>
      <c r="C980">
        <v>130</v>
      </c>
      <c r="D980" t="s">
        <v>115</v>
      </c>
      <c r="E980" t="s">
        <v>14</v>
      </c>
      <c r="F980">
        <v>0.70599999999999996</v>
      </c>
      <c r="G980" t="s">
        <v>15</v>
      </c>
    </row>
    <row r="981" spans="1:7" x14ac:dyDescent="0.25">
      <c r="A981">
        <v>70</v>
      </c>
      <c r="B981" t="s">
        <v>257</v>
      </c>
      <c r="C981">
        <v>140</v>
      </c>
      <c r="D981" t="s">
        <v>338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259</v>
      </c>
      <c r="C982">
        <v>10</v>
      </c>
      <c r="D982" t="s">
        <v>414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259</v>
      </c>
      <c r="C983">
        <v>20</v>
      </c>
      <c r="D983" t="s">
        <v>116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259</v>
      </c>
      <c r="C984">
        <v>30</v>
      </c>
      <c r="D984" t="s">
        <v>118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259</v>
      </c>
      <c r="C985">
        <v>40</v>
      </c>
      <c r="D985" t="s">
        <v>260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259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259</v>
      </c>
      <c r="C987">
        <v>60</v>
      </c>
      <c r="D987" t="s">
        <v>109</v>
      </c>
      <c r="E987" t="s">
        <v>110</v>
      </c>
      <c r="F987">
        <v>0.68899999999999995</v>
      </c>
      <c r="G987" t="s">
        <v>15</v>
      </c>
    </row>
    <row r="988" spans="1:7" x14ac:dyDescent="0.25">
      <c r="A988">
        <v>71</v>
      </c>
      <c r="B988" t="s">
        <v>259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259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259</v>
      </c>
      <c r="C990">
        <v>90</v>
      </c>
      <c r="D990" t="s">
        <v>117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259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259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259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259</v>
      </c>
      <c r="C994">
        <v>130</v>
      </c>
      <c r="D994" t="s">
        <v>115</v>
      </c>
      <c r="E994" t="s">
        <v>14</v>
      </c>
      <c r="F994">
        <v>0.70599999999999996</v>
      </c>
      <c r="G994" t="s">
        <v>15</v>
      </c>
    </row>
    <row r="995" spans="1:7" x14ac:dyDescent="0.25">
      <c r="A995">
        <v>71</v>
      </c>
      <c r="B995" t="s">
        <v>259</v>
      </c>
      <c r="C995">
        <v>140</v>
      </c>
      <c r="D995" t="s">
        <v>339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261</v>
      </c>
      <c r="C996">
        <v>10</v>
      </c>
      <c r="D996" t="s">
        <v>415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261</v>
      </c>
      <c r="C997">
        <v>20</v>
      </c>
      <c r="D997" t="s">
        <v>116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261</v>
      </c>
      <c r="C998">
        <v>30</v>
      </c>
      <c r="D998" t="s">
        <v>118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261</v>
      </c>
      <c r="C999">
        <v>40</v>
      </c>
      <c r="D999" t="s">
        <v>262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261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261</v>
      </c>
      <c r="C1001">
        <v>60</v>
      </c>
      <c r="D1001" t="s">
        <v>109</v>
      </c>
      <c r="E1001" t="s">
        <v>110</v>
      </c>
      <c r="F1001">
        <v>0.79</v>
      </c>
      <c r="G1001" t="s">
        <v>15</v>
      </c>
    </row>
    <row r="1002" spans="1:7" x14ac:dyDescent="0.25">
      <c r="A1002">
        <v>72</v>
      </c>
      <c r="B1002" t="s">
        <v>261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261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261</v>
      </c>
      <c r="C1004">
        <v>90</v>
      </c>
      <c r="D1004" t="s">
        <v>117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261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261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261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261</v>
      </c>
      <c r="C1008">
        <v>130</v>
      </c>
      <c r="D1008" t="s">
        <v>115</v>
      </c>
      <c r="E1008" t="s">
        <v>14</v>
      </c>
      <c r="F1008">
        <v>0.70599999999999996</v>
      </c>
      <c r="G1008" t="s">
        <v>15</v>
      </c>
    </row>
    <row r="1009" spans="1:7" x14ac:dyDescent="0.25">
      <c r="A1009">
        <v>72</v>
      </c>
      <c r="B1009" t="s">
        <v>261</v>
      </c>
      <c r="C1009">
        <v>140</v>
      </c>
      <c r="D1009" t="s">
        <v>340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263</v>
      </c>
      <c r="C1010">
        <v>10</v>
      </c>
      <c r="D1010" t="s">
        <v>416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263</v>
      </c>
      <c r="C1011">
        <v>20</v>
      </c>
      <c r="D1011" t="s">
        <v>116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263</v>
      </c>
      <c r="C1012">
        <v>30</v>
      </c>
      <c r="D1012" t="s">
        <v>118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263</v>
      </c>
      <c r="C1013">
        <v>40</v>
      </c>
      <c r="D1013" t="s">
        <v>264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263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263</v>
      </c>
      <c r="C1015">
        <v>60</v>
      </c>
      <c r="D1015" t="s">
        <v>109</v>
      </c>
      <c r="E1015" t="s">
        <v>110</v>
      </c>
      <c r="F1015">
        <v>0.99199999999999999</v>
      </c>
      <c r="G1015" t="s">
        <v>15</v>
      </c>
    </row>
    <row r="1016" spans="1:7" x14ac:dyDescent="0.25">
      <c r="A1016">
        <v>73</v>
      </c>
      <c r="B1016" t="s">
        <v>263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263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263</v>
      </c>
      <c r="C1018">
        <v>90</v>
      </c>
      <c r="D1018" t="s">
        <v>117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263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263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263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263</v>
      </c>
      <c r="C1022">
        <v>130</v>
      </c>
      <c r="D1022" t="s">
        <v>115</v>
      </c>
      <c r="E1022" t="s">
        <v>14</v>
      </c>
      <c r="F1022">
        <v>0.70599999999999996</v>
      </c>
      <c r="G1022" t="s">
        <v>15</v>
      </c>
    </row>
    <row r="1023" spans="1:7" x14ac:dyDescent="0.25">
      <c r="A1023">
        <v>73</v>
      </c>
      <c r="B1023" t="s">
        <v>263</v>
      </c>
      <c r="C1023">
        <v>140</v>
      </c>
      <c r="D1023" t="s">
        <v>341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265</v>
      </c>
      <c r="C1024">
        <v>10</v>
      </c>
      <c r="D1024" t="s">
        <v>417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265</v>
      </c>
      <c r="C1025">
        <v>20</v>
      </c>
      <c r="D1025" t="s">
        <v>116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265</v>
      </c>
      <c r="C1026">
        <v>30</v>
      </c>
      <c r="D1026" t="s">
        <v>118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265</v>
      </c>
      <c r="C1027">
        <v>40</v>
      </c>
      <c r="D1027" t="s">
        <v>266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265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265</v>
      </c>
      <c r="C1029">
        <v>60</v>
      </c>
      <c r="D1029" t="s">
        <v>109</v>
      </c>
      <c r="E1029" t="s">
        <v>110</v>
      </c>
      <c r="F1029">
        <v>1.0920000000000001</v>
      </c>
      <c r="G1029" t="s">
        <v>15</v>
      </c>
    </row>
    <row r="1030" spans="1:7" x14ac:dyDescent="0.25">
      <c r="A1030">
        <v>74</v>
      </c>
      <c r="B1030" t="s">
        <v>265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265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265</v>
      </c>
      <c r="C1032">
        <v>90</v>
      </c>
      <c r="D1032" t="s">
        <v>117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265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265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265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265</v>
      </c>
      <c r="C1036">
        <v>130</v>
      </c>
      <c r="D1036" t="s">
        <v>115</v>
      </c>
      <c r="E1036" t="s">
        <v>14</v>
      </c>
      <c r="F1036">
        <v>0.70599999999999996</v>
      </c>
      <c r="G1036" t="s">
        <v>15</v>
      </c>
    </row>
    <row r="1037" spans="1:7" x14ac:dyDescent="0.25">
      <c r="A1037">
        <v>74</v>
      </c>
      <c r="B1037" t="s">
        <v>265</v>
      </c>
      <c r="C1037">
        <v>140</v>
      </c>
      <c r="D1037" t="s">
        <v>342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267</v>
      </c>
      <c r="C1038">
        <v>10</v>
      </c>
      <c r="D1038" t="s">
        <v>418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267</v>
      </c>
      <c r="C1039">
        <v>20</v>
      </c>
      <c r="D1039" t="s">
        <v>116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267</v>
      </c>
      <c r="C1040">
        <v>30</v>
      </c>
      <c r="D1040" t="s">
        <v>118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267</v>
      </c>
      <c r="C1041">
        <v>40</v>
      </c>
      <c r="D1041" t="s">
        <v>268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267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267</v>
      </c>
      <c r="C1043">
        <v>60</v>
      </c>
      <c r="D1043" t="s">
        <v>109</v>
      </c>
      <c r="E1043" t="s">
        <v>110</v>
      </c>
      <c r="F1043">
        <v>1.1930000000000001</v>
      </c>
      <c r="G1043" t="s">
        <v>15</v>
      </c>
    </row>
    <row r="1044" spans="1:7" x14ac:dyDescent="0.25">
      <c r="A1044">
        <v>75</v>
      </c>
      <c r="B1044" t="s">
        <v>267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267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267</v>
      </c>
      <c r="C1046">
        <v>90</v>
      </c>
      <c r="D1046" t="s">
        <v>117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267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267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267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267</v>
      </c>
      <c r="C1050">
        <v>130</v>
      </c>
      <c r="D1050" t="s">
        <v>115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75</v>
      </c>
      <c r="B1051" t="s">
        <v>267</v>
      </c>
      <c r="C1051">
        <v>140</v>
      </c>
      <c r="D1051" t="s">
        <v>343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Q11" sqref="Q1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8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8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9" t="s">
        <v>53</v>
      </c>
      <c r="C4" s="29" t="s">
        <v>54</v>
      </c>
      <c r="D4" s="44" t="s">
        <v>55</v>
      </c>
      <c r="E4" s="29" t="s">
        <v>3</v>
      </c>
      <c r="F4" s="44" t="s">
        <v>56</v>
      </c>
      <c r="G4" s="29" t="s">
        <v>57</v>
      </c>
      <c r="H4" s="29" t="s">
        <v>6</v>
      </c>
      <c r="I4" s="29" t="s">
        <v>58</v>
      </c>
      <c r="J4" s="44" t="s">
        <v>59</v>
      </c>
      <c r="K4" s="44" t="s">
        <v>60</v>
      </c>
      <c r="L4" s="44" t="s">
        <v>61</v>
      </c>
      <c r="M4" s="30" t="s">
        <v>62</v>
      </c>
      <c r="N4" s="31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159</v>
      </c>
      <c r="D5" s="3"/>
      <c r="E5" s="3" t="s">
        <v>159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159</v>
      </c>
      <c r="D6" s="3"/>
      <c r="E6" s="3" t="s">
        <v>159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159</v>
      </c>
      <c r="D7" s="3"/>
      <c r="E7" s="3" t="s">
        <v>159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159</v>
      </c>
      <c r="D8" s="3"/>
      <c r="E8" s="3" t="s">
        <v>159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159</v>
      </c>
      <c r="D9" s="3"/>
      <c r="E9" s="3" t="s">
        <v>159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159</v>
      </c>
      <c r="D10" s="3"/>
      <c r="E10" s="3" t="s">
        <v>159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0.46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159</v>
      </c>
      <c r="D11" s="3"/>
      <c r="E11" s="3" t="s">
        <v>159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159</v>
      </c>
      <c r="D12" s="3"/>
      <c r="E12" s="3" t="s">
        <v>159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159</v>
      </c>
      <c r="D13" s="3"/>
      <c r="E13" s="3" t="s">
        <v>159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117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159</v>
      </c>
      <c r="D14" s="3"/>
      <c r="E14" s="3" t="s">
        <v>159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159</v>
      </c>
      <c r="D15" s="3"/>
      <c r="E15" s="3" t="s">
        <v>159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159</v>
      </c>
      <c r="D16" s="3"/>
      <c r="E16" s="3" t="s">
        <v>159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159</v>
      </c>
      <c r="D17" s="3"/>
      <c r="E17" s="3" t="s">
        <v>159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115</v>
      </c>
      <c r="O17" s="3"/>
      <c r="P17" s="3"/>
      <c r="Q17" s="3">
        <v>0.32300000000000001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159</v>
      </c>
      <c r="D18" s="3"/>
      <c r="E18" s="3" t="s">
        <v>159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269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160</v>
      </c>
      <c r="D19" s="3"/>
      <c r="E19" s="3" t="s">
        <v>160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160</v>
      </c>
      <c r="D20" s="3"/>
      <c r="E20" s="3" t="s">
        <v>160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116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160</v>
      </c>
      <c r="D21" s="3"/>
      <c r="E21" s="3" t="s">
        <v>160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160</v>
      </c>
      <c r="D22" s="3"/>
      <c r="E22" s="3" t="s">
        <v>160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160</v>
      </c>
      <c r="D23" s="3"/>
      <c r="E23" s="3" t="s">
        <v>160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160</v>
      </c>
      <c r="D24" s="3"/>
      <c r="E24" s="3" t="s">
        <v>160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0.54600000000000004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160</v>
      </c>
      <c r="D25" s="3"/>
      <c r="E25" s="3" t="s">
        <v>160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160</v>
      </c>
      <c r="D26" s="3"/>
      <c r="E26" s="3" t="s">
        <v>160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160</v>
      </c>
      <c r="D27" s="3"/>
      <c r="E27" s="3" t="s">
        <v>160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117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160</v>
      </c>
      <c r="D28" s="3"/>
      <c r="E28" s="3" t="s">
        <v>160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160</v>
      </c>
      <c r="D29" s="3"/>
      <c r="E29" s="3" t="s">
        <v>160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160</v>
      </c>
      <c r="D30" s="3"/>
      <c r="E30" s="3" t="s">
        <v>160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160</v>
      </c>
      <c r="D31" s="3"/>
      <c r="E31" s="3" t="s">
        <v>160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115</v>
      </c>
      <c r="O31" s="3"/>
      <c r="P31" s="3"/>
      <c r="Q31" s="3">
        <v>0.36799999999999999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160</v>
      </c>
      <c r="D32" s="3"/>
      <c r="E32" s="3" t="s">
        <v>160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270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161</v>
      </c>
      <c r="D33" s="3"/>
      <c r="E33" s="3" t="s">
        <v>161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161</v>
      </c>
      <c r="D34" s="3"/>
      <c r="E34" s="3" t="s">
        <v>161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116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161</v>
      </c>
      <c r="D35" s="3"/>
      <c r="E35" s="3" t="s">
        <v>161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118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161</v>
      </c>
      <c r="D36" s="3"/>
      <c r="E36" s="3" t="s">
        <v>161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161</v>
      </c>
      <c r="D37" s="3"/>
      <c r="E37" s="3" t="s">
        <v>161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161</v>
      </c>
      <c r="D38" s="3"/>
      <c r="E38" s="3" t="s">
        <v>161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0.63300000000000001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161</v>
      </c>
      <c r="D39" s="3"/>
      <c r="E39" s="3" t="s">
        <v>161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161</v>
      </c>
      <c r="D40" s="3"/>
      <c r="E40" s="3" t="s">
        <v>161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161</v>
      </c>
      <c r="D41" s="3"/>
      <c r="E41" s="3" t="s">
        <v>161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117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161</v>
      </c>
      <c r="D42" s="3"/>
      <c r="E42" s="3" t="s">
        <v>161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161</v>
      </c>
      <c r="D43" s="3"/>
      <c r="E43" s="3" t="s">
        <v>161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161</v>
      </c>
      <c r="D44" s="3"/>
      <c r="E44" s="3" t="s">
        <v>161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161</v>
      </c>
      <c r="D45" s="3"/>
      <c r="E45" s="3" t="s">
        <v>161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115</v>
      </c>
      <c r="O45" s="3"/>
      <c r="P45" s="3"/>
      <c r="Q45" s="3">
        <v>0.41299999999999998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161</v>
      </c>
      <c r="D46" s="3"/>
      <c r="E46" s="3" t="s">
        <v>161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271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162</v>
      </c>
      <c r="D47" s="3"/>
      <c r="E47" s="3" t="s">
        <v>162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162</v>
      </c>
      <c r="D48" s="3"/>
      <c r="E48" s="3" t="s">
        <v>162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116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162</v>
      </c>
      <c r="D49" s="3"/>
      <c r="E49" s="3" t="s">
        <v>162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118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162</v>
      </c>
      <c r="D50" s="3"/>
      <c r="E50" s="3" t="s">
        <v>162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162</v>
      </c>
      <c r="D51" s="3"/>
      <c r="E51" s="3" t="s">
        <v>162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162</v>
      </c>
      <c r="D52" s="3"/>
      <c r="E52" s="3" t="s">
        <v>162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0.71899999999999997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162</v>
      </c>
      <c r="D53" s="3"/>
      <c r="E53" s="3" t="s">
        <v>162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162</v>
      </c>
      <c r="D54" s="3"/>
      <c r="E54" s="3" t="s">
        <v>162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162</v>
      </c>
      <c r="D55" s="3"/>
      <c r="E55" s="3" t="s">
        <v>162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117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162</v>
      </c>
      <c r="D56" s="3"/>
      <c r="E56" s="3" t="s">
        <v>162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162</v>
      </c>
      <c r="D57" s="3"/>
      <c r="E57" s="3" t="s">
        <v>162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162</v>
      </c>
      <c r="D58" s="3"/>
      <c r="E58" s="3" t="s">
        <v>162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162</v>
      </c>
      <c r="D59" s="3"/>
      <c r="E59" s="3" t="s">
        <v>162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115</v>
      </c>
      <c r="O59" s="3"/>
      <c r="P59" s="3"/>
      <c r="Q59" s="3">
        <v>0.45800000000000002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162</v>
      </c>
      <c r="D60" s="3"/>
      <c r="E60" s="3" t="s">
        <v>162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272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163</v>
      </c>
      <c r="D61" s="3"/>
      <c r="E61" s="3" t="s">
        <v>163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163</v>
      </c>
      <c r="D62" s="3"/>
      <c r="E62" s="3" t="s">
        <v>163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116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163</v>
      </c>
      <c r="D63" s="3"/>
      <c r="E63" s="3" t="s">
        <v>163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118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163</v>
      </c>
      <c r="D64" s="3"/>
      <c r="E64" s="3" t="s">
        <v>163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123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163</v>
      </c>
      <c r="D65" s="3"/>
      <c r="E65" s="3" t="s">
        <v>163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163</v>
      </c>
      <c r="D66" s="3"/>
      <c r="E66" s="3" t="s">
        <v>163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0.76200000000000001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163</v>
      </c>
      <c r="D67" s="3"/>
      <c r="E67" s="3" t="s">
        <v>163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163</v>
      </c>
      <c r="D68" s="3"/>
      <c r="E68" s="3" t="s">
        <v>163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163</v>
      </c>
      <c r="D69" s="3"/>
      <c r="E69" s="3" t="s">
        <v>163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117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163</v>
      </c>
      <c r="D70" s="3"/>
      <c r="E70" s="3" t="s">
        <v>163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163</v>
      </c>
      <c r="D71" s="3"/>
      <c r="E71" s="3" t="s">
        <v>163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163</v>
      </c>
      <c r="D72" s="3"/>
      <c r="E72" s="3" t="s">
        <v>163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163</v>
      </c>
      <c r="D73" s="3"/>
      <c r="E73" s="3" t="s">
        <v>163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115</v>
      </c>
      <c r="O73" s="3"/>
      <c r="P73" s="3"/>
      <c r="Q73" s="3">
        <v>0.48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163</v>
      </c>
      <c r="D74" s="3"/>
      <c r="E74" s="3" t="s">
        <v>163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273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164</v>
      </c>
      <c r="D75" s="3"/>
      <c r="E75" s="3" t="s">
        <v>164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349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164</v>
      </c>
      <c r="D76" s="3"/>
      <c r="E76" s="3" t="s">
        <v>164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116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164</v>
      </c>
      <c r="D77" s="3"/>
      <c r="E77" s="3" t="s">
        <v>164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118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164</v>
      </c>
      <c r="D78" s="3"/>
      <c r="E78" s="3" t="s">
        <v>164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164</v>
      </c>
      <c r="D79" s="3"/>
      <c r="E79" s="3" t="s">
        <v>164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164</v>
      </c>
      <c r="D80" s="3"/>
      <c r="E80" s="3" t="s">
        <v>164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0.80500000000000005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164</v>
      </c>
      <c r="D81" s="3"/>
      <c r="E81" s="3" t="s">
        <v>164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164</v>
      </c>
      <c r="D82" s="3"/>
      <c r="E82" s="3" t="s">
        <v>164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164</v>
      </c>
      <c r="D83" s="3"/>
      <c r="E83" s="3" t="s">
        <v>164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117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164</v>
      </c>
      <c r="D84" s="3"/>
      <c r="E84" s="3" t="s">
        <v>164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164</v>
      </c>
      <c r="D85" s="3"/>
      <c r="E85" s="3" t="s">
        <v>164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164</v>
      </c>
      <c r="D86" s="3"/>
      <c r="E86" s="3" t="s">
        <v>164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164</v>
      </c>
      <c r="D87" s="3"/>
      <c r="E87" s="3" t="s">
        <v>164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115</v>
      </c>
      <c r="O87" s="3"/>
      <c r="P87" s="3"/>
      <c r="Q87" s="3">
        <v>0.503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164</v>
      </c>
      <c r="D88" s="3"/>
      <c r="E88" s="3" t="s">
        <v>164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274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165</v>
      </c>
      <c r="D89" s="3"/>
      <c r="E89" s="3" t="s">
        <v>165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165</v>
      </c>
      <c r="D90" s="3"/>
      <c r="E90" s="3" t="s">
        <v>165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116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165</v>
      </c>
      <c r="D91" s="3"/>
      <c r="E91" s="3" t="s">
        <v>165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118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165</v>
      </c>
      <c r="D92" s="3"/>
      <c r="E92" s="3" t="s">
        <v>165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165</v>
      </c>
      <c r="D93" s="3"/>
      <c r="E93" s="3" t="s">
        <v>165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165</v>
      </c>
      <c r="D94" s="3"/>
      <c r="E94" s="3" t="s">
        <v>165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0.89100000000000001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165</v>
      </c>
      <c r="D95" s="3"/>
      <c r="E95" s="3" t="s">
        <v>165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165</v>
      </c>
      <c r="D96" s="3"/>
      <c r="E96" s="3" t="s">
        <v>165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165</v>
      </c>
      <c r="D97" s="3"/>
      <c r="E97" s="3" t="s">
        <v>165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117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165</v>
      </c>
      <c r="D98" s="3"/>
      <c r="E98" s="3" t="s">
        <v>165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165</v>
      </c>
      <c r="D99" s="3"/>
      <c r="E99" s="3" t="s">
        <v>165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165</v>
      </c>
      <c r="D100" s="3"/>
      <c r="E100" s="3" t="s">
        <v>165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165</v>
      </c>
      <c r="D101" s="3"/>
      <c r="E101" s="3" t="s">
        <v>165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115</v>
      </c>
      <c r="O101" s="3"/>
      <c r="P101" s="3"/>
      <c r="Q101" s="3">
        <v>0.54800000000000004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165</v>
      </c>
      <c r="D102" s="3"/>
      <c r="E102" s="3" t="s">
        <v>165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275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166</v>
      </c>
      <c r="D103" s="3"/>
      <c r="E103" s="3" t="s">
        <v>166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166</v>
      </c>
      <c r="D104" s="3"/>
      <c r="E104" s="3" t="s">
        <v>166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116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166</v>
      </c>
      <c r="D105" s="3"/>
      <c r="E105" s="3" t="s">
        <v>166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118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166</v>
      </c>
      <c r="D106" s="3"/>
      <c r="E106" s="3" t="s">
        <v>166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0.97799999999999998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117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115</v>
      </c>
      <c r="O115" s="3"/>
      <c r="P115" s="3"/>
      <c r="Q115" s="3">
        <v>0.59299999999999997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276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116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118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127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0.48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117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115</v>
      </c>
      <c r="O129" s="3"/>
      <c r="P129" s="3"/>
      <c r="Q129" s="3">
        <v>0.32300000000000001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277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168</v>
      </c>
      <c r="D131" s="3"/>
      <c r="E131" s="3" t="s">
        <v>168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168</v>
      </c>
      <c r="D132" s="3"/>
      <c r="E132" s="3" t="s">
        <v>168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116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168</v>
      </c>
      <c r="D133" s="3"/>
      <c r="E133" s="3" t="s">
        <v>168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118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168</v>
      </c>
      <c r="D134" s="3"/>
      <c r="E134" s="3" t="s">
        <v>168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128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168</v>
      </c>
      <c r="D135" s="3"/>
      <c r="E135" s="3" t="s">
        <v>168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168</v>
      </c>
      <c r="D136" s="3"/>
      <c r="E136" s="3" t="s">
        <v>168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0.56899999999999995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168</v>
      </c>
      <c r="D137" s="3"/>
      <c r="E137" s="3" t="s">
        <v>168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168</v>
      </c>
      <c r="D138" s="3"/>
      <c r="E138" s="3" t="s">
        <v>168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168</v>
      </c>
      <c r="D139" s="3"/>
      <c r="E139" s="3" t="s">
        <v>168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117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168</v>
      </c>
      <c r="D140" s="3"/>
      <c r="E140" s="3" t="s">
        <v>168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168</v>
      </c>
      <c r="D141" s="3"/>
      <c r="E141" s="3" t="s">
        <v>168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168</v>
      </c>
      <c r="D142" s="3"/>
      <c r="E142" s="3" t="s">
        <v>168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168</v>
      </c>
      <c r="D143" s="3"/>
      <c r="E143" s="3" t="s">
        <v>168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115</v>
      </c>
      <c r="O143" s="3"/>
      <c r="P143" s="3"/>
      <c r="Q143" s="3">
        <v>0.36799999999999999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168</v>
      </c>
      <c r="D144" s="3"/>
      <c r="E144" s="3" t="s">
        <v>168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278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116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118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129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0.65900000000000003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169</v>
      </c>
      <c r="D152" s="3"/>
      <c r="E152" s="3" t="s">
        <v>169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169</v>
      </c>
      <c r="D153" s="3"/>
      <c r="E153" s="3" t="s">
        <v>169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117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169</v>
      </c>
      <c r="D154" s="3"/>
      <c r="E154" s="3" t="s">
        <v>169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169</v>
      </c>
      <c r="D155" s="3"/>
      <c r="E155" s="3" t="s">
        <v>169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169</v>
      </c>
      <c r="D156" s="3"/>
      <c r="E156" s="3" t="s">
        <v>169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169</v>
      </c>
      <c r="D157" s="3"/>
      <c r="E157" s="3" t="s">
        <v>169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115</v>
      </c>
      <c r="O157" s="3"/>
      <c r="P157" s="3"/>
      <c r="Q157" s="3">
        <v>0.41299999999999998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169</v>
      </c>
      <c r="D158" s="3"/>
      <c r="E158" s="3" t="s">
        <v>169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279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116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118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130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0.749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117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115</v>
      </c>
      <c r="O171" s="3"/>
      <c r="P171" s="3"/>
      <c r="Q171" s="3">
        <v>0.45800000000000002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280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171</v>
      </c>
      <c r="D173" s="3"/>
      <c r="E173" s="3" t="s">
        <v>171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171</v>
      </c>
      <c r="D174" s="3"/>
      <c r="E174" s="3" t="s">
        <v>171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116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171</v>
      </c>
      <c r="D175" s="3"/>
      <c r="E175" s="3" t="s">
        <v>171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118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171</v>
      </c>
      <c r="D176" s="3"/>
      <c r="E176" s="3" t="s">
        <v>171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131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171</v>
      </c>
      <c r="D177" s="3"/>
      <c r="E177" s="3" t="s">
        <v>171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171</v>
      </c>
      <c r="D178" s="3"/>
      <c r="E178" s="3" t="s">
        <v>171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0.79400000000000004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171</v>
      </c>
      <c r="D179" s="3"/>
      <c r="E179" s="3" t="s">
        <v>171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171</v>
      </c>
      <c r="D180" s="3"/>
      <c r="E180" s="3" t="s">
        <v>171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171</v>
      </c>
      <c r="D181" s="3"/>
      <c r="E181" s="3" t="s">
        <v>171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117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171</v>
      </c>
      <c r="D182" s="3"/>
      <c r="E182" s="3" t="s">
        <v>171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171</v>
      </c>
      <c r="D183" s="3"/>
      <c r="E183" s="3" t="s">
        <v>171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171</v>
      </c>
      <c r="D184" s="3"/>
      <c r="E184" s="3" t="s">
        <v>171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171</v>
      </c>
      <c r="D185" s="3"/>
      <c r="E185" s="3" t="s">
        <v>171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115</v>
      </c>
      <c r="O185" s="3"/>
      <c r="P185" s="3"/>
      <c r="Q185" s="3">
        <v>0.48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171</v>
      </c>
      <c r="D186" s="3"/>
      <c r="E186" s="3" t="s">
        <v>171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281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118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132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0.83899999999999997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172</v>
      </c>
      <c r="D195" s="3"/>
      <c r="E195" s="3" t="s">
        <v>172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172</v>
      </c>
      <c r="D196" s="3"/>
      <c r="E196" s="3" t="s">
        <v>172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172</v>
      </c>
      <c r="D197" s="3"/>
      <c r="E197" s="3" t="s">
        <v>172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172</v>
      </c>
      <c r="D198" s="3"/>
      <c r="E198" s="3" t="s">
        <v>172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172</v>
      </c>
      <c r="D199" s="3"/>
      <c r="E199" s="3" t="s">
        <v>172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115</v>
      </c>
      <c r="O199" s="3"/>
      <c r="P199" s="3"/>
      <c r="Q199" s="3">
        <v>0.503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172</v>
      </c>
      <c r="D200" s="3"/>
      <c r="E200" s="3" t="s">
        <v>172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282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173</v>
      </c>
      <c r="D201" s="3"/>
      <c r="E201" s="3" t="s">
        <v>173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173</v>
      </c>
      <c r="D202" s="3"/>
      <c r="E202" s="3" t="s">
        <v>173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116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173</v>
      </c>
      <c r="D203" s="3"/>
      <c r="E203" s="3" t="s">
        <v>173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118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173</v>
      </c>
      <c r="D204" s="3"/>
      <c r="E204" s="3" t="s">
        <v>173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133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173</v>
      </c>
      <c r="D205" s="3"/>
      <c r="E205" s="3" t="s">
        <v>173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173</v>
      </c>
      <c r="D206" s="3"/>
      <c r="E206" s="3" t="s">
        <v>173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0.92900000000000005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173</v>
      </c>
      <c r="D207" s="3"/>
      <c r="E207" s="3" t="s">
        <v>173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173</v>
      </c>
      <c r="D208" s="3"/>
      <c r="E208" s="3" t="s">
        <v>173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173</v>
      </c>
      <c r="D209" s="3"/>
      <c r="E209" s="3" t="s">
        <v>173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117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173</v>
      </c>
      <c r="D210" s="3"/>
      <c r="E210" s="3" t="s">
        <v>173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173</v>
      </c>
      <c r="D211" s="3"/>
      <c r="E211" s="3" t="s">
        <v>173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173</v>
      </c>
      <c r="D212" s="3"/>
      <c r="E212" s="3" t="s">
        <v>173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173</v>
      </c>
      <c r="D213" s="3"/>
      <c r="E213" s="3" t="s">
        <v>173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115</v>
      </c>
      <c r="O213" s="3"/>
      <c r="P213" s="3"/>
      <c r="Q213" s="3">
        <v>0.54800000000000004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173</v>
      </c>
      <c r="D214" s="3"/>
      <c r="E214" s="3" t="s">
        <v>173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174</v>
      </c>
      <c r="D215" s="3"/>
      <c r="E215" s="3" t="s">
        <v>174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359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174</v>
      </c>
      <c r="D216" s="3"/>
      <c r="E216" s="3" t="s">
        <v>174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116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174</v>
      </c>
      <c r="D217" s="3"/>
      <c r="E217" s="3" t="s">
        <v>174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118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174</v>
      </c>
      <c r="D218" s="3"/>
      <c r="E218" s="3" t="s">
        <v>174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134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174</v>
      </c>
      <c r="D219" s="3"/>
      <c r="E219" s="3" t="s">
        <v>174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174</v>
      </c>
      <c r="D220" s="3"/>
      <c r="E220" s="3" t="s">
        <v>174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1.0189999999999999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174</v>
      </c>
      <c r="D221" s="3"/>
      <c r="E221" s="3" t="s">
        <v>174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174</v>
      </c>
      <c r="D222" s="3"/>
      <c r="E222" s="3" t="s">
        <v>174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174</v>
      </c>
      <c r="D223" s="3"/>
      <c r="E223" s="3" t="s">
        <v>174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117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174</v>
      </c>
      <c r="D224" s="3"/>
      <c r="E224" s="3" t="s">
        <v>174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174</v>
      </c>
      <c r="D225" s="3"/>
      <c r="E225" s="3" t="s">
        <v>174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174</v>
      </c>
      <c r="D226" s="3"/>
      <c r="E226" s="3" t="s">
        <v>174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174</v>
      </c>
      <c r="D227" s="3"/>
      <c r="E227" s="3" t="s">
        <v>174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115</v>
      </c>
      <c r="O227" s="3"/>
      <c r="P227" s="3"/>
      <c r="Q227" s="3">
        <v>0.59299999999999997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174</v>
      </c>
      <c r="D228" s="3"/>
      <c r="E228" s="3" t="s">
        <v>174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284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175</v>
      </c>
      <c r="D229" s="3"/>
      <c r="E229" s="3" t="s">
        <v>175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116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118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135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0.499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117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115</v>
      </c>
      <c r="O241" s="3"/>
      <c r="P241" s="3"/>
      <c r="Q241" s="3">
        <v>0.32300000000000001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285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176</v>
      </c>
      <c r="D243" s="3"/>
      <c r="E243" s="3" t="s">
        <v>176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176</v>
      </c>
      <c r="D244" s="3"/>
      <c r="E244" s="3" t="s">
        <v>176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116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176</v>
      </c>
      <c r="D245" s="3"/>
      <c r="E245" s="3" t="s">
        <v>176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118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176</v>
      </c>
      <c r="D246" s="3"/>
      <c r="E246" s="3" t="s">
        <v>176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136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176</v>
      </c>
      <c r="D247" s="3"/>
      <c r="E247" s="3" t="s">
        <v>176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176</v>
      </c>
      <c r="D248" s="3"/>
      <c r="E248" s="3" t="s">
        <v>176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0.59299999999999997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176</v>
      </c>
      <c r="D249" s="3"/>
      <c r="E249" s="3" t="s">
        <v>176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176</v>
      </c>
      <c r="D250" s="3"/>
      <c r="E250" s="3" t="s">
        <v>176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176</v>
      </c>
      <c r="D251" s="3"/>
      <c r="E251" s="3" t="s">
        <v>176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117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176</v>
      </c>
      <c r="D252" s="3"/>
      <c r="E252" s="3" t="s">
        <v>176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176</v>
      </c>
      <c r="D253" s="3"/>
      <c r="E253" s="3" t="s">
        <v>176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176</v>
      </c>
      <c r="D254" s="3"/>
      <c r="E254" s="3" t="s">
        <v>176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176</v>
      </c>
      <c r="D255" s="3"/>
      <c r="E255" s="3" t="s">
        <v>176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115</v>
      </c>
      <c r="O255" s="3"/>
      <c r="P255" s="3"/>
      <c r="Q255" s="3">
        <v>0.36799999999999999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176</v>
      </c>
      <c r="D256" s="3"/>
      <c r="E256" s="3" t="s">
        <v>176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286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177</v>
      </c>
      <c r="D257" s="3"/>
      <c r="E257" s="3" t="s">
        <v>177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177</v>
      </c>
      <c r="D258" s="3"/>
      <c r="E258" s="3" t="s">
        <v>177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116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177</v>
      </c>
      <c r="D259" s="3"/>
      <c r="E259" s="3" t="s">
        <v>177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118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177</v>
      </c>
      <c r="D260" s="3"/>
      <c r="E260" s="3" t="s">
        <v>177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137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177</v>
      </c>
      <c r="D261" s="3"/>
      <c r="E261" s="3" t="s">
        <v>177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177</v>
      </c>
      <c r="D262" s="3"/>
      <c r="E262" s="3" t="s">
        <v>177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0.68600000000000005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177</v>
      </c>
      <c r="D263" s="3"/>
      <c r="E263" s="3" t="s">
        <v>177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177</v>
      </c>
      <c r="D264" s="3"/>
      <c r="E264" s="3" t="s">
        <v>177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177</v>
      </c>
      <c r="D265" s="3"/>
      <c r="E265" s="3" t="s">
        <v>177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117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177</v>
      </c>
      <c r="D266" s="3"/>
      <c r="E266" s="3" t="s">
        <v>177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177</v>
      </c>
      <c r="D267" s="3"/>
      <c r="E267" s="3" t="s">
        <v>177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177</v>
      </c>
      <c r="D268" s="3"/>
      <c r="E268" s="3" t="s">
        <v>177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177</v>
      </c>
      <c r="D269" s="3"/>
      <c r="E269" s="3" t="s">
        <v>177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115</v>
      </c>
      <c r="O269" s="3"/>
      <c r="P269" s="3"/>
      <c r="Q269" s="3">
        <v>0.41299999999999998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177</v>
      </c>
      <c r="D270" s="3"/>
      <c r="E270" s="3" t="s">
        <v>177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287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116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118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138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0.78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117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115</v>
      </c>
      <c r="O283" s="3"/>
      <c r="P283" s="3"/>
      <c r="Q283" s="3">
        <v>0.45800000000000002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288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179</v>
      </c>
      <c r="D285" s="3"/>
      <c r="E285" s="3" t="s">
        <v>179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179</v>
      </c>
      <c r="D286" s="3"/>
      <c r="E286" s="3" t="s">
        <v>179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116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179</v>
      </c>
      <c r="D287" s="3"/>
      <c r="E287" s="3" t="s">
        <v>179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118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179</v>
      </c>
      <c r="D288" s="3"/>
      <c r="E288" s="3" t="s">
        <v>179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139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179</v>
      </c>
      <c r="D289" s="3"/>
      <c r="E289" s="3" t="s">
        <v>179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179</v>
      </c>
      <c r="D290" s="3"/>
      <c r="E290" s="3" t="s">
        <v>179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0.82599999999999996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179</v>
      </c>
      <c r="D291" s="3"/>
      <c r="E291" s="3" t="s">
        <v>179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179</v>
      </c>
      <c r="D292" s="3"/>
      <c r="E292" s="3" t="s">
        <v>179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179</v>
      </c>
      <c r="D293" s="3"/>
      <c r="E293" s="3" t="s">
        <v>179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117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179</v>
      </c>
      <c r="D294" s="3"/>
      <c r="E294" s="3" t="s">
        <v>179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179</v>
      </c>
      <c r="D295" s="3"/>
      <c r="E295" s="3" t="s">
        <v>179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179</v>
      </c>
      <c r="D296" s="3"/>
      <c r="E296" s="3" t="s">
        <v>179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179</v>
      </c>
      <c r="D297" s="3"/>
      <c r="E297" s="3" t="s">
        <v>179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115</v>
      </c>
      <c r="O297" s="3"/>
      <c r="P297" s="3"/>
      <c r="Q297" s="3">
        <v>0.48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179</v>
      </c>
      <c r="D298" s="3"/>
      <c r="E298" s="3" t="s">
        <v>179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289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180</v>
      </c>
      <c r="D299" s="3"/>
      <c r="E299" s="3" t="s">
        <v>180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180</v>
      </c>
      <c r="D300" s="3"/>
      <c r="E300" s="3" t="s">
        <v>180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116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180</v>
      </c>
      <c r="D301" s="3"/>
      <c r="E301" s="3" t="s">
        <v>180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118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180</v>
      </c>
      <c r="D302" s="3"/>
      <c r="E302" s="3" t="s">
        <v>180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140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180</v>
      </c>
      <c r="D303" s="3"/>
      <c r="E303" s="3" t="s">
        <v>180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180</v>
      </c>
      <c r="D304" s="3"/>
      <c r="E304" s="3" t="s">
        <v>180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0.873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180</v>
      </c>
      <c r="D305" s="3"/>
      <c r="E305" s="3" t="s">
        <v>180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180</v>
      </c>
      <c r="D306" s="3"/>
      <c r="E306" s="3" t="s">
        <v>180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180</v>
      </c>
      <c r="D307" s="3"/>
      <c r="E307" s="3" t="s">
        <v>180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117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180</v>
      </c>
      <c r="D308" s="3"/>
      <c r="E308" s="3" t="s">
        <v>180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180</v>
      </c>
      <c r="D309" s="3"/>
      <c r="E309" s="3" t="s">
        <v>180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180</v>
      </c>
      <c r="D310" s="3"/>
      <c r="E310" s="3" t="s">
        <v>180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180</v>
      </c>
      <c r="D311" s="3"/>
      <c r="E311" s="3" t="s">
        <v>180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115</v>
      </c>
      <c r="O311" s="3"/>
      <c r="P311" s="3"/>
      <c r="Q311" s="3">
        <v>0.503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180</v>
      </c>
      <c r="D312" s="3"/>
      <c r="E312" s="3" t="s">
        <v>180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290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181</v>
      </c>
      <c r="D313" s="3"/>
      <c r="E313" s="3" t="s">
        <v>181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181</v>
      </c>
      <c r="D314" s="3"/>
      <c r="E314" s="3" t="s">
        <v>181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116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181</v>
      </c>
      <c r="D315" s="3"/>
      <c r="E315" s="3" t="s">
        <v>181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118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181</v>
      </c>
      <c r="D316" s="3"/>
      <c r="E316" s="3" t="s">
        <v>181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141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181</v>
      </c>
      <c r="D317" s="3"/>
      <c r="E317" s="3" t="s">
        <v>181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181</v>
      </c>
      <c r="D318" s="3"/>
      <c r="E318" s="3" t="s">
        <v>181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0.96699999999999997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181</v>
      </c>
      <c r="D319" s="3"/>
      <c r="E319" s="3" t="s">
        <v>181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181</v>
      </c>
      <c r="D320" s="3"/>
      <c r="E320" s="3" t="s">
        <v>181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181</v>
      </c>
      <c r="D321" s="3"/>
      <c r="E321" s="3" t="s">
        <v>181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117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181</v>
      </c>
      <c r="D322" s="3"/>
      <c r="E322" s="3" t="s">
        <v>181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181</v>
      </c>
      <c r="D323" s="3"/>
      <c r="E323" s="3" t="s">
        <v>181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181</v>
      </c>
      <c r="D324" s="3"/>
      <c r="E324" s="3" t="s">
        <v>181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181</v>
      </c>
      <c r="D325" s="3"/>
      <c r="E325" s="3" t="s">
        <v>181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115</v>
      </c>
      <c r="O325" s="3"/>
      <c r="P325" s="3"/>
      <c r="Q325" s="3">
        <v>0.54800000000000004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181</v>
      </c>
      <c r="D326" s="3"/>
      <c r="E326" s="3" t="s">
        <v>181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291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182</v>
      </c>
      <c r="D327" s="3"/>
      <c r="E327" s="3" t="s">
        <v>182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182</v>
      </c>
      <c r="D328" s="3"/>
      <c r="E328" s="3" t="s">
        <v>182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116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182</v>
      </c>
      <c r="D329" s="3"/>
      <c r="E329" s="3" t="s">
        <v>182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118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182</v>
      </c>
      <c r="D330" s="3"/>
      <c r="E330" s="3" t="s">
        <v>182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142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182</v>
      </c>
      <c r="D331" s="3"/>
      <c r="E331" s="3" t="s">
        <v>182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182</v>
      </c>
      <c r="D332" s="3"/>
      <c r="E332" s="3" t="s">
        <v>182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1.06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182</v>
      </c>
      <c r="D333" s="3"/>
      <c r="E333" s="3" t="s">
        <v>182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182</v>
      </c>
      <c r="D334" s="3"/>
      <c r="E334" s="3" t="s">
        <v>182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182</v>
      </c>
      <c r="D335" s="3"/>
      <c r="E335" s="3" t="s">
        <v>182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117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182</v>
      </c>
      <c r="D336" s="3"/>
      <c r="E336" s="3" t="s">
        <v>182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182</v>
      </c>
      <c r="D337" s="3"/>
      <c r="E337" s="3" t="s">
        <v>182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182</v>
      </c>
      <c r="D338" s="3"/>
      <c r="E338" s="3" t="s">
        <v>182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182</v>
      </c>
      <c r="D339" s="3"/>
      <c r="E339" s="3" t="s">
        <v>182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115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182</v>
      </c>
      <c r="D340" s="3"/>
      <c r="E340" s="3" t="s">
        <v>182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183</v>
      </c>
      <c r="D341" s="3"/>
      <c r="E341" s="3" t="s">
        <v>183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183</v>
      </c>
      <c r="D342" s="3"/>
      <c r="E342" s="3" t="s">
        <v>183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116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183</v>
      </c>
      <c r="D343" s="3"/>
      <c r="E343" s="3" t="s">
        <v>183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118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183</v>
      </c>
      <c r="D344" s="3"/>
      <c r="E344" s="3" t="s">
        <v>183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143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183</v>
      </c>
      <c r="D345" s="3"/>
      <c r="E345" s="3" t="s">
        <v>183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183</v>
      </c>
      <c r="D346" s="3"/>
      <c r="E346" s="3" t="s">
        <v>183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0.51200000000000001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183</v>
      </c>
      <c r="D347" s="3"/>
      <c r="E347" s="3" t="s">
        <v>183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183</v>
      </c>
      <c r="D348" s="3"/>
      <c r="E348" s="3" t="s">
        <v>183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183</v>
      </c>
      <c r="D349" s="3"/>
      <c r="E349" s="3" t="s">
        <v>183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117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183</v>
      </c>
      <c r="D350" s="3"/>
      <c r="E350" s="3" t="s">
        <v>183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183</v>
      </c>
      <c r="D351" s="3"/>
      <c r="E351" s="3" t="s">
        <v>183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183</v>
      </c>
      <c r="D352" s="3"/>
      <c r="E352" s="3" t="s">
        <v>183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183</v>
      </c>
      <c r="D353" s="3"/>
      <c r="E353" s="3" t="s">
        <v>183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115</v>
      </c>
      <c r="O353" s="3"/>
      <c r="P353" s="3"/>
      <c r="Q353" s="3">
        <v>0.67600000000000005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183</v>
      </c>
      <c r="D354" s="3"/>
      <c r="E354" s="3" t="s">
        <v>183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184</v>
      </c>
      <c r="D355" s="3"/>
      <c r="E355" s="3" t="s">
        <v>184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369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184</v>
      </c>
      <c r="D356" s="3"/>
      <c r="E356" s="3" t="s">
        <v>184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116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184</v>
      </c>
      <c r="D357" s="3"/>
      <c r="E357" s="3" t="s">
        <v>184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118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184</v>
      </c>
      <c r="D358" s="3"/>
      <c r="E358" s="3" t="s">
        <v>184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144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184</v>
      </c>
      <c r="D359" s="3"/>
      <c r="E359" s="3" t="s">
        <v>184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184</v>
      </c>
      <c r="D360" s="3"/>
      <c r="E360" s="3" t="s">
        <v>184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0.60799999999999998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184</v>
      </c>
      <c r="D361" s="3"/>
      <c r="E361" s="3" t="s">
        <v>184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184</v>
      </c>
      <c r="D362" s="3"/>
      <c r="E362" s="3" t="s">
        <v>184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184</v>
      </c>
      <c r="D363" s="3"/>
      <c r="E363" s="3" t="s">
        <v>184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117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184</v>
      </c>
      <c r="D364" s="3"/>
      <c r="E364" s="3" t="s">
        <v>184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184</v>
      </c>
      <c r="D365" s="3"/>
      <c r="E365" s="3" t="s">
        <v>184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184</v>
      </c>
      <c r="D366" s="3"/>
      <c r="E366" s="3" t="s">
        <v>184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184</v>
      </c>
      <c r="D367" s="3"/>
      <c r="E367" s="3" t="s">
        <v>184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115</v>
      </c>
      <c r="O367" s="3"/>
      <c r="P367" s="3"/>
      <c r="Q367" s="3">
        <v>0.67600000000000005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184</v>
      </c>
      <c r="D368" s="3"/>
      <c r="E368" s="3" t="s">
        <v>184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294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185</v>
      </c>
      <c r="D369" s="3"/>
      <c r="E369" s="3" t="s">
        <v>185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185</v>
      </c>
      <c r="D370" s="3"/>
      <c r="E370" s="3" t="s">
        <v>185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185</v>
      </c>
      <c r="D371" s="3"/>
      <c r="E371" s="3" t="s">
        <v>185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118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185</v>
      </c>
      <c r="D372" s="3"/>
      <c r="E372" s="3" t="s">
        <v>185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145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185</v>
      </c>
      <c r="D373" s="3"/>
      <c r="E373" s="3" t="s">
        <v>185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185</v>
      </c>
      <c r="D374" s="3"/>
      <c r="E374" s="3" t="s">
        <v>185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0.70399999999999996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185</v>
      </c>
      <c r="D375" s="3"/>
      <c r="E375" s="3" t="s">
        <v>185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185</v>
      </c>
      <c r="D376" s="3"/>
      <c r="E376" s="3" t="s">
        <v>185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185</v>
      </c>
      <c r="D377" s="3"/>
      <c r="E377" s="3" t="s">
        <v>185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117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185</v>
      </c>
      <c r="D378" s="3"/>
      <c r="E378" s="3" t="s">
        <v>185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185</v>
      </c>
      <c r="D379" s="3"/>
      <c r="E379" s="3" t="s">
        <v>185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185</v>
      </c>
      <c r="D380" s="3"/>
      <c r="E380" s="3" t="s">
        <v>185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185</v>
      </c>
      <c r="D381" s="3"/>
      <c r="E381" s="3" t="s">
        <v>185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115</v>
      </c>
      <c r="O381" s="3"/>
      <c r="P381" s="3"/>
      <c r="Q381" s="3">
        <v>0.67600000000000005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185</v>
      </c>
      <c r="D382" s="3"/>
      <c r="E382" s="3" t="s">
        <v>185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295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186</v>
      </c>
      <c r="D383" s="3"/>
      <c r="E383" s="3" t="s">
        <v>186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186</v>
      </c>
      <c r="D384" s="3"/>
      <c r="E384" s="3" t="s">
        <v>186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116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186</v>
      </c>
      <c r="D385" s="3"/>
      <c r="E385" s="3" t="s">
        <v>186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186</v>
      </c>
      <c r="D386" s="3"/>
      <c r="E386" s="3" t="s">
        <v>186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146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186</v>
      </c>
      <c r="D387" s="3"/>
      <c r="E387" s="3" t="s">
        <v>186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186</v>
      </c>
      <c r="D388" s="3"/>
      <c r="E388" s="3" t="s">
        <v>186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0.8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186</v>
      </c>
      <c r="D389" s="3"/>
      <c r="E389" s="3" t="s">
        <v>186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186</v>
      </c>
      <c r="D390" s="3"/>
      <c r="E390" s="3" t="s">
        <v>186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186</v>
      </c>
      <c r="D391" s="3"/>
      <c r="E391" s="3" t="s">
        <v>186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117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186</v>
      </c>
      <c r="D392" s="3"/>
      <c r="E392" s="3" t="s">
        <v>186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186</v>
      </c>
      <c r="D393" s="3"/>
      <c r="E393" s="3" t="s">
        <v>186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186</v>
      </c>
      <c r="D394" s="3"/>
      <c r="E394" s="3" t="s">
        <v>186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186</v>
      </c>
      <c r="D395" s="3"/>
      <c r="E395" s="3" t="s">
        <v>186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115</v>
      </c>
      <c r="O395" s="3"/>
      <c r="P395" s="3"/>
      <c r="Q395" s="3">
        <v>0.67600000000000005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186</v>
      </c>
      <c r="D396" s="3"/>
      <c r="E396" s="3" t="s">
        <v>186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296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187</v>
      </c>
      <c r="D397" s="3"/>
      <c r="E397" s="3" t="s">
        <v>187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187</v>
      </c>
      <c r="D398" s="3"/>
      <c r="E398" s="3" t="s">
        <v>187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116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187</v>
      </c>
      <c r="D399" s="3"/>
      <c r="E399" s="3" t="s">
        <v>187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118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187</v>
      </c>
      <c r="D400" s="3"/>
      <c r="E400" s="3" t="s">
        <v>187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147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187</v>
      </c>
      <c r="D401" s="3"/>
      <c r="E401" s="3" t="s">
        <v>187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187</v>
      </c>
      <c r="D402" s="3"/>
      <c r="E402" s="3" t="s">
        <v>187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0.84799999999999998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187</v>
      </c>
      <c r="D403" s="3"/>
      <c r="E403" s="3" t="s">
        <v>187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187</v>
      </c>
      <c r="D404" s="3"/>
      <c r="E404" s="3" t="s">
        <v>187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187</v>
      </c>
      <c r="D405" s="3"/>
      <c r="E405" s="3" t="s">
        <v>187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117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187</v>
      </c>
      <c r="D406" s="3"/>
      <c r="E406" s="3" t="s">
        <v>187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187</v>
      </c>
      <c r="D407" s="3"/>
      <c r="E407" s="3" t="s">
        <v>187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187</v>
      </c>
      <c r="D408" s="3"/>
      <c r="E408" s="3" t="s">
        <v>187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187</v>
      </c>
      <c r="D409" s="3"/>
      <c r="E409" s="3" t="s">
        <v>187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115</v>
      </c>
      <c r="O409" s="3"/>
      <c r="P409" s="3"/>
      <c r="Q409" s="3">
        <v>0.67600000000000005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187</v>
      </c>
      <c r="D410" s="3"/>
      <c r="E410" s="3" t="s">
        <v>187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297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188</v>
      </c>
      <c r="D411" s="3"/>
      <c r="E411" s="3" t="s">
        <v>188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188</v>
      </c>
      <c r="D412" s="3"/>
      <c r="E412" s="3" t="s">
        <v>188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116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188</v>
      </c>
      <c r="D413" s="3"/>
      <c r="E413" s="3" t="s">
        <v>188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118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188</v>
      </c>
      <c r="D414" s="3"/>
      <c r="E414" s="3" t="s">
        <v>188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148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188</v>
      </c>
      <c r="D415" s="3"/>
      <c r="E415" s="3" t="s">
        <v>188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188</v>
      </c>
      <c r="D416" s="3"/>
      <c r="E416" s="3" t="s">
        <v>188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0.89600000000000002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188</v>
      </c>
      <c r="D417" s="3"/>
      <c r="E417" s="3" t="s">
        <v>188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188</v>
      </c>
      <c r="D418" s="3"/>
      <c r="E418" s="3" t="s">
        <v>188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188</v>
      </c>
      <c r="D419" s="3"/>
      <c r="E419" s="3" t="s">
        <v>188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117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188</v>
      </c>
      <c r="D420" s="3"/>
      <c r="E420" s="3" t="s">
        <v>188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188</v>
      </c>
      <c r="D421" s="3"/>
      <c r="E421" s="3" t="s">
        <v>188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188</v>
      </c>
      <c r="D422" s="3"/>
      <c r="E422" s="3" t="s">
        <v>188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188</v>
      </c>
      <c r="D423" s="3"/>
      <c r="E423" s="3" t="s">
        <v>188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115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188</v>
      </c>
      <c r="D424" s="3"/>
      <c r="E424" s="3" t="s">
        <v>188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298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189</v>
      </c>
      <c r="D425" s="3"/>
      <c r="E425" s="3" t="s">
        <v>189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189</v>
      </c>
      <c r="D426" s="3"/>
      <c r="E426" s="3" t="s">
        <v>189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116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189</v>
      </c>
      <c r="D427" s="3"/>
      <c r="E427" s="3" t="s">
        <v>189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118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189</v>
      </c>
      <c r="D428" s="3"/>
      <c r="E428" s="3" t="s">
        <v>189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149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189</v>
      </c>
      <c r="D429" s="3"/>
      <c r="E429" s="3" t="s">
        <v>189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189</v>
      </c>
      <c r="D430" s="3"/>
      <c r="E430" s="3" t="s">
        <v>189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0.99199999999999999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189</v>
      </c>
      <c r="D431" s="3"/>
      <c r="E431" s="3" t="s">
        <v>189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189</v>
      </c>
      <c r="D432" s="3"/>
      <c r="E432" s="3" t="s">
        <v>189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189</v>
      </c>
      <c r="D433" s="3"/>
      <c r="E433" s="3" t="s">
        <v>189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117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189</v>
      </c>
      <c r="D434" s="3"/>
      <c r="E434" s="3" t="s">
        <v>189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189</v>
      </c>
      <c r="D435" s="3"/>
      <c r="E435" s="3" t="s">
        <v>189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189</v>
      </c>
      <c r="D436" s="3"/>
      <c r="E436" s="3" t="s">
        <v>189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189</v>
      </c>
      <c r="D437" s="3"/>
      <c r="E437" s="3" t="s">
        <v>189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115</v>
      </c>
      <c r="O437" s="3"/>
      <c r="P437" s="3"/>
      <c r="Q437" s="3">
        <v>0.67600000000000005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189</v>
      </c>
      <c r="D438" s="3"/>
      <c r="E438" s="3" t="s">
        <v>189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299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190</v>
      </c>
      <c r="D439" s="3"/>
      <c r="E439" s="3" t="s">
        <v>190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190</v>
      </c>
      <c r="D440" s="3"/>
      <c r="E440" s="3" t="s">
        <v>190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116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190</v>
      </c>
      <c r="D441" s="3"/>
      <c r="E441" s="3" t="s">
        <v>190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118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190</v>
      </c>
      <c r="D442" s="3"/>
      <c r="E442" s="3" t="s">
        <v>190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150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190</v>
      </c>
      <c r="D443" s="3"/>
      <c r="E443" s="3" t="s">
        <v>190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190</v>
      </c>
      <c r="D444" s="3"/>
      <c r="E444" s="3" t="s">
        <v>190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1.0880000000000001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190</v>
      </c>
      <c r="D445" s="3"/>
      <c r="E445" s="3" t="s">
        <v>190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190</v>
      </c>
      <c r="D446" s="3"/>
      <c r="E446" s="3" t="s">
        <v>190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190</v>
      </c>
      <c r="D447" s="3"/>
      <c r="E447" s="3" t="s">
        <v>190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117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190</v>
      </c>
      <c r="D448" s="3"/>
      <c r="E448" s="3" t="s">
        <v>190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190</v>
      </c>
      <c r="D449" s="3"/>
      <c r="E449" s="3" t="s">
        <v>190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190</v>
      </c>
      <c r="D450" s="3"/>
      <c r="E450" s="3" t="s">
        <v>190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190</v>
      </c>
      <c r="D451" s="3"/>
      <c r="E451" s="3" t="s">
        <v>190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115</v>
      </c>
      <c r="O451" s="3"/>
      <c r="P451" s="3"/>
      <c r="Q451" s="3">
        <v>0.67600000000000005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190</v>
      </c>
      <c r="D452" s="3"/>
      <c r="E452" s="3" t="s">
        <v>190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300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191</v>
      </c>
      <c r="D453" s="3"/>
      <c r="E453" s="3" t="s">
        <v>191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191</v>
      </c>
      <c r="D454" s="3"/>
      <c r="E454" s="3" t="s">
        <v>191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116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191</v>
      </c>
      <c r="D455" s="3"/>
      <c r="E455" s="3" t="s">
        <v>191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118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191</v>
      </c>
      <c r="D456" s="3"/>
      <c r="E456" s="3" t="s">
        <v>191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151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191</v>
      </c>
      <c r="D457" s="3"/>
      <c r="E457" s="3" t="s">
        <v>191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191</v>
      </c>
      <c r="D458" s="3"/>
      <c r="E458" s="3" t="s">
        <v>191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0.53800000000000003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191</v>
      </c>
      <c r="D459" s="3"/>
      <c r="E459" s="3" t="s">
        <v>191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191</v>
      </c>
      <c r="D460" s="3"/>
      <c r="E460" s="3" t="s">
        <v>191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191</v>
      </c>
      <c r="D461" s="3"/>
      <c r="E461" s="3" t="s">
        <v>191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117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191</v>
      </c>
      <c r="D462" s="3"/>
      <c r="E462" s="3" t="s">
        <v>191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191</v>
      </c>
      <c r="D463" s="3"/>
      <c r="E463" s="3" t="s">
        <v>191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191</v>
      </c>
      <c r="D464" s="3"/>
      <c r="E464" s="3" t="s">
        <v>191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191</v>
      </c>
      <c r="D465" s="3"/>
      <c r="E465" s="3" t="s">
        <v>191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115</v>
      </c>
      <c r="O465" s="3"/>
      <c r="P465" s="3"/>
      <c r="Q465" s="3">
        <v>0.70599999999999996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191</v>
      </c>
      <c r="D466" s="3"/>
      <c r="E466" s="3" t="s">
        <v>191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301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192</v>
      </c>
      <c r="D467" s="3"/>
      <c r="E467" s="3" t="s">
        <v>192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192</v>
      </c>
      <c r="D468" s="3"/>
      <c r="E468" s="3" t="s">
        <v>192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116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192</v>
      </c>
      <c r="D469" s="3"/>
      <c r="E469" s="3" t="s">
        <v>192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118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192</v>
      </c>
      <c r="D470" s="3"/>
      <c r="E470" s="3" t="s">
        <v>192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152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192</v>
      </c>
      <c r="D471" s="3"/>
      <c r="E471" s="3" t="s">
        <v>192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192</v>
      </c>
      <c r="D472" s="3"/>
      <c r="E472" s="3" t="s">
        <v>192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0.63900000000000001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192</v>
      </c>
      <c r="D473" s="3"/>
      <c r="E473" s="3" t="s">
        <v>192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192</v>
      </c>
      <c r="D474" s="3"/>
      <c r="E474" s="3" t="s">
        <v>192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192</v>
      </c>
      <c r="D475" s="3"/>
      <c r="E475" s="3" t="s">
        <v>192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117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192</v>
      </c>
      <c r="D476" s="3"/>
      <c r="E476" s="3" t="s">
        <v>192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192</v>
      </c>
      <c r="D477" s="3"/>
      <c r="E477" s="3" t="s">
        <v>192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192</v>
      </c>
      <c r="D478" s="3"/>
      <c r="E478" s="3" t="s">
        <v>192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192</v>
      </c>
      <c r="D479" s="3"/>
      <c r="E479" s="3" t="s">
        <v>192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115</v>
      </c>
      <c r="O479" s="3"/>
      <c r="P479" s="3"/>
      <c r="Q479" s="3">
        <v>0.70599999999999996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192</v>
      </c>
      <c r="D480" s="3"/>
      <c r="E480" s="3" t="s">
        <v>192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302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193</v>
      </c>
      <c r="D481" s="3"/>
      <c r="E481" s="3" t="s">
        <v>193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193</v>
      </c>
      <c r="D482" s="3"/>
      <c r="E482" s="3" t="s">
        <v>193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116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193</v>
      </c>
      <c r="D483" s="3"/>
      <c r="E483" s="3" t="s">
        <v>193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118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193</v>
      </c>
      <c r="D484" s="3"/>
      <c r="E484" s="3" t="s">
        <v>193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153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0.74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117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115</v>
      </c>
      <c r="O493" s="3"/>
      <c r="P493" s="3"/>
      <c r="Q493" s="3">
        <v>0.70599999999999996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303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194</v>
      </c>
      <c r="D495" s="3"/>
      <c r="E495" s="3" t="s">
        <v>194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379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194</v>
      </c>
      <c r="D496" s="3"/>
      <c r="E496" s="3" t="s">
        <v>194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116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194</v>
      </c>
      <c r="D497" s="3"/>
      <c r="E497" s="3" t="s">
        <v>194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118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194</v>
      </c>
      <c r="D498" s="3"/>
      <c r="E498" s="3" t="s">
        <v>194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154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0.84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117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115</v>
      </c>
      <c r="O507" s="3"/>
      <c r="P507" s="3"/>
      <c r="Q507" s="3">
        <v>0.70599999999999996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304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195</v>
      </c>
      <c r="D509" s="3"/>
      <c r="E509" s="3" t="s">
        <v>195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195</v>
      </c>
      <c r="D510" s="3"/>
      <c r="E510" s="3" t="s">
        <v>195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116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195</v>
      </c>
      <c r="D511" s="3"/>
      <c r="E511" s="3" t="s">
        <v>195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118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195</v>
      </c>
      <c r="D512" s="3"/>
      <c r="E512" s="3" t="s">
        <v>195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155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195</v>
      </c>
      <c r="D513" s="3"/>
      <c r="E513" s="3" t="s">
        <v>195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195</v>
      </c>
      <c r="D514" s="3"/>
      <c r="E514" s="3" t="s">
        <v>195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0.89100000000000001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195</v>
      </c>
      <c r="D515" s="3"/>
      <c r="E515" s="3" t="s">
        <v>195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195</v>
      </c>
      <c r="D516" s="3"/>
      <c r="E516" s="3" t="s">
        <v>195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195</v>
      </c>
      <c r="D517" s="3"/>
      <c r="E517" s="3" t="s">
        <v>195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117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195</v>
      </c>
      <c r="D518" s="3"/>
      <c r="E518" s="3" t="s">
        <v>195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195</v>
      </c>
      <c r="D519" s="3"/>
      <c r="E519" s="3" t="s">
        <v>195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195</v>
      </c>
      <c r="D520" s="3"/>
      <c r="E520" s="3" t="s">
        <v>195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195</v>
      </c>
      <c r="D521" s="3"/>
      <c r="E521" s="3" t="s">
        <v>195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115</v>
      </c>
      <c r="O521" s="3"/>
      <c r="P521" s="3"/>
      <c r="Q521" s="3">
        <v>0.70599999999999996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195</v>
      </c>
      <c r="D522" s="3"/>
      <c r="E522" s="3" t="s">
        <v>195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305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196</v>
      </c>
      <c r="D523" s="3"/>
      <c r="E523" s="3" t="s">
        <v>196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196</v>
      </c>
      <c r="D524" s="3"/>
      <c r="E524" s="3" t="s">
        <v>196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116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196</v>
      </c>
      <c r="D525" s="3"/>
      <c r="E525" s="3" t="s">
        <v>196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118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196</v>
      </c>
      <c r="D526" s="3"/>
      <c r="E526" s="3" t="s">
        <v>196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156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196</v>
      </c>
      <c r="D527" s="3"/>
      <c r="E527" s="3" t="s">
        <v>196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196</v>
      </c>
      <c r="D528" s="3"/>
      <c r="E528" s="3" t="s">
        <v>196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0.94099999999999995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196</v>
      </c>
      <c r="D529" s="3"/>
      <c r="E529" s="3" t="s">
        <v>196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196</v>
      </c>
      <c r="D530" s="3"/>
      <c r="E530" s="3" t="s">
        <v>196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196</v>
      </c>
      <c r="D531" s="3"/>
      <c r="E531" s="3" t="s">
        <v>196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117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196</v>
      </c>
      <c r="D532" s="3"/>
      <c r="E532" s="3" t="s">
        <v>196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196</v>
      </c>
      <c r="D533" s="3"/>
      <c r="E533" s="3" t="s">
        <v>196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196</v>
      </c>
      <c r="D534" s="3"/>
      <c r="E534" s="3" t="s">
        <v>196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196</v>
      </c>
      <c r="D535" s="3"/>
      <c r="E535" s="3" t="s">
        <v>196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115</v>
      </c>
      <c r="O535" s="3"/>
      <c r="P535" s="3"/>
      <c r="Q535" s="3">
        <v>0.70599999999999996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196</v>
      </c>
      <c r="D536" s="3"/>
      <c r="E536" s="3" t="s">
        <v>196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306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197</v>
      </c>
      <c r="D537" s="3"/>
      <c r="E537" s="3" t="s">
        <v>197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197</v>
      </c>
      <c r="D538" s="3"/>
      <c r="E538" s="3" t="s">
        <v>197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116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197</v>
      </c>
      <c r="D539" s="3"/>
      <c r="E539" s="3" t="s">
        <v>197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118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197</v>
      </c>
      <c r="D540" s="3"/>
      <c r="E540" s="3" t="s">
        <v>197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157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197</v>
      </c>
      <c r="D541" s="3"/>
      <c r="E541" s="3" t="s">
        <v>197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197</v>
      </c>
      <c r="D542" s="3"/>
      <c r="E542" s="3" t="s">
        <v>197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1.042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197</v>
      </c>
      <c r="D543" s="3"/>
      <c r="E543" s="3" t="s">
        <v>197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197</v>
      </c>
      <c r="D544" s="3"/>
      <c r="E544" s="3" t="s">
        <v>197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197</v>
      </c>
      <c r="D545" s="3"/>
      <c r="E545" s="3" t="s">
        <v>197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117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197</v>
      </c>
      <c r="D546" s="3"/>
      <c r="E546" s="3" t="s">
        <v>197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197</v>
      </c>
      <c r="D547" s="3"/>
      <c r="E547" s="3" t="s">
        <v>197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197</v>
      </c>
      <c r="D548" s="3"/>
      <c r="E548" s="3" t="s">
        <v>197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197</v>
      </c>
      <c r="D549" s="3"/>
      <c r="E549" s="3" t="s">
        <v>197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115</v>
      </c>
      <c r="O549" s="3"/>
      <c r="P549" s="3"/>
      <c r="Q549" s="3">
        <v>0.70599999999999996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197</v>
      </c>
      <c r="D550" s="3"/>
      <c r="E550" s="3" t="s">
        <v>197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307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198</v>
      </c>
      <c r="D551" s="3"/>
      <c r="E551" s="3" t="s">
        <v>198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198</v>
      </c>
      <c r="D552" s="3"/>
      <c r="E552" s="3" t="s">
        <v>198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116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198</v>
      </c>
      <c r="D553" s="3"/>
      <c r="E553" s="3" t="s">
        <v>198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118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198</v>
      </c>
      <c r="D554" s="3"/>
      <c r="E554" s="3" t="s">
        <v>198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158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198</v>
      </c>
      <c r="D555" s="3"/>
      <c r="E555" s="3" t="s">
        <v>198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198</v>
      </c>
      <c r="D556" s="3"/>
      <c r="E556" s="3" t="s">
        <v>198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1.143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198</v>
      </c>
      <c r="D557" s="3"/>
      <c r="E557" s="3" t="s">
        <v>198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198</v>
      </c>
      <c r="D558" s="3"/>
      <c r="E558" s="3" t="s">
        <v>198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198</v>
      </c>
      <c r="D559" s="3"/>
      <c r="E559" s="3" t="s">
        <v>198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198</v>
      </c>
      <c r="D560" s="3"/>
      <c r="E560" s="3" t="s">
        <v>198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198</v>
      </c>
      <c r="D561" s="3"/>
      <c r="E561" s="3" t="s">
        <v>198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198</v>
      </c>
      <c r="D562" s="3"/>
      <c r="E562" s="3" t="s">
        <v>198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198</v>
      </c>
      <c r="D563" s="3"/>
      <c r="E563" s="3" t="s">
        <v>198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115</v>
      </c>
      <c r="O563" s="3"/>
      <c r="P563" s="3"/>
      <c r="Q563" s="3">
        <v>0.70599999999999996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308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116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118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0.41699999999999998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117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199</v>
      </c>
      <c r="D577" s="3"/>
      <c r="E577" s="3" t="s">
        <v>199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115</v>
      </c>
      <c r="O577" s="3"/>
      <c r="P577" s="3"/>
      <c r="Q577" s="3">
        <v>0.3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199</v>
      </c>
      <c r="D578" s="3"/>
      <c r="E578" s="3" t="s">
        <v>199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309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116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118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0.503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117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201</v>
      </c>
      <c r="D590" s="3"/>
      <c r="E590" s="3" t="s">
        <v>201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201</v>
      </c>
      <c r="D591" s="3"/>
      <c r="E591" s="3" t="s">
        <v>201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115</v>
      </c>
      <c r="O591" s="3"/>
      <c r="P591" s="3"/>
      <c r="Q591" s="3">
        <v>0.34499999999999997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201</v>
      </c>
      <c r="D592" s="3"/>
      <c r="E592" s="3" t="s">
        <v>201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310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116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118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0.58899999999999997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117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203</v>
      </c>
      <c r="D603" s="3"/>
      <c r="E603" s="3" t="s">
        <v>203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203</v>
      </c>
      <c r="D604" s="3"/>
      <c r="E604" s="3" t="s">
        <v>203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115</v>
      </c>
      <c r="O605" s="3"/>
      <c r="P605" s="3"/>
      <c r="Q605" s="3">
        <v>0.39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311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387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116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118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0.67600000000000005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117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205</v>
      </c>
      <c r="D616" s="3"/>
      <c r="E616" s="3" t="s">
        <v>205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205</v>
      </c>
      <c r="D617" s="3"/>
      <c r="E617" s="3" t="s">
        <v>205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205</v>
      </c>
      <c r="D618" s="3"/>
      <c r="E618" s="3" t="s">
        <v>205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205</v>
      </c>
      <c r="D619" s="3"/>
      <c r="E619" s="3" t="s">
        <v>205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115</v>
      </c>
      <c r="O619" s="3"/>
      <c r="P619" s="3"/>
      <c r="Q619" s="3">
        <v>0.435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205</v>
      </c>
      <c r="D620" s="3"/>
      <c r="E620" s="3" t="s">
        <v>205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312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116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118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208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0.84799999999999998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207</v>
      </c>
      <c r="D629" s="3"/>
      <c r="E629" s="3" t="s">
        <v>207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117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207</v>
      </c>
      <c r="D630" s="3"/>
      <c r="E630" s="3" t="s">
        <v>207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207</v>
      </c>
      <c r="D631" s="3"/>
      <c r="E631" s="3" t="s">
        <v>207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207</v>
      </c>
      <c r="D632" s="3"/>
      <c r="E632" s="3" t="s">
        <v>207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207</v>
      </c>
      <c r="D633" s="3"/>
      <c r="E633" s="3" t="s">
        <v>207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115</v>
      </c>
      <c r="O633" s="3"/>
      <c r="P633" s="3"/>
      <c r="Q633" s="3">
        <v>0.52500000000000002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207</v>
      </c>
      <c r="D634" s="3"/>
      <c r="E634" s="3" t="s">
        <v>207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313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389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116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118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210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0.93500000000000005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209</v>
      </c>
      <c r="D642" s="3"/>
      <c r="E642" s="3" t="s">
        <v>209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209</v>
      </c>
      <c r="D643" s="3"/>
      <c r="E643" s="3" t="s">
        <v>209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117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209</v>
      </c>
      <c r="D644" s="3"/>
      <c r="E644" s="3" t="s">
        <v>209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209</v>
      </c>
      <c r="D645" s="3"/>
      <c r="E645" s="3" t="s">
        <v>209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209</v>
      </c>
      <c r="D646" s="3"/>
      <c r="E646" s="3" t="s">
        <v>209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209</v>
      </c>
      <c r="D647" s="3"/>
      <c r="E647" s="3" t="s">
        <v>209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115</v>
      </c>
      <c r="O647" s="3"/>
      <c r="P647" s="3"/>
      <c r="Q647" s="3">
        <v>0.56999999999999995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209</v>
      </c>
      <c r="D648" s="3"/>
      <c r="E648" s="3" t="s">
        <v>209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314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116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118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212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1.0209999999999999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211</v>
      </c>
      <c r="D655" s="3"/>
      <c r="E655" s="3" t="s">
        <v>211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211</v>
      </c>
      <c r="D656" s="3"/>
      <c r="E656" s="3" t="s">
        <v>211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211</v>
      </c>
      <c r="D657" s="3"/>
      <c r="E657" s="3" t="s">
        <v>211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117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211</v>
      </c>
      <c r="D658" s="3"/>
      <c r="E658" s="3" t="s">
        <v>211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211</v>
      </c>
      <c r="D659" s="3"/>
      <c r="E659" s="3" t="s">
        <v>211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211</v>
      </c>
      <c r="D660" s="3"/>
      <c r="E660" s="3" t="s">
        <v>211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211</v>
      </c>
      <c r="D661" s="3"/>
      <c r="E661" s="3" t="s">
        <v>211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115</v>
      </c>
      <c r="O661" s="3"/>
      <c r="P661" s="3"/>
      <c r="Q661" s="3">
        <v>0.61599999999999999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211</v>
      </c>
      <c r="D662" s="3"/>
      <c r="E662" s="3" t="s">
        <v>211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116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118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214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213</v>
      </c>
      <c r="D668" s="3"/>
      <c r="E668" s="3" t="s">
        <v>213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0.435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213</v>
      </c>
      <c r="D669" s="3"/>
      <c r="E669" s="3" t="s">
        <v>213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213</v>
      </c>
      <c r="D670" s="3"/>
      <c r="E670" s="3" t="s">
        <v>213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213</v>
      </c>
      <c r="D671" s="3"/>
      <c r="E671" s="3" t="s">
        <v>213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117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213</v>
      </c>
      <c r="D672" s="3"/>
      <c r="E672" s="3" t="s">
        <v>213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213</v>
      </c>
      <c r="D673" s="3"/>
      <c r="E673" s="3" t="s">
        <v>213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213</v>
      </c>
      <c r="D674" s="3"/>
      <c r="E674" s="3" t="s">
        <v>213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213</v>
      </c>
      <c r="D675" s="3"/>
      <c r="E675" s="3" t="s">
        <v>213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115</v>
      </c>
      <c r="O675" s="3"/>
      <c r="P675" s="3"/>
      <c r="Q675" s="3">
        <v>0.3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213</v>
      </c>
      <c r="D676" s="3"/>
      <c r="E676" s="3" t="s">
        <v>213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316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116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118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215</v>
      </c>
      <c r="D681" s="3"/>
      <c r="E681" s="3" t="s">
        <v>215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215</v>
      </c>
      <c r="D682" s="3"/>
      <c r="E682" s="3" t="s">
        <v>215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0.52400000000000002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215</v>
      </c>
      <c r="D683" s="3"/>
      <c r="E683" s="3" t="s">
        <v>215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215</v>
      </c>
      <c r="D684" s="3"/>
      <c r="E684" s="3" t="s">
        <v>215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215</v>
      </c>
      <c r="D685" s="3"/>
      <c r="E685" s="3" t="s">
        <v>215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117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215</v>
      </c>
      <c r="D686" s="3"/>
      <c r="E686" s="3" t="s">
        <v>215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215</v>
      </c>
      <c r="D687" s="3"/>
      <c r="E687" s="3" t="s">
        <v>215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215</v>
      </c>
      <c r="D688" s="3"/>
      <c r="E688" s="3" t="s">
        <v>215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215</v>
      </c>
      <c r="D689" s="3"/>
      <c r="E689" s="3" t="s">
        <v>215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115</v>
      </c>
      <c r="O689" s="3"/>
      <c r="P689" s="3"/>
      <c r="Q689" s="3">
        <v>0.34499999999999997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215</v>
      </c>
      <c r="D690" s="3"/>
      <c r="E690" s="3" t="s">
        <v>215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317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116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118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217</v>
      </c>
      <c r="D694" s="3"/>
      <c r="E694" s="3" t="s">
        <v>217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217</v>
      </c>
      <c r="D695" s="3"/>
      <c r="E695" s="3" t="s">
        <v>217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217</v>
      </c>
      <c r="D696" s="3"/>
      <c r="E696" s="3" t="s">
        <v>217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0.61399999999999999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217</v>
      </c>
      <c r="D697" s="3"/>
      <c r="E697" s="3" t="s">
        <v>217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217</v>
      </c>
      <c r="D698" s="3"/>
      <c r="E698" s="3" t="s">
        <v>217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217</v>
      </c>
      <c r="D699" s="3"/>
      <c r="E699" s="3" t="s">
        <v>217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117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217</v>
      </c>
      <c r="D700" s="3"/>
      <c r="E700" s="3" t="s">
        <v>217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217</v>
      </c>
      <c r="D701" s="3"/>
      <c r="E701" s="3" t="s">
        <v>217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217</v>
      </c>
      <c r="D702" s="3"/>
      <c r="E702" s="3" t="s">
        <v>217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217</v>
      </c>
      <c r="D703" s="3"/>
      <c r="E703" s="3" t="s">
        <v>217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115</v>
      </c>
      <c r="O703" s="3"/>
      <c r="P703" s="3"/>
      <c r="Q703" s="3">
        <v>0.39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217</v>
      </c>
      <c r="D704" s="3"/>
      <c r="E704" s="3" t="s">
        <v>217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318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116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219</v>
      </c>
      <c r="D707" s="3"/>
      <c r="E707" s="3" t="s">
        <v>219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118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219</v>
      </c>
      <c r="D708" s="3"/>
      <c r="E708" s="3" t="s">
        <v>219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220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219</v>
      </c>
      <c r="D709" s="3"/>
      <c r="E709" s="3" t="s">
        <v>219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219</v>
      </c>
      <c r="D710" s="3"/>
      <c r="E710" s="3" t="s">
        <v>219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0.70399999999999996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219</v>
      </c>
      <c r="D711" s="3"/>
      <c r="E711" s="3" t="s">
        <v>219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219</v>
      </c>
      <c r="D712" s="3"/>
      <c r="E712" s="3" t="s">
        <v>219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219</v>
      </c>
      <c r="D713" s="3"/>
      <c r="E713" s="3" t="s">
        <v>219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117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219</v>
      </c>
      <c r="D714" s="3"/>
      <c r="E714" s="3" t="s">
        <v>219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219</v>
      </c>
      <c r="D715" s="3"/>
      <c r="E715" s="3" t="s">
        <v>219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219</v>
      </c>
      <c r="D716" s="3"/>
      <c r="E716" s="3" t="s">
        <v>219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219</v>
      </c>
      <c r="D717" s="3"/>
      <c r="E717" s="3" t="s">
        <v>219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115</v>
      </c>
      <c r="O717" s="3"/>
      <c r="P717" s="3"/>
      <c r="Q717" s="3">
        <v>0.435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219</v>
      </c>
      <c r="D718" s="3"/>
      <c r="E718" s="3" t="s">
        <v>219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319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221</v>
      </c>
      <c r="D720" s="3"/>
      <c r="E720" s="3" t="s">
        <v>221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116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221</v>
      </c>
      <c r="D721" s="3"/>
      <c r="E721" s="3" t="s">
        <v>221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118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221</v>
      </c>
      <c r="D722" s="3"/>
      <c r="E722" s="3" t="s">
        <v>221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221</v>
      </c>
      <c r="D723" s="3"/>
      <c r="E723" s="3" t="s">
        <v>221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221</v>
      </c>
      <c r="D724" s="3"/>
      <c r="E724" s="3" t="s">
        <v>221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0.88400000000000001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221</v>
      </c>
      <c r="D725" s="3"/>
      <c r="E725" s="3" t="s">
        <v>221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221</v>
      </c>
      <c r="D726" s="3"/>
      <c r="E726" s="3" t="s">
        <v>221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221</v>
      </c>
      <c r="D727" s="3"/>
      <c r="E727" s="3" t="s">
        <v>221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117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221</v>
      </c>
      <c r="D728" s="3"/>
      <c r="E728" s="3" t="s">
        <v>221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221</v>
      </c>
      <c r="D729" s="3"/>
      <c r="E729" s="3" t="s">
        <v>221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221</v>
      </c>
      <c r="D730" s="3"/>
      <c r="E730" s="3" t="s">
        <v>221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221</v>
      </c>
      <c r="D731" s="3"/>
      <c r="E731" s="3" t="s">
        <v>221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115</v>
      </c>
      <c r="O731" s="3"/>
      <c r="P731" s="3"/>
      <c r="Q731" s="3">
        <v>0.52500000000000002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221</v>
      </c>
      <c r="D732" s="3"/>
      <c r="E732" s="3" t="s">
        <v>221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320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223</v>
      </c>
      <c r="D733" s="3"/>
      <c r="E733" s="3" t="s">
        <v>223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223</v>
      </c>
      <c r="D734" s="3"/>
      <c r="E734" s="3" t="s">
        <v>223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116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223</v>
      </c>
      <c r="D735" s="3"/>
      <c r="E735" s="3" t="s">
        <v>223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118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223</v>
      </c>
      <c r="D736" s="3"/>
      <c r="E736" s="3" t="s">
        <v>223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223</v>
      </c>
      <c r="D737" s="3"/>
      <c r="E737" s="3" t="s">
        <v>223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223</v>
      </c>
      <c r="D738" s="3"/>
      <c r="E738" s="3" t="s">
        <v>223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0.97399999999999998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223</v>
      </c>
      <c r="D739" s="3"/>
      <c r="E739" s="3" t="s">
        <v>223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223</v>
      </c>
      <c r="D740" s="3"/>
      <c r="E740" s="3" t="s">
        <v>223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223</v>
      </c>
      <c r="D741" s="3"/>
      <c r="E741" s="3" t="s">
        <v>223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117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223</v>
      </c>
      <c r="D742" s="3"/>
      <c r="E742" s="3" t="s">
        <v>223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223</v>
      </c>
      <c r="D743" s="3"/>
      <c r="E743" s="3" t="s">
        <v>223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223</v>
      </c>
      <c r="D744" s="3"/>
      <c r="E744" s="3" t="s">
        <v>223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223</v>
      </c>
      <c r="D745" s="3"/>
      <c r="E745" s="3" t="s">
        <v>223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115</v>
      </c>
      <c r="O745" s="3"/>
      <c r="P745" s="3"/>
      <c r="Q745" s="3">
        <v>0.56999999999999995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223</v>
      </c>
      <c r="D746" s="3"/>
      <c r="E746" s="3" t="s">
        <v>223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225</v>
      </c>
      <c r="D747" s="3"/>
      <c r="E747" s="3" t="s">
        <v>225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225</v>
      </c>
      <c r="D748" s="3"/>
      <c r="E748" s="3" t="s">
        <v>225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116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225</v>
      </c>
      <c r="D749" s="3"/>
      <c r="E749" s="3" t="s">
        <v>225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118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225</v>
      </c>
      <c r="D750" s="3"/>
      <c r="E750" s="3" t="s">
        <v>225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225</v>
      </c>
      <c r="D751" s="3"/>
      <c r="E751" s="3" t="s">
        <v>225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225</v>
      </c>
      <c r="D752" s="3"/>
      <c r="E752" s="3" t="s">
        <v>225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1.0640000000000001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225</v>
      </c>
      <c r="D753" s="3"/>
      <c r="E753" s="3" t="s">
        <v>225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225</v>
      </c>
      <c r="D754" s="3"/>
      <c r="E754" s="3" t="s">
        <v>225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225</v>
      </c>
      <c r="D755" s="3"/>
      <c r="E755" s="3" t="s">
        <v>225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117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225</v>
      </c>
      <c r="D756" s="3"/>
      <c r="E756" s="3" t="s">
        <v>225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225</v>
      </c>
      <c r="D757" s="3"/>
      <c r="E757" s="3" t="s">
        <v>225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225</v>
      </c>
      <c r="D758" s="3"/>
      <c r="E758" s="3" t="s">
        <v>225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225</v>
      </c>
      <c r="D759" s="3"/>
      <c r="E759" s="3" t="s">
        <v>225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115</v>
      </c>
      <c r="O759" s="3"/>
      <c r="P759" s="3"/>
      <c r="Q759" s="3">
        <v>0.61599999999999999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225</v>
      </c>
      <c r="D760" s="3"/>
      <c r="E760" s="3" t="s">
        <v>225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227</v>
      </c>
      <c r="D761" s="3"/>
      <c r="E761" s="3" t="s">
        <v>227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227</v>
      </c>
      <c r="D762" s="3"/>
      <c r="E762" s="3" t="s">
        <v>227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116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227</v>
      </c>
      <c r="D763" s="3"/>
      <c r="E763" s="3" t="s">
        <v>227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118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227</v>
      </c>
      <c r="D764" s="3"/>
      <c r="E764" s="3" t="s">
        <v>227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228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227</v>
      </c>
      <c r="D765" s="3"/>
      <c r="E765" s="3" t="s">
        <v>227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227</v>
      </c>
      <c r="D766" s="3"/>
      <c r="E766" s="3" t="s">
        <v>227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0.45200000000000001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227</v>
      </c>
      <c r="D767" s="3"/>
      <c r="E767" s="3" t="s">
        <v>227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227</v>
      </c>
      <c r="D768" s="3"/>
      <c r="E768" s="3" t="s">
        <v>227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227</v>
      </c>
      <c r="D769" s="3"/>
      <c r="E769" s="3" t="s">
        <v>227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117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227</v>
      </c>
      <c r="D770" s="3"/>
      <c r="E770" s="3" t="s">
        <v>227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227</v>
      </c>
      <c r="D771" s="3"/>
      <c r="E771" s="3" t="s">
        <v>227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227</v>
      </c>
      <c r="D772" s="3"/>
      <c r="E772" s="3" t="s">
        <v>227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227</v>
      </c>
      <c r="D773" s="3"/>
      <c r="E773" s="3" t="s">
        <v>227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115</v>
      </c>
      <c r="O773" s="3"/>
      <c r="P773" s="3"/>
      <c r="Q773" s="3">
        <v>0.3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227</v>
      </c>
      <c r="D774" s="3"/>
      <c r="E774" s="3" t="s">
        <v>227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323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229</v>
      </c>
      <c r="D775" s="3"/>
      <c r="E775" s="3" t="s">
        <v>229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229</v>
      </c>
      <c r="D776" s="3"/>
      <c r="E776" s="3" t="s">
        <v>229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116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229</v>
      </c>
      <c r="D777" s="3"/>
      <c r="E777" s="3" t="s">
        <v>229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118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229</v>
      </c>
      <c r="D778" s="3"/>
      <c r="E778" s="3" t="s">
        <v>229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230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229</v>
      </c>
      <c r="D779" s="3"/>
      <c r="E779" s="3" t="s">
        <v>229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229</v>
      </c>
      <c r="D780" s="3"/>
      <c r="E780" s="3" t="s">
        <v>229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0.54600000000000004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229</v>
      </c>
      <c r="D781" s="3"/>
      <c r="E781" s="3" t="s">
        <v>229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229</v>
      </c>
      <c r="D782" s="3"/>
      <c r="E782" s="3" t="s">
        <v>229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229</v>
      </c>
      <c r="D783" s="3"/>
      <c r="E783" s="3" t="s">
        <v>229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229</v>
      </c>
      <c r="D784" s="3"/>
      <c r="E784" s="3" t="s">
        <v>229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229</v>
      </c>
      <c r="D785" s="3"/>
      <c r="E785" s="3" t="s">
        <v>229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229</v>
      </c>
      <c r="D786" s="3"/>
      <c r="E786" s="3" t="s">
        <v>229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229</v>
      </c>
      <c r="D787" s="3"/>
      <c r="E787" s="3" t="s">
        <v>229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115</v>
      </c>
      <c r="O787" s="3"/>
      <c r="P787" s="3"/>
      <c r="Q787" s="3">
        <v>0.34499999999999997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229</v>
      </c>
      <c r="D788" s="3"/>
      <c r="E788" s="3" t="s">
        <v>229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231</v>
      </c>
      <c r="D789" s="3"/>
      <c r="E789" s="3" t="s">
        <v>231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231</v>
      </c>
      <c r="D790" s="3"/>
      <c r="E790" s="3" t="s">
        <v>231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116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231</v>
      </c>
      <c r="D791" s="3"/>
      <c r="E791" s="3" t="s">
        <v>231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118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231</v>
      </c>
      <c r="D792" s="3"/>
      <c r="E792" s="3" t="s">
        <v>231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232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231</v>
      </c>
      <c r="D793" s="3"/>
      <c r="E793" s="3" t="s">
        <v>231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231</v>
      </c>
      <c r="D794" s="3"/>
      <c r="E794" s="3" t="s">
        <v>231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0.63900000000000001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231</v>
      </c>
      <c r="D795" s="3"/>
      <c r="E795" s="3" t="s">
        <v>231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231</v>
      </c>
      <c r="D796" s="3"/>
      <c r="E796" s="3" t="s">
        <v>231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231</v>
      </c>
      <c r="D797" s="3"/>
      <c r="E797" s="3" t="s">
        <v>231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117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231</v>
      </c>
      <c r="D798" s="3"/>
      <c r="E798" s="3" t="s">
        <v>231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231</v>
      </c>
      <c r="D799" s="3"/>
      <c r="E799" s="3" t="s">
        <v>231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231</v>
      </c>
      <c r="D800" s="3"/>
      <c r="E800" s="3" t="s">
        <v>231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231</v>
      </c>
      <c r="D801" s="3"/>
      <c r="E801" s="3" t="s">
        <v>231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115</v>
      </c>
      <c r="O801" s="3"/>
      <c r="P801" s="3"/>
      <c r="Q801" s="3">
        <v>0.39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231</v>
      </c>
      <c r="D802" s="3"/>
      <c r="E802" s="3" t="s">
        <v>231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325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233</v>
      </c>
      <c r="D803" s="3"/>
      <c r="E803" s="3" t="s">
        <v>233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233</v>
      </c>
      <c r="D804" s="3"/>
      <c r="E804" s="3" t="s">
        <v>233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116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233</v>
      </c>
      <c r="D805" s="3"/>
      <c r="E805" s="3" t="s">
        <v>233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118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233</v>
      </c>
      <c r="D806" s="3"/>
      <c r="E806" s="3" t="s">
        <v>233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234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233</v>
      </c>
      <c r="D807" s="3"/>
      <c r="E807" s="3" t="s">
        <v>233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233</v>
      </c>
      <c r="D808" s="3"/>
      <c r="E808" s="3" t="s">
        <v>233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0.73299999999999998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233</v>
      </c>
      <c r="D809" s="3"/>
      <c r="E809" s="3" t="s">
        <v>233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233</v>
      </c>
      <c r="D810" s="3"/>
      <c r="E810" s="3" t="s">
        <v>233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233</v>
      </c>
      <c r="D811" s="3"/>
      <c r="E811" s="3" t="s">
        <v>233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117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233</v>
      </c>
      <c r="D812" s="3"/>
      <c r="E812" s="3" t="s">
        <v>233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233</v>
      </c>
      <c r="D813" s="3"/>
      <c r="E813" s="3" t="s">
        <v>233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233</v>
      </c>
      <c r="D814" s="3"/>
      <c r="E814" s="3" t="s">
        <v>233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233</v>
      </c>
      <c r="D815" s="3"/>
      <c r="E815" s="3" t="s">
        <v>233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115</v>
      </c>
      <c r="O815" s="3"/>
      <c r="P815" s="3"/>
      <c r="Q815" s="3">
        <v>0.435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233</v>
      </c>
      <c r="D816" s="3"/>
      <c r="E816" s="3" t="s">
        <v>233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326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235</v>
      </c>
      <c r="D817" s="3"/>
      <c r="E817" s="3" t="s">
        <v>235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235</v>
      </c>
      <c r="D818" s="3"/>
      <c r="E818" s="3" t="s">
        <v>235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116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235</v>
      </c>
      <c r="D819" s="3"/>
      <c r="E819" s="3" t="s">
        <v>235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118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235</v>
      </c>
      <c r="D820" s="3"/>
      <c r="E820" s="3" t="s">
        <v>235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235</v>
      </c>
      <c r="D821" s="3"/>
      <c r="E821" s="3" t="s">
        <v>235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235</v>
      </c>
      <c r="D822" s="3"/>
      <c r="E822" s="3" t="s">
        <v>235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0.92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235</v>
      </c>
      <c r="D823" s="3"/>
      <c r="E823" s="3" t="s">
        <v>235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235</v>
      </c>
      <c r="D824" s="3"/>
      <c r="E824" s="3" t="s">
        <v>235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235</v>
      </c>
      <c r="D825" s="3"/>
      <c r="E825" s="3" t="s">
        <v>235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117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235</v>
      </c>
      <c r="D826" s="3"/>
      <c r="E826" s="3" t="s">
        <v>235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235</v>
      </c>
      <c r="D827" s="3"/>
      <c r="E827" s="3" t="s">
        <v>235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235</v>
      </c>
      <c r="D828" s="3"/>
      <c r="E828" s="3" t="s">
        <v>235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235</v>
      </c>
      <c r="D829" s="3"/>
      <c r="E829" s="3" t="s">
        <v>235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115</v>
      </c>
      <c r="O829" s="3"/>
      <c r="P829" s="3"/>
      <c r="Q829" s="3">
        <v>0.52500000000000002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235</v>
      </c>
      <c r="D830" s="3"/>
      <c r="E830" s="3" t="s">
        <v>235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327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237</v>
      </c>
      <c r="D831" s="3"/>
      <c r="E831" s="3" t="s">
        <v>237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237</v>
      </c>
      <c r="D832" s="3"/>
      <c r="E832" s="3" t="s">
        <v>237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116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237</v>
      </c>
      <c r="D833" s="3"/>
      <c r="E833" s="3" t="s">
        <v>237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118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237</v>
      </c>
      <c r="D834" s="3"/>
      <c r="E834" s="3" t="s">
        <v>237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238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237</v>
      </c>
      <c r="D835" s="3"/>
      <c r="E835" s="3" t="s">
        <v>237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237</v>
      </c>
      <c r="D836" s="3"/>
      <c r="E836" s="3" t="s">
        <v>237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1.014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237</v>
      </c>
      <c r="D837" s="3"/>
      <c r="E837" s="3" t="s">
        <v>237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237</v>
      </c>
      <c r="D838" s="3"/>
      <c r="E838" s="3" t="s">
        <v>237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237</v>
      </c>
      <c r="D839" s="3"/>
      <c r="E839" s="3" t="s">
        <v>237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117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237</v>
      </c>
      <c r="D840" s="3"/>
      <c r="E840" s="3" t="s">
        <v>237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237</v>
      </c>
      <c r="D841" s="3"/>
      <c r="E841" s="3" t="s">
        <v>237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237</v>
      </c>
      <c r="D842" s="3"/>
      <c r="E842" s="3" t="s">
        <v>237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237</v>
      </c>
      <c r="D843" s="3"/>
      <c r="E843" s="3" t="s">
        <v>237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115</v>
      </c>
      <c r="O843" s="3"/>
      <c r="P843" s="3"/>
      <c r="Q843" s="3">
        <v>0.56999999999999995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237</v>
      </c>
      <c r="D844" s="3"/>
      <c r="E844" s="3" t="s">
        <v>237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328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239</v>
      </c>
      <c r="D845" s="3"/>
      <c r="E845" s="3" t="s">
        <v>239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239</v>
      </c>
      <c r="D846" s="3"/>
      <c r="E846" s="3" t="s">
        <v>239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116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239</v>
      </c>
      <c r="D847" s="3"/>
      <c r="E847" s="3" t="s">
        <v>239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118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239</v>
      </c>
      <c r="D848" s="3"/>
      <c r="E848" s="3" t="s">
        <v>239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240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239</v>
      </c>
      <c r="D849" s="3"/>
      <c r="E849" s="3" t="s">
        <v>239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239</v>
      </c>
      <c r="D850" s="3"/>
      <c r="E850" s="3" t="s">
        <v>239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1.107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239</v>
      </c>
      <c r="D851" s="3"/>
      <c r="E851" s="3" t="s">
        <v>239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239</v>
      </c>
      <c r="D852" s="3"/>
      <c r="E852" s="3" t="s">
        <v>239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239</v>
      </c>
      <c r="D853" s="3"/>
      <c r="E853" s="3" t="s">
        <v>239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117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239</v>
      </c>
      <c r="D854" s="3"/>
      <c r="E854" s="3" t="s">
        <v>239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239</v>
      </c>
      <c r="D855" s="3"/>
      <c r="E855" s="3" t="s">
        <v>239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239</v>
      </c>
      <c r="D856" s="3"/>
      <c r="E856" s="3" t="s">
        <v>239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239</v>
      </c>
      <c r="D857" s="3"/>
      <c r="E857" s="3" t="s">
        <v>239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115</v>
      </c>
      <c r="O857" s="3"/>
      <c r="P857" s="3"/>
      <c r="Q857" s="3">
        <v>0.61599999999999999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239</v>
      </c>
      <c r="D858" s="3"/>
      <c r="E858" s="3" t="s">
        <v>239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241</v>
      </c>
      <c r="D859" s="3"/>
      <c r="E859" s="3" t="s">
        <v>241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241</v>
      </c>
      <c r="D860" s="3"/>
      <c r="E860" s="3" t="s">
        <v>241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116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241</v>
      </c>
      <c r="D861" s="3"/>
      <c r="E861" s="3" t="s">
        <v>241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118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241</v>
      </c>
      <c r="D862" s="3"/>
      <c r="E862" s="3" t="s">
        <v>241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242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241</v>
      </c>
      <c r="D863" s="3"/>
      <c r="E863" s="3" t="s">
        <v>241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241</v>
      </c>
      <c r="D864" s="3"/>
      <c r="E864" s="3" t="s">
        <v>241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0.46400000000000002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241</v>
      </c>
      <c r="D865" s="3"/>
      <c r="E865" s="3" t="s">
        <v>241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241</v>
      </c>
      <c r="D866" s="3"/>
      <c r="E866" s="3" t="s">
        <v>241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241</v>
      </c>
      <c r="D867" s="3"/>
      <c r="E867" s="3" t="s">
        <v>241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117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241</v>
      </c>
      <c r="D868" s="3"/>
      <c r="E868" s="3" t="s">
        <v>241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241</v>
      </c>
      <c r="D869" s="3"/>
      <c r="E869" s="3" t="s">
        <v>241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241</v>
      </c>
      <c r="D870" s="3"/>
      <c r="E870" s="3" t="s">
        <v>241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241</v>
      </c>
      <c r="D871" s="3"/>
      <c r="E871" s="3" t="s">
        <v>241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115</v>
      </c>
      <c r="O871" s="3"/>
      <c r="P871" s="3"/>
      <c r="Q871" s="3">
        <v>0.67600000000000005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241</v>
      </c>
      <c r="D872" s="3"/>
      <c r="E872" s="3" t="s">
        <v>241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330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243</v>
      </c>
      <c r="D873" s="3"/>
      <c r="E873" s="3" t="s">
        <v>243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243</v>
      </c>
      <c r="D874" s="3"/>
      <c r="E874" s="3" t="s">
        <v>243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116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243</v>
      </c>
      <c r="D875" s="3"/>
      <c r="E875" s="3" t="s">
        <v>243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118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243</v>
      </c>
      <c r="D876" s="3"/>
      <c r="E876" s="3" t="s">
        <v>243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244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243</v>
      </c>
      <c r="D877" s="3"/>
      <c r="E877" s="3" t="s">
        <v>243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243</v>
      </c>
      <c r="D878" s="3"/>
      <c r="E878" s="3" t="s">
        <v>243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0.56000000000000005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243</v>
      </c>
      <c r="D879" s="3"/>
      <c r="E879" s="3" t="s">
        <v>243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243</v>
      </c>
      <c r="D880" s="3"/>
      <c r="E880" s="3" t="s">
        <v>243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243</v>
      </c>
      <c r="D881" s="3"/>
      <c r="E881" s="3" t="s">
        <v>243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117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243</v>
      </c>
      <c r="D882" s="3"/>
      <c r="E882" s="3" t="s">
        <v>243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243</v>
      </c>
      <c r="D883" s="3"/>
      <c r="E883" s="3" t="s">
        <v>243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243</v>
      </c>
      <c r="D884" s="3"/>
      <c r="E884" s="3" t="s">
        <v>243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243</v>
      </c>
      <c r="D885" s="3"/>
      <c r="E885" s="3" t="s">
        <v>243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115</v>
      </c>
      <c r="O885" s="3"/>
      <c r="P885" s="3"/>
      <c r="Q885" s="3">
        <v>0.67600000000000005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243</v>
      </c>
      <c r="D886" s="3"/>
      <c r="E886" s="3" t="s">
        <v>243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331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245</v>
      </c>
      <c r="D887" s="3"/>
      <c r="E887" s="3" t="s">
        <v>245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245</v>
      </c>
      <c r="D888" s="3"/>
      <c r="E888" s="3" t="s">
        <v>245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116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245</v>
      </c>
      <c r="D889" s="3"/>
      <c r="E889" s="3" t="s">
        <v>245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118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245</v>
      </c>
      <c r="D890" s="3"/>
      <c r="E890" s="3" t="s">
        <v>245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246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245</v>
      </c>
      <c r="D891" s="3"/>
      <c r="E891" s="3" t="s">
        <v>245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245</v>
      </c>
      <c r="D892" s="3"/>
      <c r="E892" s="3" t="s">
        <v>245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0.65600000000000003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245</v>
      </c>
      <c r="D893" s="3"/>
      <c r="E893" s="3" t="s">
        <v>245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245</v>
      </c>
      <c r="D894" s="3"/>
      <c r="E894" s="3" t="s">
        <v>245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245</v>
      </c>
      <c r="D895" s="3"/>
      <c r="E895" s="3" t="s">
        <v>245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117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245</v>
      </c>
      <c r="D896" s="3"/>
      <c r="E896" s="3" t="s">
        <v>245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245</v>
      </c>
      <c r="D897" s="3"/>
      <c r="E897" s="3" t="s">
        <v>245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245</v>
      </c>
      <c r="D898" s="3"/>
      <c r="E898" s="3" t="s">
        <v>245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245</v>
      </c>
      <c r="D899" s="3"/>
      <c r="E899" s="3" t="s">
        <v>245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115</v>
      </c>
      <c r="O899" s="3"/>
      <c r="P899" s="3"/>
      <c r="Q899" s="3">
        <v>0.67600000000000005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245</v>
      </c>
      <c r="D900" s="3"/>
      <c r="E900" s="3" t="s">
        <v>245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332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247</v>
      </c>
      <c r="D901" s="3"/>
      <c r="E901" s="3" t="s">
        <v>247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247</v>
      </c>
      <c r="D902" s="3"/>
      <c r="E902" s="3" t="s">
        <v>247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116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247</v>
      </c>
      <c r="D903" s="3"/>
      <c r="E903" s="3" t="s">
        <v>247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118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247</v>
      </c>
      <c r="D904" s="3"/>
      <c r="E904" s="3" t="s">
        <v>247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248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247</v>
      </c>
      <c r="D905" s="3"/>
      <c r="E905" s="3" t="s">
        <v>247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247</v>
      </c>
      <c r="D906" s="3"/>
      <c r="E906" s="3" t="s">
        <v>247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0.752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247</v>
      </c>
      <c r="D907" s="3"/>
      <c r="E907" s="3" t="s">
        <v>247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247</v>
      </c>
      <c r="D908" s="3"/>
      <c r="E908" s="3" t="s">
        <v>247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247</v>
      </c>
      <c r="D909" s="3"/>
      <c r="E909" s="3" t="s">
        <v>247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117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247</v>
      </c>
      <c r="D910" s="3"/>
      <c r="E910" s="3" t="s">
        <v>247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247</v>
      </c>
      <c r="D911" s="3"/>
      <c r="E911" s="3" t="s">
        <v>247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247</v>
      </c>
      <c r="D912" s="3"/>
      <c r="E912" s="3" t="s">
        <v>247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247</v>
      </c>
      <c r="D913" s="3"/>
      <c r="E913" s="3" t="s">
        <v>247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115</v>
      </c>
      <c r="O913" s="3"/>
      <c r="P913" s="3"/>
      <c r="Q913" s="3">
        <v>0.67600000000000005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247</v>
      </c>
      <c r="D914" s="3"/>
      <c r="E914" s="3" t="s">
        <v>247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333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249</v>
      </c>
      <c r="D915" s="3"/>
      <c r="E915" s="3" t="s">
        <v>249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249</v>
      </c>
      <c r="D916" s="3"/>
      <c r="E916" s="3" t="s">
        <v>249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116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249</v>
      </c>
      <c r="D917" s="3"/>
      <c r="E917" s="3" t="s">
        <v>249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118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249</v>
      </c>
      <c r="D918" s="3"/>
      <c r="E918" s="3" t="s">
        <v>249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250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249</v>
      </c>
      <c r="D919" s="3"/>
      <c r="E919" s="3" t="s">
        <v>249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249</v>
      </c>
      <c r="D920" s="3"/>
      <c r="E920" s="3" t="s">
        <v>249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0.94399999999999995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249</v>
      </c>
      <c r="D921" s="3"/>
      <c r="E921" s="3" t="s">
        <v>249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249</v>
      </c>
      <c r="D922" s="3"/>
      <c r="E922" s="3" t="s">
        <v>249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249</v>
      </c>
      <c r="D923" s="3"/>
      <c r="E923" s="3" t="s">
        <v>249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117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249</v>
      </c>
      <c r="D924" s="3"/>
      <c r="E924" s="3" t="s">
        <v>249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249</v>
      </c>
      <c r="D925" s="3"/>
      <c r="E925" s="3" t="s">
        <v>249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249</v>
      </c>
      <c r="D926" s="3"/>
      <c r="E926" s="3" t="s">
        <v>249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249</v>
      </c>
      <c r="D927" s="3"/>
      <c r="E927" s="3" t="s">
        <v>249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115</v>
      </c>
      <c r="O927" s="3"/>
      <c r="P927" s="3"/>
      <c r="Q927" s="3">
        <v>0.67600000000000005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249</v>
      </c>
      <c r="D928" s="3"/>
      <c r="E928" s="3" t="s">
        <v>249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251</v>
      </c>
      <c r="D929" s="3"/>
      <c r="E929" s="3" t="s">
        <v>251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251</v>
      </c>
      <c r="D930" s="3"/>
      <c r="E930" s="3" t="s">
        <v>251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116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251</v>
      </c>
      <c r="D931" s="3"/>
      <c r="E931" s="3" t="s">
        <v>251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118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251</v>
      </c>
      <c r="D932" s="3"/>
      <c r="E932" s="3" t="s">
        <v>251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252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251</v>
      </c>
      <c r="D933" s="3"/>
      <c r="E933" s="3" t="s">
        <v>251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251</v>
      </c>
      <c r="D934" s="3"/>
      <c r="E934" s="3" t="s">
        <v>251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1.04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251</v>
      </c>
      <c r="D935" s="3"/>
      <c r="E935" s="3" t="s">
        <v>251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251</v>
      </c>
      <c r="D936" s="3"/>
      <c r="E936" s="3" t="s">
        <v>251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251</v>
      </c>
      <c r="D937" s="3"/>
      <c r="E937" s="3" t="s">
        <v>251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117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251</v>
      </c>
      <c r="D938" s="3"/>
      <c r="E938" s="3" t="s">
        <v>251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251</v>
      </c>
      <c r="D939" s="3"/>
      <c r="E939" s="3" t="s">
        <v>251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251</v>
      </c>
      <c r="D940" s="3"/>
      <c r="E940" s="3" t="s">
        <v>251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251</v>
      </c>
      <c r="D941" s="3"/>
      <c r="E941" s="3" t="s">
        <v>251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115</v>
      </c>
      <c r="O941" s="3"/>
      <c r="P941" s="3"/>
      <c r="Q941" s="3">
        <v>0.67600000000000005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251</v>
      </c>
      <c r="D942" s="3"/>
      <c r="E942" s="3" t="s">
        <v>251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335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253</v>
      </c>
      <c r="D943" s="3"/>
      <c r="E943" s="3" t="s">
        <v>253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253</v>
      </c>
      <c r="D944" s="3"/>
      <c r="E944" s="3" t="s">
        <v>253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116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253</v>
      </c>
      <c r="D945" s="3"/>
      <c r="E945" s="3" t="s">
        <v>253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118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253</v>
      </c>
      <c r="D946" s="3"/>
      <c r="E946" s="3" t="s">
        <v>253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254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253</v>
      </c>
      <c r="D947" s="3"/>
      <c r="E947" s="3" t="s">
        <v>253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253</v>
      </c>
      <c r="D948" s="3"/>
      <c r="E948" s="3" t="s">
        <v>253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1.1359999999999999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253</v>
      </c>
      <c r="D949" s="3"/>
      <c r="E949" s="3" t="s">
        <v>253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253</v>
      </c>
      <c r="D950" s="3"/>
      <c r="E950" s="3" t="s">
        <v>253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253</v>
      </c>
      <c r="D951" s="3"/>
      <c r="E951" s="3" t="s">
        <v>253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117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253</v>
      </c>
      <c r="D952" s="3"/>
      <c r="E952" s="3" t="s">
        <v>253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253</v>
      </c>
      <c r="D953" s="3"/>
      <c r="E953" s="3" t="s">
        <v>253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253</v>
      </c>
      <c r="D954" s="3"/>
      <c r="E954" s="3" t="s">
        <v>253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253</v>
      </c>
      <c r="D955" s="3"/>
      <c r="E955" s="3" t="s">
        <v>253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115</v>
      </c>
      <c r="O955" s="3"/>
      <c r="P955" s="3"/>
      <c r="Q955" s="3">
        <v>0.67600000000000005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253</v>
      </c>
      <c r="D956" s="3"/>
      <c r="E956" s="3" t="s">
        <v>253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336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255</v>
      </c>
      <c r="D957" s="3"/>
      <c r="E957" s="3" t="s">
        <v>255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255</v>
      </c>
      <c r="D958" s="3"/>
      <c r="E958" s="3" t="s">
        <v>255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116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255</v>
      </c>
      <c r="D959" s="3"/>
      <c r="E959" s="3" t="s">
        <v>255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118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255</v>
      </c>
      <c r="D960" s="3"/>
      <c r="E960" s="3" t="s">
        <v>255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256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255</v>
      </c>
      <c r="D961" s="3"/>
      <c r="E961" s="3" t="s">
        <v>255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255</v>
      </c>
      <c r="D962" s="3"/>
      <c r="E962" s="3" t="s">
        <v>255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0.48699999999999999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255</v>
      </c>
      <c r="D963" s="3"/>
      <c r="E963" s="3" t="s">
        <v>255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255</v>
      </c>
      <c r="D964" s="3"/>
      <c r="E964" s="3" t="s">
        <v>255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255</v>
      </c>
      <c r="D965" s="3"/>
      <c r="E965" s="3" t="s">
        <v>255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117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255</v>
      </c>
      <c r="D966" s="3"/>
      <c r="E966" s="3" t="s">
        <v>255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255</v>
      </c>
      <c r="D967" s="3"/>
      <c r="E967" s="3" t="s">
        <v>255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255</v>
      </c>
      <c r="D968" s="3"/>
      <c r="E968" s="3" t="s">
        <v>255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255</v>
      </c>
      <c r="D969" s="3"/>
      <c r="E969" s="3" t="s">
        <v>255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115</v>
      </c>
      <c r="O969" s="3"/>
      <c r="P969" s="3"/>
      <c r="Q969" s="3">
        <v>0.70599999999999996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255</v>
      </c>
      <c r="D970" s="3"/>
      <c r="E970" s="3" t="s">
        <v>255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337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257</v>
      </c>
      <c r="D971" s="3"/>
      <c r="E971" s="3" t="s">
        <v>257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413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257</v>
      </c>
      <c r="D972" s="3"/>
      <c r="E972" s="3" t="s">
        <v>257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116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257</v>
      </c>
      <c r="D973" s="3"/>
      <c r="E973" s="3" t="s">
        <v>257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118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257</v>
      </c>
      <c r="D974" s="3"/>
      <c r="E974" s="3" t="s">
        <v>257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258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257</v>
      </c>
      <c r="D975" s="3"/>
      <c r="E975" s="3" t="s">
        <v>257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257</v>
      </c>
      <c r="D976" s="3"/>
      <c r="E976" s="3" t="s">
        <v>257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0.58799999999999997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257</v>
      </c>
      <c r="D977" s="3"/>
      <c r="E977" s="3" t="s">
        <v>257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257</v>
      </c>
      <c r="D978" s="3"/>
      <c r="E978" s="3" t="s">
        <v>257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257</v>
      </c>
      <c r="D979" s="3"/>
      <c r="E979" s="3" t="s">
        <v>257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117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257</v>
      </c>
      <c r="D980" s="3"/>
      <c r="E980" s="3" t="s">
        <v>257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257</v>
      </c>
      <c r="D981" s="3"/>
      <c r="E981" s="3" t="s">
        <v>257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257</v>
      </c>
      <c r="D982" s="3"/>
      <c r="E982" s="3" t="s">
        <v>257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257</v>
      </c>
      <c r="D983" s="3"/>
      <c r="E983" s="3" t="s">
        <v>257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115</v>
      </c>
      <c r="O983" s="3"/>
      <c r="P983" s="3"/>
      <c r="Q983" s="3">
        <v>0.70599999999999996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257</v>
      </c>
      <c r="D984" s="3"/>
      <c r="E984" s="3" t="s">
        <v>257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338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259</v>
      </c>
      <c r="D985" s="3"/>
      <c r="E985" s="3" t="s">
        <v>259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259</v>
      </c>
      <c r="D986" s="3"/>
      <c r="E986" s="3" t="s">
        <v>259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116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259</v>
      </c>
      <c r="D987" s="3"/>
      <c r="E987" s="3" t="s">
        <v>259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118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259</v>
      </c>
      <c r="D988" s="3"/>
      <c r="E988" s="3" t="s">
        <v>259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260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259</v>
      </c>
      <c r="D989" s="3"/>
      <c r="E989" s="3" t="s">
        <v>259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259</v>
      </c>
      <c r="D990" s="3"/>
      <c r="E990" s="3" t="s">
        <v>259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0.68899999999999995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259</v>
      </c>
      <c r="D991" s="3"/>
      <c r="E991" s="3" t="s">
        <v>259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259</v>
      </c>
      <c r="D992" s="3"/>
      <c r="E992" s="3" t="s">
        <v>259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259</v>
      </c>
      <c r="D993" s="3"/>
      <c r="E993" s="3" t="s">
        <v>259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117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259</v>
      </c>
      <c r="D994" s="3"/>
      <c r="E994" s="3" t="s">
        <v>259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259</v>
      </c>
      <c r="D995" s="3"/>
      <c r="E995" s="3" t="s">
        <v>259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259</v>
      </c>
      <c r="D996" s="3"/>
      <c r="E996" s="3" t="s">
        <v>259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259</v>
      </c>
      <c r="D997" s="3"/>
      <c r="E997" s="3" t="s">
        <v>259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115</v>
      </c>
      <c r="O997" s="3"/>
      <c r="P997" s="3"/>
      <c r="Q997" s="3">
        <v>0.70599999999999996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259</v>
      </c>
      <c r="D998" s="3"/>
      <c r="E998" s="3" t="s">
        <v>259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261</v>
      </c>
      <c r="D999" s="3"/>
      <c r="E999" s="3" t="s">
        <v>261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261</v>
      </c>
      <c r="D1000" s="3"/>
      <c r="E1000" s="3" t="s">
        <v>261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116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261</v>
      </c>
      <c r="D1001" s="3"/>
      <c r="E1001" s="3" t="s">
        <v>261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118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261</v>
      </c>
      <c r="D1002" s="3"/>
      <c r="E1002" s="3" t="s">
        <v>261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262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261</v>
      </c>
      <c r="D1003" s="3"/>
      <c r="E1003" s="3" t="s">
        <v>261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261</v>
      </c>
      <c r="D1004" s="3"/>
      <c r="E1004" s="3" t="s">
        <v>261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0.79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261</v>
      </c>
      <c r="D1005" s="3"/>
      <c r="E1005" s="3" t="s">
        <v>261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261</v>
      </c>
      <c r="D1006" s="3"/>
      <c r="E1006" s="3" t="s">
        <v>261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261</v>
      </c>
      <c r="D1007" s="3"/>
      <c r="E1007" s="3" t="s">
        <v>261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117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261</v>
      </c>
      <c r="D1008" s="3"/>
      <c r="E1008" s="3" t="s">
        <v>261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261</v>
      </c>
      <c r="D1009" s="3"/>
      <c r="E1009" s="3" t="s">
        <v>261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261</v>
      </c>
      <c r="D1010" s="3"/>
      <c r="E1010" s="3" t="s">
        <v>261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261</v>
      </c>
      <c r="D1011" s="3"/>
      <c r="E1011" s="3" t="s">
        <v>261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115</v>
      </c>
      <c r="O1011" s="3"/>
      <c r="P1011" s="3"/>
      <c r="Q1011" s="3">
        <v>0.70599999999999996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261</v>
      </c>
      <c r="D1012" s="3"/>
      <c r="E1012" s="3" t="s">
        <v>261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340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263</v>
      </c>
      <c r="D1013" s="3"/>
      <c r="E1013" s="3" t="s">
        <v>263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263</v>
      </c>
      <c r="D1014" s="3"/>
      <c r="E1014" s="3" t="s">
        <v>263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116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263</v>
      </c>
      <c r="D1015" s="3"/>
      <c r="E1015" s="3" t="s">
        <v>263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118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263</v>
      </c>
      <c r="D1016" s="3"/>
      <c r="E1016" s="3" t="s">
        <v>263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264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263</v>
      </c>
      <c r="D1017" s="3"/>
      <c r="E1017" s="3" t="s">
        <v>263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263</v>
      </c>
      <c r="D1018" s="3"/>
      <c r="E1018" s="3" t="s">
        <v>263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0.99199999999999999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263</v>
      </c>
      <c r="D1019" s="3"/>
      <c r="E1019" s="3" t="s">
        <v>263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263</v>
      </c>
      <c r="D1020" s="3"/>
      <c r="E1020" s="3" t="s">
        <v>263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263</v>
      </c>
      <c r="D1021" s="3"/>
      <c r="E1021" s="3" t="s">
        <v>263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117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263</v>
      </c>
      <c r="D1022" s="3"/>
      <c r="E1022" s="3" t="s">
        <v>263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263</v>
      </c>
      <c r="D1023" s="3"/>
      <c r="E1023" s="3" t="s">
        <v>263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263</v>
      </c>
      <c r="D1024" s="3"/>
      <c r="E1024" s="3" t="s">
        <v>263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263</v>
      </c>
      <c r="D1025" s="3"/>
      <c r="E1025" s="3" t="s">
        <v>263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115</v>
      </c>
      <c r="O1025" s="3"/>
      <c r="P1025" s="3"/>
      <c r="Q1025" s="3">
        <v>0.70599999999999996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263</v>
      </c>
      <c r="D1026" s="3"/>
      <c r="E1026" s="3" t="s">
        <v>263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341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265</v>
      </c>
      <c r="D1027" s="3"/>
      <c r="E1027" s="3" t="s">
        <v>265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265</v>
      </c>
      <c r="D1028" s="3"/>
      <c r="E1028" s="3" t="s">
        <v>265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116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265</v>
      </c>
      <c r="D1029" s="3"/>
      <c r="E1029" s="3" t="s">
        <v>265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118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265</v>
      </c>
      <c r="D1030" s="3"/>
      <c r="E1030" s="3" t="s">
        <v>265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266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265</v>
      </c>
      <c r="D1031" s="3"/>
      <c r="E1031" s="3" t="s">
        <v>265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265</v>
      </c>
      <c r="D1032" s="3"/>
      <c r="E1032" s="3" t="s">
        <v>265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1.0920000000000001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265</v>
      </c>
      <c r="D1033" s="3"/>
      <c r="E1033" s="3" t="s">
        <v>265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265</v>
      </c>
      <c r="D1034" s="3"/>
      <c r="E1034" s="3" t="s">
        <v>265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265</v>
      </c>
      <c r="D1035" s="3"/>
      <c r="E1035" s="3" t="s">
        <v>265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117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265</v>
      </c>
      <c r="D1036" s="3"/>
      <c r="E1036" s="3" t="s">
        <v>265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265</v>
      </c>
      <c r="D1037" s="3"/>
      <c r="E1037" s="3" t="s">
        <v>265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265</v>
      </c>
      <c r="D1038" s="3"/>
      <c r="E1038" s="3" t="s">
        <v>265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265</v>
      </c>
      <c r="D1039" s="3"/>
      <c r="E1039" s="3" t="s">
        <v>265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115</v>
      </c>
      <c r="O1039" s="3"/>
      <c r="P1039" s="3"/>
      <c r="Q1039" s="3">
        <v>0.70599999999999996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265</v>
      </c>
      <c r="D1040" s="3"/>
      <c r="E1040" s="3" t="s">
        <v>265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267</v>
      </c>
      <c r="D1041" s="3"/>
      <c r="E1041" s="3" t="s">
        <v>267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267</v>
      </c>
      <c r="D1042" s="3"/>
      <c r="E1042" s="3" t="s">
        <v>267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116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267</v>
      </c>
      <c r="D1043" s="3"/>
      <c r="E1043" s="3" t="s">
        <v>267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118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267</v>
      </c>
      <c r="D1044" s="3"/>
      <c r="E1044" s="3" t="s">
        <v>267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268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267</v>
      </c>
      <c r="D1045" s="3"/>
      <c r="E1045" s="3" t="s">
        <v>267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267</v>
      </c>
      <c r="D1046" s="3"/>
      <c r="E1046" s="3" t="s">
        <v>267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1.1930000000000001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267</v>
      </c>
      <c r="D1047" s="3"/>
      <c r="E1047" s="3" t="s">
        <v>267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267</v>
      </c>
      <c r="D1048" s="3"/>
      <c r="E1048" s="3" t="s">
        <v>267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267</v>
      </c>
      <c r="D1049" s="3"/>
      <c r="E1049" s="3" t="s">
        <v>267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117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267</v>
      </c>
      <c r="D1050" s="3"/>
      <c r="E1050" s="3" t="s">
        <v>267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267</v>
      </c>
      <c r="D1051" s="3"/>
      <c r="E1051" s="3" t="s">
        <v>267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267</v>
      </c>
      <c r="D1052" s="3"/>
      <c r="E1052" s="3" t="s">
        <v>267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267</v>
      </c>
      <c r="D1053" s="3"/>
      <c r="E1053" s="3" t="s">
        <v>267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115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267</v>
      </c>
      <c r="D1054" s="3"/>
      <c r="E1054" s="3" t="s">
        <v>267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2026-04-21T05:13:33Z</dcterms:modified>
</cp:coreProperties>
</file>