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ZENIMO FINAL 29.10.2025\ONLINE\SAN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DEST!$A$2:$AM$157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8" i="13"/>
  <c r="D17" i="13"/>
  <c r="D2" i="13"/>
  <c r="G5" i="13" l="1"/>
  <c r="E5" i="13"/>
  <c r="E4" i="13"/>
  <c r="H5" i="13" l="1"/>
  <c r="G4" i="13"/>
  <c r="E17" i="13"/>
  <c r="G17" i="13" s="1"/>
  <c r="H17" i="13" s="1"/>
  <c r="E10" i="13"/>
  <c r="G7" i="13"/>
  <c r="G3" i="13"/>
  <c r="E3" i="13"/>
  <c r="E2" i="13" l="1"/>
  <c r="G16" i="13" l="1"/>
  <c r="H7" i="13"/>
  <c r="H18" i="13" l="1"/>
  <c r="H16" i="13"/>
  <c r="H15" i="13"/>
  <c r="H14" i="13"/>
  <c r="H13" i="13"/>
  <c r="H12" i="13"/>
  <c r="G11" i="13"/>
  <c r="H11" i="13" s="1"/>
  <c r="E11" i="13"/>
  <c r="G10" i="13"/>
  <c r="H10" i="13" s="1"/>
  <c r="G9" i="13"/>
  <c r="H9" i="13" s="1"/>
  <c r="G8" i="13"/>
  <c r="H8" i="13" s="1"/>
  <c r="H6" i="13"/>
  <c r="E6" i="13"/>
  <c r="H4" i="13"/>
  <c r="H3" i="13"/>
  <c r="H2" i="13"/>
</calcChain>
</file>

<file path=xl/sharedStrings.xml><?xml version="1.0" encoding="utf-8"?>
<sst xmlns="http://schemas.openxmlformats.org/spreadsheetml/2006/main" count="2087" uniqueCount="158">
  <si>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</si>
  <si>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</si>
  <si>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</si>
  <si>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</si>
  <si>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</si>
  <si>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</si>
  <si>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</si>
  <si>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</si>
  <si>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</si>
  <si>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</si>
  <si>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</si>
  <si>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</si>
  <si>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</si>
  <si>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</si>
  <si>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</si>
  <si>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</si>
  <si>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</si>
  <si>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</si>
  <si>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</si>
  <si>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</si>
  <si>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</si>
  <si>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</si>
  <si>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Qpanel Flanging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</si>
  <si>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</si>
  <si>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</si>
  <si>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</si>
  <si>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</si>
  <si>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</si>
  <si>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</si>
  <si>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</si>
  <si>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</si>
  <si>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</si>
  <si>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</si>
  <si>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</si>
  <si>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</si>
  <si>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</si>
  <si>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</si>
  <si>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</si>
  <si>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</si>
  <si>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</si>
  <si>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</si>
  <si>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</si>
  <si>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</si>
  <si>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</si>
  <si>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</si>
  <si>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</si>
  <si>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</si>
  <si>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</si>
  <si>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</si>
  <si>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</si>
  <si>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</si>
  <si>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</si>
  <si>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</si>
  <si>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</si>
  <si>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</si>
  <si>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</si>
  <si>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</si>
  <si>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</si>
  <si>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</si>
  <si>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</si>
  <si>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</si>
  <si>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</si>
  <si>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</si>
  <si>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</si>
  <si>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</si>
  <si>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</si>
  <si>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</si>
  <si>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</si>
  <si>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</si>
  <si>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</si>
  <si>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</si>
  <si>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</si>
  <si>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</si>
  <si>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</si>
  <si>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</si>
  <si>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</si>
  <si>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</si>
  <si>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</si>
  <si>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</si>
  <si>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</si>
  <si>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</si>
  <si>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</si>
  <si>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</si>
  <si>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</si>
  <si>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</si>
  <si>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</si>
  <si>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</si>
  <si>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</si>
  <si>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</si>
  <si>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</si>
  <si>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</si>
  <si>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</si>
  <si>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</si>
  <si>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</si>
  <si>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</si>
  <si>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</si>
  <si>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</si>
  <si>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</si>
  <si>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</si>
  <si>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</si>
  <si>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RML-CS-RTC-7"</t>
  </si>
  <si>
    <t>FOAM</t>
  </si>
  <si>
    <t>Sheet Foam 1 PD</t>
  </si>
  <si>
    <t>GR</t>
  </si>
  <si>
    <t>MR</t>
  </si>
  <si>
    <t>SFG-RTC-SNGR-QUILT</t>
  </si>
  <si>
    <t>RML-EDTAPE-SANI-GREY</t>
  </si>
  <si>
    <t>RML-THRD-TKT-40GREY</t>
  </si>
  <si>
    <t>SFG-RTC-SNMR-QUILT</t>
  </si>
  <si>
    <t>RML-EDTAPE-MER-KNIT</t>
  </si>
  <si>
    <t>RML-THRD-TKT-40MER</t>
  </si>
  <si>
    <t>LTR</t>
  </si>
  <si>
    <t>36</t>
  </si>
  <si>
    <t>06</t>
  </si>
  <si>
    <t>60</t>
  </si>
  <si>
    <t>RMI-PVC-50</t>
  </si>
  <si>
    <t>RML-POLY-GUM</t>
  </si>
  <si>
    <t>OEBOXBNSR71.50X35.50X130</t>
  </si>
  <si>
    <t>RMI-HCTNF-71.50X35.50.</t>
  </si>
  <si>
    <t>18D-PU-FOAM-71.50X35.50X10MM</t>
  </si>
  <si>
    <t>RML-VIR-HDPE-92X46</t>
  </si>
  <si>
    <t>RML-VIR-HDPE-92X70</t>
  </si>
  <si>
    <t>RML-VIR-HDPE-92X82</t>
  </si>
  <si>
    <t>OEBOXBNSR74.50X35.50X130</t>
  </si>
  <si>
    <t>RMI-HCTNF-74.50X35.50.</t>
  </si>
  <si>
    <t>18D-PU-FOAM-74.50X35.50X10MM</t>
  </si>
  <si>
    <t>OEBOXBNSR74.50X59.50X130</t>
  </si>
  <si>
    <t>RMI-HCTNF-74.50X59.50.</t>
  </si>
  <si>
    <t>18D-PU-FOAM-74.50X59.50X10MM</t>
  </si>
  <si>
    <t>OEBOXBNSR74.50X71.50X130</t>
  </si>
  <si>
    <t>RMI-HCTNF-74.50X71.50.</t>
  </si>
  <si>
    <t>18D-PU-FOAM-74.50X71.50X10MM</t>
  </si>
  <si>
    <t>OEBOXBNSR77.50X59.50X130</t>
  </si>
  <si>
    <t>RMI-HCTNF-77.50X59.50.</t>
  </si>
  <si>
    <t>18D-PU-FOAM-77.50X59.50X10MM</t>
  </si>
  <si>
    <t>OEBOXBNSR77.50X71.50X130</t>
  </si>
  <si>
    <t>RMI-HCTNF-77.50X71.50.</t>
  </si>
  <si>
    <t>18D-PU-FOAM-77.50X71.50X10MM</t>
  </si>
  <si>
    <t>SFG-RTC-SNGR-BP</t>
  </si>
  <si>
    <t>SFG-SNNLGR-BOR-72X36X06</t>
  </si>
  <si>
    <t>SFG-SNNLGR-BOR-75X36X06</t>
  </si>
  <si>
    <t>SFG-SNNLGR-BOR-78X72X06</t>
  </si>
  <si>
    <t>SFG-RTC-SNMR-BP</t>
  </si>
  <si>
    <t>SFG-SNNLMR-BOR-72X36X06</t>
  </si>
  <si>
    <t>SFG-SNNLMR-BOR-75X36X06</t>
  </si>
  <si>
    <t>SFG-SNNLMR-BOR-75X60X06</t>
  </si>
  <si>
    <t>SFG-SNNLMR-BOR-75X72X06</t>
  </si>
  <si>
    <t>SFG-SNNLMR-BOR-78X60X06</t>
  </si>
  <si>
    <t>SFG-SNNLMR-BOR-78X72X06</t>
  </si>
  <si>
    <t>RTBNSNGR72X36X06-CPC</t>
  </si>
  <si>
    <t>RTBNSNGR75X36X06-CPC</t>
  </si>
  <si>
    <t>RTBNSNGR78X72X06-CPC</t>
  </si>
  <si>
    <t>RTBNSNMR72X36X06-CPC</t>
  </si>
  <si>
    <t>RTBNSNMR75X36X06-CPC</t>
  </si>
  <si>
    <t>RTBNSNMR75X60X06-CPC</t>
  </si>
  <si>
    <t>RTBNSNMR75X72X06-CPC</t>
  </si>
  <si>
    <t>RTBNSNMR78X60X06-CPC</t>
  </si>
  <si>
    <t>RTBNSNMR78X72X06-CPC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</si>
</sst>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164" fontId="3" fillId="0" borderId="1" xfId="0" applyNumberFormat="1" applyFont="1" applyFill="1" applyBorder="1" applyAlignment="1" applyProtection="1">
      <alignment vertical="center"/>
    </xf>
    <xf numFmtId="0" fontId="4" fillId="0" borderId="0" xfId="0" applyFont="1" applyAlignment="1">
      <alignment horizontal="center"/>
    </xf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vertical="center" wrapText="1"/>
    </xf>
    <xf numFmtId="0" fontId="0" fillId="0" borderId="1" xfId="0" applyNumberFormat="1" applyFont="1" applyBorder="1"/>
    <xf numFmtId="0" fontId="0" fillId="0" borderId="2" xfId="0" applyFont="1" applyFill="1" applyBorder="1" applyAlignment="1">
      <alignment vertical="center"/>
    </xf>
    <xf numFmtId="0" fontId="0" fillId="0" borderId="1" xfId="0" applyFont="1" applyBorder="1"/>
    <xf numFmtId="0" fontId="3" fillId="0" borderId="1" xfId="0" applyNumberFormat="1" applyFont="1" applyFill="1" applyBorder="1"/>
    <xf numFmtId="164" fontId="0" fillId="0" borderId="1" xfId="0" applyNumberFormat="1" applyFont="1" applyFill="1" applyBorder="1" applyAlignment="1">
      <alignment horizontal="right" vertical="center"/>
    </xf>
    <xf numFmtId="0" fontId="0" fillId="0" borderId="1" xfId="0" applyNumberFormat="1" applyFont="1" applyBorder="1" applyAlignment="1">
      <alignment horizontal="right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9" sqref="E19"/>
    </sheetView>
  </sheetViews>
  <sheetFormatPr defaultColWidth="9.140625" defaultRowHeight="15" x14ac:dyDescent="0.25"/>
  <cols>
    <col min="1" max="1" width="5.7109375" style="17" bestFit="1" customWidth="1"/>
    <col min="2" max="2" width="11.7109375" style="17" bestFit="1" customWidth="1"/>
    <col min="3" max="3" width="16.42578125" style="17" bestFit="1" customWidth="1"/>
    <col min="4" max="4" width="23.85546875" style="17" bestFit="1" customWidth="1"/>
    <col min="5" max="5" width="31.85546875" style="17" bestFit="1" customWidth="1"/>
    <col min="6" max="6" width="5.7109375" style="4" bestFit="1" customWidth="1"/>
    <col min="7" max="7" width="10.7109375" style="17" bestFit="1" customWidth="1"/>
    <col min="8" max="8" width="10.7109375" style="17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30</v>
      </c>
      <c r="E1" s="1" t="s">
        <v>3</v>
      </c>
      <c r="F1" s="1" t="s">
        <v>4</v>
      </c>
      <c r="G1" s="1" t="s">
        <v>5</v>
      </c>
      <c r="H1" s="1" t="s">
        <v>31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40" t="s">
        <v>92</v>
      </c>
      <c r="S1" s="40" t="s">
        <v>93</v>
      </c>
      <c r="T1" s="40" t="s">
        <v>94</v>
      </c>
      <c r="U1" s="40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>"RTBNSN"&amp;IF($N$2="BG","BG",IF($N$2="GR","GR","MR"))&amp;$K$2&amp;"X"&amp;$L$2&amp;"X06"&amp;"-"&amp;"CPC"</f>
        <v>RTBNSNMR78X72X06-CPC</v>
      </c>
      <c r="E2" s="1" t="str">
        <f>"OEBOXBNSR"&amp;(K2-0.5)&amp;"0"&amp;"X"&amp;(L2-0.5)&amp;"0"&amp;"X130"</f>
        <v>OEBOXBNSR77.50X71.50X130</v>
      </c>
      <c r="F2" s="41" t="s">
        <v>11</v>
      </c>
      <c r="G2" s="39">
        <v>1</v>
      </c>
      <c r="H2" s="39">
        <f t="shared" ref="H2:H16" si="0">ROUND(G2,3)</f>
        <v>1</v>
      </c>
      <c r="I2" s="8" t="s">
        <v>18</v>
      </c>
      <c r="J2" s="5"/>
      <c r="K2" s="6">
        <v>78</v>
      </c>
      <c r="L2" s="6">
        <v>72</v>
      </c>
      <c r="M2" s="38">
        <v>6</v>
      </c>
      <c r="N2" s="6" t="s">
        <v>104</v>
      </c>
      <c r="P2" s="4">
        <v>6</v>
      </c>
      <c r="R2" s="35" t="s">
        <v>97</v>
      </c>
      <c r="S2" s="35" t="s">
        <v>112</v>
      </c>
      <c r="T2" s="35" t="s">
        <v>113</v>
      </c>
      <c r="U2" s="36" t="s">
        <v>103</v>
      </c>
    </row>
    <row r="3" spans="1:21" s="19" customFormat="1" x14ac:dyDescent="0.25">
      <c r="A3" s="37">
        <v>2</v>
      </c>
      <c r="B3" s="7" t="s">
        <v>12</v>
      </c>
      <c r="C3" s="9" t="s">
        <v>16</v>
      </c>
      <c r="D3" s="7" t="str">
        <f t="shared" ref="D3:D18" si="1">"RTBNSN"&amp;IF($N$2="BG","BG",IF($N$2="GR","GR","MR"))&amp;$K$2&amp;"X"&amp;$L$2&amp;"X06"&amp;"-"&amp;"CPC"</f>
        <v>RTBNSNMR78X72X06-CPC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RMI-HCTNF-77.50X71.50.</v>
      </c>
      <c r="F3" s="11" t="s">
        <v>14</v>
      </c>
      <c r="G3" s="42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5.0049899900000003</v>
      </c>
      <c r="H3" s="39">
        <f t="shared" si="0"/>
        <v>5.0049999999999999</v>
      </c>
      <c r="I3" s="8" t="s">
        <v>15</v>
      </c>
      <c r="J3" s="5"/>
      <c r="K3" s="18"/>
      <c r="L3" s="18"/>
      <c r="M3" s="18"/>
      <c r="N3" s="18"/>
      <c r="O3" s="4"/>
      <c r="R3" s="35" t="s">
        <v>98</v>
      </c>
      <c r="S3" s="35" t="s">
        <v>112</v>
      </c>
      <c r="T3" s="35" t="s">
        <v>113</v>
      </c>
      <c r="U3" s="36" t="s">
        <v>103</v>
      </c>
    </row>
    <row r="4" spans="1:21" x14ac:dyDescent="0.25">
      <c r="A4" s="37">
        <v>3</v>
      </c>
      <c r="B4" s="7" t="s">
        <v>19</v>
      </c>
      <c r="C4" s="22" t="s">
        <v>20</v>
      </c>
      <c r="D4" s="7" t="str">
        <f t="shared" si="1"/>
        <v>RTBNSNMR78X72X06-CPC</v>
      </c>
      <c r="E4" s="20" t="str">
        <f>IF(N2="MR","SFG-RTC-SNMR-QUILT",IF(N2="BG","SFG-RTC-SNBG-QUILT",IF(N2="GR","SFG-RTC-SNGR-QUILT",0)))</f>
        <v>SFG-RTC-SNMR-QUILT</v>
      </c>
      <c r="F4" s="11" t="s">
        <v>17</v>
      </c>
      <c r="G4" s="10">
        <f>IF(K2&lt;79,(L2+1),IF(L2&lt;37,(K2+1),(K2+1)))*0.0254</f>
        <v>1.8541999999999998</v>
      </c>
      <c r="H4" s="39">
        <f t="shared" si="0"/>
        <v>1.8540000000000001</v>
      </c>
      <c r="I4" s="21" t="s">
        <v>18</v>
      </c>
      <c r="J4" s="12"/>
      <c r="O4" s="19"/>
      <c r="R4" s="35" t="s">
        <v>99</v>
      </c>
      <c r="S4" s="35" t="s">
        <v>97</v>
      </c>
      <c r="T4" s="35" t="s">
        <v>113</v>
      </c>
      <c r="U4" s="36" t="s">
        <v>103</v>
      </c>
    </row>
    <row r="5" spans="1:21" x14ac:dyDescent="0.25">
      <c r="A5" s="37">
        <v>3</v>
      </c>
      <c r="B5" s="7" t="s">
        <v>19</v>
      </c>
      <c r="C5" s="22" t="s">
        <v>20</v>
      </c>
      <c r="D5" s="7" t="str">
        <f t="shared" si="1"/>
        <v>RTBNSNMR78X72X06-CPC</v>
      </c>
      <c r="E5" s="17" t="str">
        <f>IF(N2="MR","SFG-RTC-SNMR-BP",IF(N2="BG","SFG-RTC-SNBG-BP",IF(N2="GR","SFG-RTC-SNGR-BP",0)))</f>
        <v>SFG-RTC-SNMR-BP</v>
      </c>
      <c r="F5" s="11" t="s">
        <v>17</v>
      </c>
      <c r="G5" s="10">
        <f>IF(K2&lt;79,(L2+1),IF(L2&lt;37,(K2+1),(K2+1)))*0.0254</f>
        <v>1.8541999999999998</v>
      </c>
      <c r="H5" s="39">
        <f t="shared" si="0"/>
        <v>1.8540000000000001</v>
      </c>
      <c r="I5" s="21" t="s">
        <v>18</v>
      </c>
      <c r="J5" s="12"/>
      <c r="O5" s="19"/>
      <c r="R5" s="35" t="s">
        <v>97</v>
      </c>
      <c r="S5" s="35" t="s">
        <v>112</v>
      </c>
      <c r="T5" s="35" t="s">
        <v>113</v>
      </c>
      <c r="U5" s="36" t="s">
        <v>104</v>
      </c>
    </row>
    <row r="6" spans="1:21" x14ac:dyDescent="0.25">
      <c r="A6" s="37">
        <v>4</v>
      </c>
      <c r="B6" s="7" t="s">
        <v>19</v>
      </c>
      <c r="C6" s="22" t="s">
        <v>20</v>
      </c>
      <c r="D6" s="7" t="str">
        <f t="shared" si="1"/>
        <v>RTBNSNMR78X72X06-CPC</v>
      </c>
      <c r="E6" s="20" t="str">
        <f>"SFG-SNNL"&amp;IF(N2="MR","MR",IF(N2="BG","BG",IF(N2="GR","GR",0)))&amp;"-BOR-"&amp;K2&amp;"X"&amp;L2&amp;"X06"</f>
        <v>SFG-SNNLMR-BOR-78X72X06</v>
      </c>
      <c r="F6" s="11" t="s">
        <v>11</v>
      </c>
      <c r="G6" s="10">
        <v>1</v>
      </c>
      <c r="H6" s="39">
        <f t="shared" si="0"/>
        <v>1</v>
      </c>
      <c r="I6" s="21" t="s">
        <v>18</v>
      </c>
      <c r="J6" s="12"/>
      <c r="R6" s="35" t="s">
        <v>98</v>
      </c>
      <c r="S6" s="35" t="s">
        <v>112</v>
      </c>
      <c r="T6" s="35" t="s">
        <v>113</v>
      </c>
      <c r="U6" s="36" t="s">
        <v>104</v>
      </c>
    </row>
    <row r="7" spans="1:21" x14ac:dyDescent="0.25">
      <c r="A7" s="37">
        <v>5</v>
      </c>
      <c r="B7" s="7" t="s">
        <v>23</v>
      </c>
      <c r="C7" s="15" t="s">
        <v>24</v>
      </c>
      <c r="D7" s="7" t="str">
        <f t="shared" si="1"/>
        <v>RTBNSNMR78X72X06-CPC</v>
      </c>
      <c r="E7" s="46" t="s">
        <v>116</v>
      </c>
      <c r="F7" s="44" t="s">
        <v>111</v>
      </c>
      <c r="G7" s="47">
        <f>((K2-1)*(L2-1)/144)*0.00729*3</f>
        <v>0.8303006249999999</v>
      </c>
      <c r="H7" s="39">
        <f t="shared" si="0"/>
        <v>0.83</v>
      </c>
      <c r="I7" s="45" t="s">
        <v>15</v>
      </c>
      <c r="J7" s="12"/>
      <c r="K7" s="19"/>
      <c r="L7" s="19"/>
      <c r="M7" s="19"/>
      <c r="N7" s="19"/>
      <c r="O7" s="19"/>
      <c r="P7" s="19"/>
      <c r="Q7" s="19"/>
      <c r="R7" s="35" t="s">
        <v>98</v>
      </c>
      <c r="S7" s="35" t="s">
        <v>114</v>
      </c>
      <c r="T7" s="35" t="s">
        <v>113</v>
      </c>
      <c r="U7" s="36" t="s">
        <v>104</v>
      </c>
    </row>
    <row r="8" spans="1:21" x14ac:dyDescent="0.25">
      <c r="A8" s="37">
        <v>6</v>
      </c>
      <c r="B8" s="7" t="s">
        <v>19</v>
      </c>
      <c r="C8" s="15" t="s">
        <v>22</v>
      </c>
      <c r="D8" s="7" t="str">
        <f t="shared" si="1"/>
        <v>RTBNSNMR78X72X06-CPC</v>
      </c>
      <c r="E8" s="15" t="s">
        <v>29</v>
      </c>
      <c r="F8" s="16" t="s">
        <v>14</v>
      </c>
      <c r="G8" s="10">
        <f>(K2+L2+1.5)*4*0.0254*10.7/1000</f>
        <v>0.16469867999999996</v>
      </c>
      <c r="H8" s="39">
        <f t="shared" si="0"/>
        <v>0.16500000000000001</v>
      </c>
      <c r="I8" s="8" t="s">
        <v>15</v>
      </c>
      <c r="J8" s="12"/>
      <c r="K8" s="19"/>
      <c r="L8" s="19"/>
      <c r="M8" s="19"/>
      <c r="N8" s="19"/>
      <c r="O8" s="19"/>
      <c r="P8" s="19"/>
      <c r="Q8" s="19"/>
      <c r="R8" s="35" t="s">
        <v>98</v>
      </c>
      <c r="S8" s="35" t="s">
        <v>97</v>
      </c>
      <c r="T8" s="35" t="s">
        <v>113</v>
      </c>
      <c r="U8" s="36" t="s">
        <v>104</v>
      </c>
    </row>
    <row r="9" spans="1:21" x14ac:dyDescent="0.25">
      <c r="A9" s="37">
        <v>7</v>
      </c>
      <c r="B9" s="7" t="s">
        <v>19</v>
      </c>
      <c r="C9" s="15" t="s">
        <v>22</v>
      </c>
      <c r="D9" s="7" t="str">
        <f t="shared" si="1"/>
        <v>RTBNSNMR78X72X06-CPC</v>
      </c>
      <c r="E9" s="15" t="s">
        <v>21</v>
      </c>
      <c r="F9" s="16" t="s">
        <v>17</v>
      </c>
      <c r="G9" s="10">
        <f>(K2+L2+1.5)*4*0.0254*10</f>
        <v>153.92399999999998</v>
      </c>
      <c r="H9" s="39">
        <f t="shared" si="0"/>
        <v>153.92400000000001</v>
      </c>
      <c r="I9" s="8" t="s">
        <v>15</v>
      </c>
      <c r="J9" s="12"/>
      <c r="K9" s="19"/>
      <c r="L9" s="19"/>
      <c r="M9" s="19"/>
      <c r="N9" s="19"/>
      <c r="O9" s="19"/>
      <c r="P9" s="24"/>
      <c r="Q9" s="19"/>
      <c r="R9" s="35" t="s">
        <v>99</v>
      </c>
      <c r="S9" s="35" t="s">
        <v>114</v>
      </c>
      <c r="T9" s="35" t="s">
        <v>113</v>
      </c>
      <c r="U9" s="36" t="s">
        <v>104</v>
      </c>
    </row>
    <row r="10" spans="1:21" x14ac:dyDescent="0.25">
      <c r="A10" s="37">
        <v>8</v>
      </c>
      <c r="B10" s="7" t="s">
        <v>23</v>
      </c>
      <c r="C10" s="15" t="s">
        <v>24</v>
      </c>
      <c r="D10" s="7" t="str">
        <f t="shared" si="1"/>
        <v>RTBNSNMR78X72X06-CPC</v>
      </c>
      <c r="E10" s="15" t="str">
        <f>IF(N2="BG","RML-EDTAPE-WHT-KNIT",IF(N2="GR","RML-EDTAPE-SANI-GREY",IF(N2="MR","RML-EDTAPE-MER-KNIT",0)))</f>
        <v>RML-EDTAPE-MER-KNIT</v>
      </c>
      <c r="F10" s="16" t="s">
        <v>17</v>
      </c>
      <c r="G10" s="10">
        <f>(K2+L2+4)*2*0.0254*2</f>
        <v>15.6464</v>
      </c>
      <c r="H10" s="39">
        <f t="shared" si="0"/>
        <v>15.646000000000001</v>
      </c>
      <c r="I10" s="8" t="s">
        <v>15</v>
      </c>
      <c r="J10" s="12"/>
      <c r="K10" s="19"/>
      <c r="L10" s="19"/>
      <c r="M10" s="19"/>
      <c r="N10" s="19"/>
      <c r="O10" s="19"/>
      <c r="P10" s="19"/>
      <c r="Q10" s="19"/>
      <c r="R10" s="35" t="s">
        <v>99</v>
      </c>
      <c r="S10" s="35" t="s">
        <v>97</v>
      </c>
      <c r="T10" s="35" t="s">
        <v>113</v>
      </c>
      <c r="U10" s="36" t="s">
        <v>104</v>
      </c>
    </row>
    <row r="11" spans="1:21" x14ac:dyDescent="0.25">
      <c r="A11" s="37">
        <v>9</v>
      </c>
      <c r="B11" s="7" t="s">
        <v>23</v>
      </c>
      <c r="C11" s="15" t="s">
        <v>24</v>
      </c>
      <c r="D11" s="7" t="str">
        <f t="shared" si="1"/>
        <v>RTBNSNMR78X72X06-CPC</v>
      </c>
      <c r="E11" s="15" t="str">
        <f>IF(N2="BG","RM-THRD-QS-TKT40",IF(N2="GR","RML-THRD-TKT-40GREY",IF(N2="MR","RML-THRD-TKT-40MER",0)))</f>
        <v>RML-THRD-TKT-40MER</v>
      </c>
      <c r="F11" s="16" t="s">
        <v>17</v>
      </c>
      <c r="G11" s="10">
        <f>(K2+L2+4)*2*0.0254*(4.73+1.42)*2</f>
        <v>96.225360000000009</v>
      </c>
      <c r="H11" s="39">
        <f t="shared" si="0"/>
        <v>96.224999999999994</v>
      </c>
      <c r="I11" s="8" t="s">
        <v>15</v>
      </c>
      <c r="J11" s="12"/>
      <c r="K11" s="25"/>
      <c r="L11" s="25"/>
      <c r="M11" s="19"/>
      <c r="N11" s="24"/>
      <c r="O11" s="19"/>
      <c r="P11" s="19"/>
      <c r="Q11" s="19"/>
      <c r="R11" s="35"/>
      <c r="S11" s="35"/>
      <c r="T11" s="35"/>
      <c r="U11" s="36"/>
    </row>
    <row r="12" spans="1:21" x14ac:dyDescent="0.25">
      <c r="A12" s="37">
        <v>10</v>
      </c>
      <c r="B12" s="7" t="s">
        <v>25</v>
      </c>
      <c r="C12" s="15" t="s">
        <v>25</v>
      </c>
      <c r="D12" s="7" t="str">
        <f t="shared" si="1"/>
        <v>RTBNSNMR78X72X06-CPC</v>
      </c>
      <c r="E12" s="15" t="s">
        <v>100</v>
      </c>
      <c r="F12" s="16" t="s">
        <v>11</v>
      </c>
      <c r="G12" s="10">
        <v>4</v>
      </c>
      <c r="H12" s="39">
        <f t="shared" si="0"/>
        <v>4</v>
      </c>
      <c r="I12" s="8" t="s">
        <v>15</v>
      </c>
      <c r="J12" s="12"/>
      <c r="K12" s="19"/>
      <c r="L12" s="19"/>
      <c r="M12" s="19"/>
      <c r="N12" s="19"/>
      <c r="O12" s="19"/>
      <c r="P12" s="19"/>
      <c r="Q12" s="19"/>
      <c r="R12" s="35"/>
      <c r="S12" s="35"/>
      <c r="T12" s="35"/>
      <c r="U12" s="36"/>
    </row>
    <row r="13" spans="1:21" x14ac:dyDescent="0.25">
      <c r="A13" s="37">
        <v>11</v>
      </c>
      <c r="B13" s="7" t="s">
        <v>25</v>
      </c>
      <c r="C13" s="15" t="s">
        <v>25</v>
      </c>
      <c r="D13" s="7" t="str">
        <f t="shared" si="1"/>
        <v>RTBNSNMR78X72X06-CPC</v>
      </c>
      <c r="E13" s="15" t="s">
        <v>26</v>
      </c>
      <c r="F13" s="16" t="s">
        <v>11</v>
      </c>
      <c r="G13" s="10">
        <v>1</v>
      </c>
      <c r="H13" s="39">
        <f t="shared" si="0"/>
        <v>1</v>
      </c>
      <c r="I13" s="8" t="s">
        <v>15</v>
      </c>
      <c r="J13" s="12"/>
      <c r="K13" s="23"/>
      <c r="R13" s="35"/>
      <c r="S13" s="35"/>
      <c r="T13" s="35"/>
      <c r="U13" s="36"/>
    </row>
    <row r="14" spans="1:21" x14ac:dyDescent="0.25">
      <c r="A14" s="37">
        <v>12</v>
      </c>
      <c r="B14" s="7" t="s">
        <v>25</v>
      </c>
      <c r="C14" s="15" t="s">
        <v>25</v>
      </c>
      <c r="D14" s="7" t="str">
        <f t="shared" si="1"/>
        <v>RTBNSNMR78X72X06-CPC</v>
      </c>
      <c r="E14" s="15" t="s">
        <v>27</v>
      </c>
      <c r="F14" s="16" t="s">
        <v>11</v>
      </c>
      <c r="G14" s="14">
        <v>1</v>
      </c>
      <c r="H14" s="39">
        <f t="shared" si="0"/>
        <v>1</v>
      </c>
      <c r="I14" s="8" t="s">
        <v>15</v>
      </c>
      <c r="J14" s="12"/>
      <c r="M14" s="23"/>
      <c r="O14" s="23"/>
      <c r="R14" s="35"/>
      <c r="S14" s="35"/>
      <c r="T14" s="35"/>
      <c r="U14" s="36"/>
    </row>
    <row r="15" spans="1:21" x14ac:dyDescent="0.25">
      <c r="A15" s="37">
        <v>13</v>
      </c>
      <c r="B15" s="7" t="s">
        <v>25</v>
      </c>
      <c r="C15" s="9" t="s">
        <v>25</v>
      </c>
      <c r="D15" s="7" t="str">
        <f t="shared" si="1"/>
        <v>RTBNSNMR78X72X06-CPC</v>
      </c>
      <c r="E15" s="9" t="s">
        <v>28</v>
      </c>
      <c r="F15" s="11" t="s">
        <v>11</v>
      </c>
      <c r="G15" s="14">
        <v>1</v>
      </c>
      <c r="H15" s="39">
        <f t="shared" si="0"/>
        <v>1</v>
      </c>
      <c r="I15" s="8" t="s">
        <v>15</v>
      </c>
      <c r="J15" s="12"/>
      <c r="N15"/>
      <c r="O15"/>
      <c r="R15" s="35"/>
      <c r="S15" s="35"/>
      <c r="T15" s="35"/>
      <c r="U15" s="36"/>
    </row>
    <row r="16" spans="1:21" x14ac:dyDescent="0.25">
      <c r="A16" s="37">
        <v>14</v>
      </c>
      <c r="B16" s="7" t="s">
        <v>25</v>
      </c>
      <c r="C16" s="9" t="s">
        <v>25</v>
      </c>
      <c r="D16" s="7" t="str">
        <f t="shared" si="1"/>
        <v>RTBNSNMR78X72X06-CPC</v>
      </c>
      <c r="E16" s="9" t="s">
        <v>115</v>
      </c>
      <c r="F16" s="11" t="s">
        <v>14</v>
      </c>
      <c r="G16" s="10">
        <f>IF(K2&lt;79,((L2*2)+(M2*2)+4),((K2*2)+(M2*2)+4))*0.0254*89.5*0.0254*0.00005*1300</f>
        <v>0.60051492800000006</v>
      </c>
      <c r="H16" s="39">
        <f t="shared" si="0"/>
        <v>0.60099999999999998</v>
      </c>
      <c r="I16" s="8" t="s">
        <v>15</v>
      </c>
      <c r="J16" s="12"/>
      <c r="M16" s="23"/>
      <c r="N16"/>
      <c r="O16"/>
      <c r="R16" s="35"/>
      <c r="S16" s="35"/>
      <c r="T16" s="35"/>
      <c r="U16" s="36"/>
    </row>
    <row r="17" spans="1:21" x14ac:dyDescent="0.25">
      <c r="A17" s="37">
        <v>16</v>
      </c>
      <c r="B17" s="7" t="s">
        <v>25</v>
      </c>
      <c r="C17" s="9" t="s">
        <v>25</v>
      </c>
      <c r="D17" s="7" t="str">
        <f t="shared" si="1"/>
        <v>RTBNSNMR78X72X06-CPC</v>
      </c>
      <c r="E17" s="43" t="str">
        <f>IF(L2=36,"RML-VIR-HDPE-92X46",IF(L2=48,"RML-VIR-HDPE-92X56",IF(L2=60,"RML-VIR-HDPE-92X70",IF(L2=72,"RML-VIR-HDPE-92X82"))))</f>
        <v>RML-VIR-HDPE-92X82</v>
      </c>
      <c r="F17" s="11" t="s">
        <v>14</v>
      </c>
      <c r="G17" s="48" t="str">
        <f>IF(E17="RML-VIR-HDPE-92X46","0.5",IF(E17="RML-VIR-HDPE-92X56","0.6",IF(E17="RML-VIR-HDPE-92X70","0.6",IF(E17="RML-VIR-HDPE-92X82","0.8",0))))</f>
        <v>0.8</v>
      </c>
      <c r="H17" s="10">
        <f t="shared" ref="H17" si="2">ROUND(G17,3)</f>
        <v>0.8</v>
      </c>
      <c r="I17" s="8" t="s">
        <v>15</v>
      </c>
      <c r="J17" s="12"/>
      <c r="N17"/>
      <c r="O17"/>
      <c r="R17" s="35"/>
      <c r="S17" s="35"/>
      <c r="T17" s="35"/>
      <c r="U17" s="36"/>
    </row>
    <row r="18" spans="1:21" x14ac:dyDescent="0.25">
      <c r="A18" s="37">
        <v>15</v>
      </c>
      <c r="B18" s="7" t="s">
        <v>101</v>
      </c>
      <c r="C18" s="9" t="s">
        <v>102</v>
      </c>
      <c r="D18" s="7" t="str">
        <f t="shared" si="1"/>
        <v>RTBNSNMR78X72X06-CPC</v>
      </c>
      <c r="E18" s="43" t="str">
        <f>"17D-PU-FOAM-"&amp;(K2-0.5)&amp;"0"&amp;"X"&amp;(L2-0.5)&amp;"0"&amp;"X10MM"</f>
        <v>17D-PU-FOAM-77.50X71.50X10MM</v>
      </c>
      <c r="F18" s="8" t="s">
        <v>11</v>
      </c>
      <c r="G18" s="14">
        <v>1</v>
      </c>
      <c r="H18" s="39">
        <f>ROUND(G18,3)</f>
        <v>1</v>
      </c>
      <c r="I18" s="21" t="s">
        <v>18</v>
      </c>
      <c r="J18" s="12"/>
      <c r="N18"/>
      <c r="O18"/>
      <c r="R18" s="35"/>
      <c r="S18" s="35"/>
      <c r="T18" s="35"/>
      <c r="U18" s="36"/>
    </row>
    <row r="19" spans="1:21" x14ac:dyDescent="0.25">
      <c r="J19" s="12"/>
      <c r="N19"/>
      <c r="O19"/>
      <c r="R19" s="35"/>
      <c r="S19" s="35"/>
      <c r="T19" s="35"/>
      <c r="U19" s="36"/>
    </row>
    <row r="20" spans="1:21" x14ac:dyDescent="0.25">
      <c r="J20" s="12"/>
      <c r="N20" s="32"/>
      <c r="O20"/>
      <c r="R20" s="35"/>
      <c r="S20" s="35"/>
      <c r="T20" s="35"/>
      <c r="U20" s="36"/>
    </row>
    <row r="21" spans="1:21" x14ac:dyDescent="0.25">
      <c r="J21" s="12"/>
      <c r="N21"/>
      <c r="O21"/>
      <c r="R21" s="35"/>
      <c r="S21" s="35"/>
      <c r="T21" s="35"/>
      <c r="U21" s="36"/>
    </row>
    <row r="22" spans="1:21" x14ac:dyDescent="0.25">
      <c r="J22" s="12"/>
      <c r="N22"/>
      <c r="O22"/>
      <c r="R22" s="35"/>
      <c r="S22" s="35"/>
      <c r="T22" s="35"/>
      <c r="U22" s="36"/>
    </row>
    <row r="23" spans="1:21" x14ac:dyDescent="0.25">
      <c r="J23" s="13"/>
      <c r="K23" s="19"/>
      <c r="L23" s="19"/>
      <c r="M23" s="19"/>
      <c r="N23"/>
      <c r="O23"/>
      <c r="P23" s="19"/>
      <c r="Q23" s="19"/>
      <c r="R23" s="35"/>
      <c r="S23" s="35"/>
      <c r="T23" s="35"/>
      <c r="U23" s="36"/>
    </row>
    <row r="24" spans="1:21" x14ac:dyDescent="0.25">
      <c r="J24" s="13"/>
      <c r="K24" s="19"/>
      <c r="L24" s="19"/>
      <c r="M24" s="19"/>
      <c r="N24" s="32"/>
      <c r="O24"/>
      <c r="P24" s="19"/>
      <c r="Q24" s="19"/>
      <c r="R24" s="35"/>
      <c r="S24" s="35"/>
      <c r="T24" s="35"/>
      <c r="U24" s="36"/>
    </row>
    <row r="25" spans="1:21" x14ac:dyDescent="0.25">
      <c r="G25" s="23"/>
      <c r="H25" s="33"/>
      <c r="I25" s="34"/>
      <c r="N25"/>
      <c r="O25"/>
      <c r="R25" s="35"/>
      <c r="S25" s="35"/>
      <c r="T25" s="35"/>
      <c r="U25" s="36"/>
    </row>
    <row r="26" spans="1:21" x14ac:dyDescent="0.25">
      <c r="G26" s="23"/>
      <c r="N26"/>
      <c r="O26"/>
      <c r="R26" s="35"/>
      <c r="S26" s="35"/>
      <c r="T26" s="35"/>
      <c r="U26" s="36"/>
    </row>
    <row r="27" spans="1:21" x14ac:dyDescent="0.25">
      <c r="G27" s="23"/>
      <c r="I27" s="23"/>
      <c r="N27"/>
      <c r="O27"/>
      <c r="R27" s="35"/>
      <c r="S27" s="35"/>
      <c r="T27" s="35"/>
      <c r="U27" s="36"/>
    </row>
    <row r="28" spans="1:21" x14ac:dyDescent="0.25">
      <c r="E28" s="23"/>
      <c r="I28" s="23"/>
      <c r="M28" s="23"/>
      <c r="N28"/>
      <c r="O28"/>
      <c r="R28" s="35"/>
      <c r="S28" s="35"/>
      <c r="T28" s="35"/>
      <c r="U28" s="36"/>
    </row>
    <row r="29" spans="1:21" x14ac:dyDescent="0.25">
      <c r="E29" s="23"/>
      <c r="N29"/>
      <c r="O29"/>
      <c r="R29" s="35"/>
      <c r="S29" s="35"/>
      <c r="T29" s="35"/>
      <c r="U29" s="36"/>
    </row>
    <row r="30" spans="1:21" x14ac:dyDescent="0.25">
      <c r="H30" s="23"/>
      <c r="N30"/>
      <c r="O30"/>
      <c r="R30" s="35"/>
      <c r="S30" s="35"/>
      <c r="T30" s="35"/>
      <c r="U30" s="36"/>
    </row>
    <row r="31" spans="1:21" x14ac:dyDescent="0.25">
      <c r="N31"/>
      <c r="O31"/>
      <c r="R31" s="35"/>
      <c r="S31" s="35"/>
      <c r="T31" s="35"/>
      <c r="U31" s="36"/>
    </row>
    <row r="32" spans="1:21" x14ac:dyDescent="0.25">
      <c r="N32"/>
      <c r="O32"/>
      <c r="R32" s="35"/>
      <c r="S32" s="35"/>
      <c r="T32" s="35"/>
      <c r="U32" s="36"/>
    </row>
    <row r="33" spans="14:21" x14ac:dyDescent="0.25">
      <c r="N33"/>
      <c r="O33"/>
      <c r="R33" s="35"/>
      <c r="S33" s="35"/>
      <c r="T33" s="35"/>
      <c r="U33" s="36"/>
    </row>
    <row r="34" spans="14:21" x14ac:dyDescent="0.25">
      <c r="N34"/>
      <c r="O34"/>
      <c r="R34" s="35"/>
      <c r="S34" s="35"/>
      <c r="T34" s="35"/>
      <c r="U34" s="36"/>
    </row>
    <row r="35" spans="14:21" x14ac:dyDescent="0.25">
      <c r="N35"/>
      <c r="O35"/>
      <c r="R35" s="35"/>
      <c r="S35" s="35"/>
      <c r="T35" s="35"/>
      <c r="U35" s="36"/>
    </row>
    <row r="36" spans="14:21" x14ac:dyDescent="0.25">
      <c r="N36"/>
      <c r="O36"/>
      <c r="R36" s="35"/>
      <c r="S36" s="35"/>
      <c r="T36" s="35"/>
      <c r="U36" s="36"/>
    </row>
    <row r="37" spans="14:21" x14ac:dyDescent="0.25">
      <c r="N37"/>
      <c r="O37"/>
      <c r="R37" s="35"/>
      <c r="S37" s="35"/>
      <c r="T37" s="35"/>
      <c r="U37" s="36"/>
    </row>
    <row r="38" spans="14:21" x14ac:dyDescent="0.25">
      <c r="N38"/>
      <c r="O38"/>
      <c r="R38" s="35"/>
      <c r="S38" s="35"/>
      <c r="T38" s="35"/>
      <c r="U38" s="36"/>
    </row>
    <row r="39" spans="14:21" x14ac:dyDescent="0.25">
      <c r="N39"/>
      <c r="O39"/>
      <c r="R39" s="35"/>
      <c r="S39" s="35"/>
      <c r="T39" s="35"/>
      <c r="U39" s="36"/>
    </row>
    <row r="40" spans="14:21" x14ac:dyDescent="0.25">
      <c r="N40"/>
      <c r="O40"/>
      <c r="R40" s="35"/>
      <c r="S40" s="35"/>
      <c r="T40" s="35"/>
      <c r="U40" s="36"/>
    </row>
    <row r="41" spans="14:21" x14ac:dyDescent="0.25">
      <c r="N41"/>
      <c r="O41"/>
      <c r="R41" s="35"/>
      <c r="S41" s="35"/>
      <c r="T41" s="35"/>
      <c r="U41" s="36"/>
    </row>
    <row r="42" spans="14:21" x14ac:dyDescent="0.25">
      <c r="N42"/>
      <c r="O42"/>
      <c r="R42" s="35"/>
      <c r="S42" s="35"/>
      <c r="T42" s="35"/>
      <c r="U42" s="36"/>
    </row>
    <row r="43" spans="14:21" x14ac:dyDescent="0.25">
      <c r="N43"/>
      <c r="O43"/>
      <c r="R43" s="35"/>
      <c r="S43" s="35"/>
      <c r="T43" s="35"/>
      <c r="U43" s="36"/>
    </row>
    <row r="44" spans="14:21" x14ac:dyDescent="0.25">
      <c r="N44"/>
      <c r="O44"/>
      <c r="R44" s="35"/>
      <c r="S44" s="35"/>
      <c r="T44" s="35"/>
      <c r="U44" s="36"/>
    </row>
    <row r="45" spans="14:21" x14ac:dyDescent="0.25">
      <c r="N45"/>
      <c r="O45"/>
      <c r="R45" s="35"/>
      <c r="S45" s="35"/>
      <c r="T45" s="35"/>
      <c r="U45" s="36"/>
    </row>
    <row r="46" spans="14:21" x14ac:dyDescent="0.25">
      <c r="N46"/>
      <c r="O46"/>
      <c r="R46" s="35"/>
      <c r="S46" s="35"/>
      <c r="T46" s="35"/>
      <c r="U46" s="36"/>
    </row>
    <row r="47" spans="14:21" x14ac:dyDescent="0.25">
      <c r="N47"/>
      <c r="O47"/>
      <c r="R47" s="35"/>
      <c r="S47" s="35"/>
      <c r="T47" s="35"/>
      <c r="U47" s="36"/>
    </row>
    <row r="48" spans="14:21" x14ac:dyDescent="0.25">
      <c r="N48"/>
      <c r="O48"/>
      <c r="R48" s="35"/>
      <c r="S48" s="35"/>
      <c r="T48" s="35"/>
      <c r="U48" s="36"/>
    </row>
    <row r="49" spans="14:21" x14ac:dyDescent="0.25">
      <c r="N49"/>
      <c r="O49"/>
      <c r="R49" s="35"/>
      <c r="S49" s="35"/>
      <c r="T49" s="35"/>
      <c r="U49" s="36"/>
    </row>
    <row r="50" spans="14:21" x14ac:dyDescent="0.25">
      <c r="R50" s="35"/>
      <c r="S50" s="35"/>
      <c r="T50" s="35"/>
      <c r="U50" s="36"/>
    </row>
    <row r="51" spans="14:21" x14ac:dyDescent="0.25">
      <c r="R51" s="35"/>
      <c r="S51" s="35"/>
      <c r="T51" s="35"/>
      <c r="U51" s="36"/>
    </row>
    <row r="52" spans="14:21" x14ac:dyDescent="0.25">
      <c r="R52" s="35"/>
      <c r="S52" s="35"/>
      <c r="T52" s="35"/>
      <c r="U52" s="36"/>
    </row>
    <row r="53" spans="14:21" x14ac:dyDescent="0.25">
      <c r="R53" s="35"/>
      <c r="S53" s="35"/>
      <c r="T53" s="35"/>
      <c r="U53" s="36"/>
    </row>
    <row r="54" spans="14:21" x14ac:dyDescent="0.25">
      <c r="R54" s="35"/>
      <c r="S54" s="35"/>
      <c r="T54" s="35"/>
      <c r="U54" s="36"/>
    </row>
    <row r="55" spans="14:21" x14ac:dyDescent="0.25">
      <c r="R55" s="35"/>
      <c r="S55" s="35"/>
      <c r="T55" s="35"/>
      <c r="U55" s="36"/>
    </row>
    <row r="56" spans="14:21" x14ac:dyDescent="0.25">
      <c r="R56" s="35"/>
      <c r="S56" s="35"/>
      <c r="T56" s="35"/>
      <c r="U56" s="36"/>
    </row>
    <row r="57" spans="14:21" x14ac:dyDescent="0.25">
      <c r="R57" s="35"/>
      <c r="S57" s="35"/>
      <c r="T57" s="35"/>
      <c r="U57" s="36"/>
    </row>
    <row r="58" spans="14:21" x14ac:dyDescent="0.25">
      <c r="R58" s="35"/>
      <c r="S58" s="35"/>
      <c r="T58" s="35"/>
      <c r="U58" s="36"/>
    </row>
    <row r="59" spans="14:21" x14ac:dyDescent="0.25">
      <c r="R59" s="35"/>
      <c r="S59" s="35"/>
      <c r="T59" s="35"/>
      <c r="U59" s="36"/>
    </row>
    <row r="60" spans="14:21" x14ac:dyDescent="0.25">
      <c r="R60" s="35"/>
      <c r="S60" s="35"/>
      <c r="T60" s="35"/>
      <c r="U60" s="36"/>
    </row>
    <row r="61" spans="14:21" x14ac:dyDescent="0.25">
      <c r="R61" s="35"/>
      <c r="S61" s="35"/>
      <c r="T61" s="35"/>
      <c r="U61" s="36"/>
    </row>
    <row r="62" spans="14:21" x14ac:dyDescent="0.25">
      <c r="R62" s="35"/>
      <c r="S62" s="35"/>
      <c r="T62" s="35"/>
      <c r="U62" s="36"/>
    </row>
    <row r="63" spans="14:21" x14ac:dyDescent="0.25">
      <c r="R63" s="35"/>
      <c r="S63" s="35"/>
      <c r="T63" s="35"/>
      <c r="U63" s="36"/>
    </row>
    <row r="64" spans="14:21" x14ac:dyDescent="0.25">
      <c r="R64" s="35"/>
      <c r="S64" s="35"/>
      <c r="T64" s="35"/>
      <c r="U64" s="36"/>
    </row>
    <row r="65" spans="18:21" x14ac:dyDescent="0.25">
      <c r="R65" s="35"/>
      <c r="S65" s="35"/>
      <c r="T65" s="35"/>
      <c r="U65" s="36"/>
    </row>
    <row r="66" spans="18:21" x14ac:dyDescent="0.25">
      <c r="R66" s="35"/>
      <c r="S66" s="35"/>
      <c r="T66" s="35"/>
      <c r="U66" s="36"/>
    </row>
    <row r="67" spans="18:21" x14ac:dyDescent="0.25">
      <c r="R67" s="35"/>
      <c r="S67" s="35"/>
      <c r="T67" s="35"/>
      <c r="U67" s="36"/>
    </row>
    <row r="68" spans="18:21" x14ac:dyDescent="0.25">
      <c r="R68" s="35"/>
      <c r="S68" s="35"/>
      <c r="T68" s="35"/>
      <c r="U68" s="36"/>
    </row>
    <row r="69" spans="18:21" x14ac:dyDescent="0.25">
      <c r="R69" s="35"/>
      <c r="S69" s="35"/>
      <c r="T69" s="35"/>
      <c r="U69" s="36"/>
    </row>
    <row r="70" spans="18:21" x14ac:dyDescent="0.25">
      <c r="R70" s="35"/>
      <c r="S70" s="35"/>
      <c r="T70" s="35"/>
      <c r="U70" s="36"/>
    </row>
    <row r="71" spans="18:21" x14ac:dyDescent="0.25">
      <c r="R71" s="35"/>
      <c r="S71" s="35"/>
      <c r="T71" s="35"/>
      <c r="U71" s="36"/>
    </row>
    <row r="72" spans="18:21" x14ac:dyDescent="0.25">
      <c r="R72" s="35"/>
      <c r="S72" s="35"/>
      <c r="T72" s="35"/>
      <c r="U72" s="36"/>
    </row>
    <row r="73" spans="18:21" x14ac:dyDescent="0.25">
      <c r="R73" s="35"/>
      <c r="S73" s="35"/>
      <c r="T73" s="35"/>
      <c r="U73" s="36"/>
    </row>
    <row r="74" spans="18:21" x14ac:dyDescent="0.25">
      <c r="R74" s="35"/>
      <c r="S74" s="35"/>
      <c r="T74" s="35"/>
      <c r="U74" s="36"/>
    </row>
    <row r="75" spans="18:21" x14ac:dyDescent="0.25">
      <c r="R75" s="35"/>
      <c r="S75" s="35"/>
      <c r="T75" s="35"/>
      <c r="U75" s="36"/>
    </row>
    <row r="76" spans="18:21" x14ac:dyDescent="0.25">
      <c r="R76" s="35"/>
      <c r="S76" s="35"/>
      <c r="T76" s="35"/>
      <c r="U76" s="36"/>
    </row>
    <row r="77" spans="18:21" x14ac:dyDescent="0.25">
      <c r="R77" s="35"/>
      <c r="S77" s="35"/>
      <c r="T77" s="35"/>
      <c r="U77" s="36"/>
    </row>
    <row r="78" spans="18:21" x14ac:dyDescent="0.25">
      <c r="R78" s="35"/>
      <c r="S78" s="35"/>
      <c r="T78" s="35"/>
      <c r="U78" s="36"/>
    </row>
    <row r="79" spans="18:21" x14ac:dyDescent="0.25">
      <c r="R79" s="35"/>
      <c r="S79" s="35"/>
      <c r="T79" s="35"/>
      <c r="U79" s="36"/>
    </row>
    <row r="80" spans="18:21" x14ac:dyDescent="0.25">
      <c r="R80" s="35"/>
      <c r="S80" s="35"/>
      <c r="T80" s="35"/>
      <c r="U80" s="36"/>
    </row>
    <row r="81" spans="18:21" x14ac:dyDescent="0.25">
      <c r="R81" s="35"/>
      <c r="S81" s="35"/>
      <c r="T81" s="35"/>
      <c r="U81" s="36"/>
    </row>
    <row r="82" spans="18:21" x14ac:dyDescent="0.25">
      <c r="R82" s="35"/>
      <c r="S82" s="35"/>
      <c r="T82" s="35"/>
      <c r="U82" s="36"/>
    </row>
    <row r="83" spans="18:21" x14ac:dyDescent="0.25">
      <c r="R83" s="35"/>
      <c r="S83" s="35"/>
      <c r="T83" s="35"/>
      <c r="U83" s="36"/>
    </row>
    <row r="84" spans="18:21" x14ac:dyDescent="0.25">
      <c r="R84" s="35"/>
      <c r="S84" s="35"/>
      <c r="T84" s="35"/>
      <c r="U84" s="36"/>
    </row>
    <row r="85" spans="18:21" x14ac:dyDescent="0.25">
      <c r="R85" s="35"/>
      <c r="S85" s="35"/>
      <c r="T85" s="35"/>
      <c r="U85" s="36"/>
    </row>
    <row r="86" spans="18:21" x14ac:dyDescent="0.25">
      <c r="R86" s="35"/>
      <c r="S86" s="35"/>
      <c r="T86" s="35"/>
      <c r="U86" s="36"/>
    </row>
    <row r="87" spans="18:21" x14ac:dyDescent="0.25">
      <c r="R87" s="35"/>
      <c r="S87" s="35"/>
      <c r="T87" s="35"/>
      <c r="U87" s="36"/>
    </row>
    <row r="88" spans="18:21" x14ac:dyDescent="0.25">
      <c r="R88" s="35"/>
      <c r="S88" s="35"/>
      <c r="T88" s="35"/>
      <c r="U88" s="36"/>
    </row>
    <row r="89" spans="18:21" x14ac:dyDescent="0.25">
      <c r="R89" s="35"/>
      <c r="S89" s="35"/>
      <c r="T89" s="35"/>
      <c r="U89" s="36"/>
    </row>
    <row r="90" spans="18:21" x14ac:dyDescent="0.25">
      <c r="R90" s="35"/>
      <c r="S90" s="35"/>
      <c r="T90" s="35"/>
      <c r="U90" s="36"/>
    </row>
    <row r="91" spans="18:21" x14ac:dyDescent="0.25">
      <c r="R91" s="35"/>
      <c r="S91" s="35"/>
      <c r="T91" s="35"/>
      <c r="U91" s="36"/>
    </row>
    <row r="92" spans="18:21" x14ac:dyDescent="0.25">
      <c r="R92" s="35"/>
      <c r="S92" s="35"/>
      <c r="T92" s="35"/>
      <c r="U92" s="36"/>
    </row>
    <row r="93" spans="18:21" x14ac:dyDescent="0.25">
      <c r="R93" s="35"/>
      <c r="S93" s="35"/>
      <c r="T93" s="35"/>
      <c r="U93" s="36"/>
    </row>
    <row r="94" spans="18:21" x14ac:dyDescent="0.25">
      <c r="R94" s="35"/>
      <c r="S94" s="35"/>
      <c r="T94" s="35"/>
      <c r="U94" s="36"/>
    </row>
    <row r="95" spans="18:21" x14ac:dyDescent="0.25">
      <c r="R95" s="35"/>
      <c r="S95" s="35"/>
      <c r="T95" s="35"/>
      <c r="U95" s="36"/>
    </row>
    <row r="96" spans="18:21" x14ac:dyDescent="0.25">
      <c r="R96" s="35"/>
      <c r="S96" s="35"/>
      <c r="T96" s="35"/>
      <c r="U96" s="36"/>
    </row>
    <row r="97" spans="18:21" x14ac:dyDescent="0.25">
      <c r="R97" s="35"/>
      <c r="S97" s="35"/>
      <c r="T97" s="35"/>
      <c r="U97" s="36"/>
    </row>
    <row r="98" spans="18:21" x14ac:dyDescent="0.25">
      <c r="R98" s="35"/>
      <c r="S98" s="35"/>
      <c r="T98" s="35"/>
      <c r="U98" s="36"/>
    </row>
    <row r="99" spans="18:21" x14ac:dyDescent="0.25">
      <c r="R99" s="35"/>
      <c r="S99" s="35"/>
      <c r="T99" s="35"/>
      <c r="U99" s="36"/>
    </row>
    <row r="100" spans="18:21" x14ac:dyDescent="0.25">
      <c r="R100" s="35"/>
      <c r="S100" s="35"/>
      <c r="T100" s="35"/>
      <c r="U100" s="36"/>
    </row>
    <row r="101" spans="18:21" x14ac:dyDescent="0.25">
      <c r="R101" s="35"/>
      <c r="S101" s="35"/>
      <c r="T101" s="35"/>
      <c r="U101" s="36"/>
    </row>
    <row r="102" spans="18:21" x14ac:dyDescent="0.25">
      <c r="R102" s="35"/>
      <c r="S102" s="35"/>
      <c r="T102" s="35"/>
      <c r="U102" s="36"/>
    </row>
    <row r="103" spans="18:21" x14ac:dyDescent="0.25">
      <c r="R103" s="35"/>
      <c r="S103" s="35"/>
      <c r="T103" s="35"/>
      <c r="U103" s="36"/>
    </row>
    <row r="104" spans="18:21" x14ac:dyDescent="0.25">
      <c r="R104" s="35"/>
      <c r="S104" s="35"/>
      <c r="T104" s="35"/>
      <c r="U104" s="36"/>
    </row>
    <row r="105" spans="18:21" x14ac:dyDescent="0.25">
      <c r="R105" s="35"/>
      <c r="S105" s="35"/>
      <c r="T105" s="35"/>
      <c r="U105" s="36"/>
    </row>
    <row r="106" spans="18:21" x14ac:dyDescent="0.25">
      <c r="R106" s="35"/>
      <c r="S106" s="35"/>
      <c r="T106" s="35"/>
      <c r="U106" s="36"/>
    </row>
    <row r="107" spans="18:21" x14ac:dyDescent="0.25">
      <c r="R107" s="35"/>
      <c r="S107" s="35"/>
      <c r="T107" s="35"/>
      <c r="U107" s="36"/>
    </row>
    <row r="108" spans="18:21" x14ac:dyDescent="0.25">
      <c r="R108" s="35"/>
      <c r="S108" s="35"/>
      <c r="T108" s="35"/>
      <c r="U108" s="36"/>
    </row>
    <row r="109" spans="18:21" x14ac:dyDescent="0.25">
      <c r="R109" s="35"/>
      <c r="S109" s="35"/>
      <c r="T109" s="35"/>
      <c r="U109" s="36"/>
    </row>
    <row r="110" spans="18:21" x14ac:dyDescent="0.25">
      <c r="R110" s="35"/>
      <c r="S110" s="35"/>
      <c r="T110" s="35"/>
      <c r="U110" s="36"/>
    </row>
    <row r="111" spans="18:21" x14ac:dyDescent="0.25">
      <c r="R111" s="35"/>
      <c r="S111" s="35"/>
      <c r="T111" s="35"/>
      <c r="U111" s="36"/>
    </row>
    <row r="112" spans="18:21" x14ac:dyDescent="0.25">
      <c r="R112" s="35"/>
      <c r="S112" s="35"/>
      <c r="T112" s="35"/>
      <c r="U112" s="36"/>
    </row>
    <row r="113" spans="18:21" x14ac:dyDescent="0.25">
      <c r="R113" s="35"/>
      <c r="S113" s="35"/>
      <c r="T113" s="35"/>
      <c r="U113" s="36"/>
    </row>
    <row r="114" spans="18:21" x14ac:dyDescent="0.25">
      <c r="R114" s="35"/>
      <c r="S114" s="35"/>
      <c r="T114" s="35"/>
      <c r="U114" s="36"/>
    </row>
    <row r="115" spans="18:21" x14ac:dyDescent="0.25">
      <c r="R115" s="35"/>
      <c r="S115" s="35"/>
      <c r="T115" s="35"/>
      <c r="U115" s="36"/>
    </row>
    <row r="116" spans="18:21" x14ac:dyDescent="0.25">
      <c r="R116" s="35"/>
      <c r="S116" s="35"/>
      <c r="T116" s="35"/>
      <c r="U116" s="36"/>
    </row>
    <row r="117" spans="18:21" x14ac:dyDescent="0.25">
      <c r="R117" s="35"/>
      <c r="S117" s="35"/>
      <c r="T117" s="35"/>
      <c r="U117" s="36"/>
    </row>
    <row r="118" spans="18:21" x14ac:dyDescent="0.25">
      <c r="R118" s="35"/>
      <c r="S118" s="35"/>
      <c r="T118" s="35"/>
      <c r="U118" s="36"/>
    </row>
    <row r="119" spans="18:21" x14ac:dyDescent="0.25">
      <c r="R119" s="35"/>
      <c r="S119" s="35"/>
      <c r="T119" s="35"/>
      <c r="U119" s="36"/>
    </row>
    <row r="120" spans="18:21" x14ac:dyDescent="0.25">
      <c r="R120" s="35"/>
      <c r="S120" s="35"/>
      <c r="T120" s="35"/>
      <c r="U120" s="36"/>
    </row>
    <row r="121" spans="18:21" x14ac:dyDescent="0.25">
      <c r="R121" s="35"/>
      <c r="S121" s="35"/>
      <c r="T121" s="35"/>
      <c r="U121" s="36"/>
    </row>
    <row r="122" spans="18:21" x14ac:dyDescent="0.25">
      <c r="R122" s="35"/>
      <c r="S122" s="35"/>
      <c r="T122" s="35"/>
      <c r="U122" s="36"/>
    </row>
    <row r="123" spans="18:21" x14ac:dyDescent="0.25">
      <c r="R123" s="35"/>
      <c r="S123" s="35"/>
      <c r="T123" s="35"/>
      <c r="U123" s="36"/>
    </row>
    <row r="124" spans="18:21" x14ac:dyDescent="0.25">
      <c r="R124" s="35"/>
      <c r="S124" s="35"/>
      <c r="T124" s="35"/>
      <c r="U124" s="36"/>
    </row>
    <row r="125" spans="18:21" x14ac:dyDescent="0.25">
      <c r="R125" s="35"/>
      <c r="S125" s="35"/>
      <c r="T125" s="35"/>
      <c r="U125" s="36"/>
    </row>
    <row r="126" spans="18:21" x14ac:dyDescent="0.25">
      <c r="R126" s="35"/>
      <c r="S126" s="35"/>
      <c r="T126" s="35"/>
      <c r="U126" s="36"/>
    </row>
    <row r="127" spans="18:21" x14ac:dyDescent="0.25">
      <c r="R127" s="35"/>
      <c r="S127" s="35"/>
      <c r="T127" s="35"/>
      <c r="U127" s="36"/>
    </row>
    <row r="128" spans="18:21" x14ac:dyDescent="0.25">
      <c r="R128" s="35"/>
      <c r="S128" s="35"/>
      <c r="T128" s="35"/>
      <c r="U128" s="36"/>
    </row>
    <row r="129" spans="18:21" x14ac:dyDescent="0.25">
      <c r="R129" s="35"/>
      <c r="S129" s="35"/>
      <c r="T129" s="35"/>
      <c r="U129" s="36"/>
    </row>
    <row r="130" spans="18:21" x14ac:dyDescent="0.25">
      <c r="R130" s="35"/>
      <c r="S130" s="35"/>
      <c r="T130" s="35"/>
      <c r="U130" s="36"/>
    </row>
    <row r="131" spans="18:21" x14ac:dyDescent="0.25">
      <c r="R131" s="35"/>
      <c r="S131" s="35"/>
      <c r="T131" s="35"/>
      <c r="U131" s="36"/>
    </row>
    <row r="132" spans="18:21" x14ac:dyDescent="0.25">
      <c r="R132" s="35"/>
      <c r="S132" s="35"/>
      <c r="T132" s="36"/>
      <c r="U132" s="36"/>
    </row>
    <row r="133" spans="18:21" x14ac:dyDescent="0.25">
      <c r="R133" s="35"/>
      <c r="S133" s="35"/>
      <c r="T133" s="36"/>
      <c r="U133" s="36"/>
    </row>
    <row r="134" spans="18:21" x14ac:dyDescent="0.25">
      <c r="R134" s="35"/>
      <c r="S134" s="35"/>
      <c r="T134" s="36"/>
      <c r="U134" s="36"/>
    </row>
    <row r="135" spans="18:21" x14ac:dyDescent="0.25">
      <c r="R135" s="35"/>
      <c r="S135" s="35"/>
      <c r="T135" s="36"/>
      <c r="U135" s="36"/>
    </row>
    <row r="136" spans="18:21" x14ac:dyDescent="0.25">
      <c r="R136" s="35"/>
      <c r="S136" s="35"/>
      <c r="T136" s="36"/>
      <c r="U136" s="36"/>
    </row>
    <row r="137" spans="18:21" x14ac:dyDescent="0.25">
      <c r="R137" s="35"/>
      <c r="S137" s="35"/>
      <c r="T137" s="36"/>
      <c r="U137" s="36"/>
    </row>
    <row r="138" spans="18:21" x14ac:dyDescent="0.25">
      <c r="R138" s="35"/>
      <c r="S138" s="35"/>
      <c r="T138" s="36"/>
      <c r="U138" s="36"/>
    </row>
    <row r="139" spans="18:21" x14ac:dyDescent="0.25">
      <c r="R139" s="35"/>
      <c r="S139" s="35"/>
      <c r="T139" s="36"/>
      <c r="U139" s="36"/>
    </row>
    <row r="140" spans="18:21" x14ac:dyDescent="0.25">
      <c r="R140" s="35"/>
      <c r="S140" s="35"/>
      <c r="T140" s="36"/>
      <c r="U140" s="36"/>
    </row>
    <row r="141" spans="18:21" x14ac:dyDescent="0.25">
      <c r="R141" s="35"/>
      <c r="S141" s="35"/>
      <c r="T141" s="36"/>
      <c r="U141" s="36"/>
    </row>
    <row r="142" spans="18:21" x14ac:dyDescent="0.25">
      <c r="R142" s="35"/>
      <c r="S142" s="35"/>
      <c r="T142" s="36"/>
      <c r="U142" s="36"/>
    </row>
    <row r="143" spans="18:21" x14ac:dyDescent="0.25">
      <c r="R143" s="35"/>
      <c r="S143" s="35"/>
      <c r="T143" s="36"/>
      <c r="U143" s="36"/>
    </row>
    <row r="144" spans="18:21" x14ac:dyDescent="0.25">
      <c r="R144" s="35"/>
      <c r="S144" s="35"/>
      <c r="T144" s="36"/>
      <c r="U144" s="36"/>
    </row>
    <row r="145" spans="18:21" x14ac:dyDescent="0.25">
      <c r="R145" s="35"/>
      <c r="S145" s="35"/>
      <c r="T145" s="36"/>
      <c r="U145" s="36"/>
    </row>
    <row r="146" spans="18:21" x14ac:dyDescent="0.25">
      <c r="R146" s="35"/>
      <c r="S146" s="35"/>
      <c r="T146" s="36"/>
      <c r="U146" s="36"/>
    </row>
    <row r="147" spans="18:21" x14ac:dyDescent="0.25">
      <c r="R147" s="35"/>
      <c r="S147" s="35"/>
      <c r="T147" s="36"/>
      <c r="U147" s="36"/>
    </row>
    <row r="148" spans="18:21" x14ac:dyDescent="0.25">
      <c r="R148" s="35"/>
      <c r="S148" s="35"/>
      <c r="T148" s="36"/>
      <c r="U148" s="36"/>
    </row>
    <row r="149" spans="18:21" x14ac:dyDescent="0.25">
      <c r="R149" s="35"/>
      <c r="S149" s="35"/>
      <c r="T149" s="36"/>
      <c r="U149" s="36"/>
    </row>
    <row r="150" spans="18:21" x14ac:dyDescent="0.25">
      <c r="R150" s="35"/>
      <c r="S150" s="35"/>
      <c r="T150" s="36"/>
      <c r="U150" s="36"/>
    </row>
    <row r="151" spans="18:21" x14ac:dyDescent="0.25">
      <c r="R151" s="35"/>
      <c r="S151" s="35"/>
      <c r="T151" s="36"/>
      <c r="U151" s="36"/>
    </row>
    <row r="152" spans="18:21" x14ac:dyDescent="0.25">
      <c r="R152" s="35"/>
      <c r="S152" s="35"/>
      <c r="T152" s="36"/>
      <c r="U152" s="36"/>
    </row>
    <row r="153" spans="18:21" x14ac:dyDescent="0.25">
      <c r="R153" s="35"/>
      <c r="S153" s="35"/>
      <c r="T153" s="36"/>
      <c r="U153" s="36"/>
    </row>
    <row r="154" spans="18:21" x14ac:dyDescent="0.25">
      <c r="R154" s="35"/>
      <c r="S154" s="35"/>
      <c r="T154" s="36"/>
      <c r="U154" s="36"/>
    </row>
    <row r="155" spans="18:21" x14ac:dyDescent="0.25">
      <c r="R155" s="35"/>
      <c r="S155" s="35"/>
      <c r="T155" s="36"/>
      <c r="U155" s="36"/>
    </row>
    <row r="156" spans="18:21" x14ac:dyDescent="0.25">
      <c r="R156" s="35"/>
      <c r="S156" s="35"/>
      <c r="T156" s="36"/>
      <c r="U156" s="36"/>
    </row>
    <row r="157" spans="18:21" x14ac:dyDescent="0.25">
      <c r="R157" s="35"/>
      <c r="S157" s="35"/>
      <c r="T157" s="36"/>
      <c r="U157" s="36"/>
    </row>
    <row r="158" spans="18:21" x14ac:dyDescent="0.25">
      <c r="R158" s="35"/>
      <c r="S158" s="35"/>
      <c r="T158" s="36"/>
      <c r="U158" s="36"/>
    </row>
    <row r="159" spans="18:21" x14ac:dyDescent="0.25">
      <c r="R159" s="35"/>
      <c r="S159" s="35"/>
      <c r="T159" s="36"/>
      <c r="U159" s="36"/>
    </row>
    <row r="160" spans="18:21" x14ac:dyDescent="0.25">
      <c r="R160" s="35"/>
      <c r="S160" s="35"/>
      <c r="T160" s="36"/>
      <c r="U160" s="36"/>
    </row>
    <row r="161" spans="18:21" x14ac:dyDescent="0.25">
      <c r="R161" s="35"/>
      <c r="S161" s="35"/>
      <c r="T161" s="36"/>
      <c r="U161" s="36"/>
    </row>
    <row r="162" spans="18:21" x14ac:dyDescent="0.25">
      <c r="R162" s="36"/>
      <c r="S162" s="36"/>
      <c r="T162" s="36"/>
      <c r="U162" s="36"/>
    </row>
    <row r="163" spans="18:21" x14ac:dyDescent="0.25">
      <c r="R163" s="36"/>
      <c r="S163" s="36"/>
      <c r="T163" s="36"/>
      <c r="U163" s="36"/>
    </row>
    <row r="164" spans="18:21" x14ac:dyDescent="0.25">
      <c r="R164" s="36"/>
      <c r="S164" s="36"/>
      <c r="T164" s="36"/>
      <c r="U164" s="36"/>
    </row>
    <row r="165" spans="18:21" x14ac:dyDescent="0.25">
      <c r="R165" s="36"/>
      <c r="S165" s="36"/>
      <c r="T165" s="36"/>
      <c r="U165" s="36"/>
    </row>
    <row r="166" spans="18:21" x14ac:dyDescent="0.25">
      <c r="R166" s="36"/>
      <c r="S166" s="36"/>
      <c r="T166" s="36"/>
      <c r="U166" s="36"/>
    </row>
    <row r="167" spans="18:21" x14ac:dyDescent="0.25">
      <c r="R167" s="36"/>
      <c r="S167" s="36"/>
      <c r="T167" s="36"/>
      <c r="U167" s="36"/>
    </row>
    <row r="168" spans="18:21" x14ac:dyDescent="0.25">
      <c r="R168" s="36"/>
      <c r="S168" s="36"/>
      <c r="T168" s="36"/>
      <c r="U168" s="36"/>
    </row>
    <row r="169" spans="18:21" x14ac:dyDescent="0.25">
      <c r="R169" s="36"/>
      <c r="S169" s="36"/>
      <c r="T169" s="36"/>
      <c r="U169" s="36"/>
    </row>
    <row r="170" spans="18:21" x14ac:dyDescent="0.25">
      <c r="R170" s="36"/>
      <c r="S170" s="36"/>
      <c r="T170" s="36"/>
      <c r="U170" s="36"/>
    </row>
    <row r="171" spans="18:21" x14ac:dyDescent="0.25">
      <c r="R171" s="36"/>
      <c r="S171" s="36"/>
      <c r="T171" s="36"/>
      <c r="U171" s="36"/>
    </row>
    <row r="172" spans="18:21" x14ac:dyDescent="0.25">
      <c r="R172" s="36"/>
      <c r="S172" s="36"/>
      <c r="T172" s="36"/>
      <c r="U172" s="36"/>
    </row>
    <row r="173" spans="18:21" x14ac:dyDescent="0.25">
      <c r="R173" s="36"/>
      <c r="S173" s="36"/>
      <c r="T173" s="36"/>
      <c r="U173" s="36"/>
    </row>
    <row r="174" spans="18:21" x14ac:dyDescent="0.25">
      <c r="R174" s="36"/>
      <c r="S174" s="36"/>
      <c r="T174" s="36"/>
      <c r="U174" s="36"/>
    </row>
    <row r="175" spans="18:21" x14ac:dyDescent="0.25">
      <c r="R175" s="36"/>
      <c r="S175" s="36"/>
      <c r="T175" s="36"/>
      <c r="U175" s="36"/>
    </row>
    <row r="176" spans="18:21" x14ac:dyDescent="0.25">
      <c r="R176" s="36"/>
      <c r="S176" s="36"/>
      <c r="T176" s="36"/>
      <c r="U176" s="36"/>
    </row>
    <row r="177" spans="18:21" x14ac:dyDescent="0.25">
      <c r="R177" s="36"/>
      <c r="S177" s="36"/>
      <c r="T177" s="36"/>
      <c r="U177" s="36"/>
    </row>
    <row r="178" spans="18:21" x14ac:dyDescent="0.25">
      <c r="R178" s="36"/>
      <c r="S178" s="36"/>
      <c r="T178" s="36"/>
      <c r="U178" s="36"/>
    </row>
    <row r="179" spans="18:21" x14ac:dyDescent="0.25">
      <c r="R179" s="36"/>
      <c r="S179" s="36"/>
      <c r="T179" s="36"/>
      <c r="U179" s="36"/>
    </row>
    <row r="180" spans="18:21" x14ac:dyDescent="0.25">
      <c r="R180" s="36"/>
      <c r="S180" s="36"/>
      <c r="T180" s="36"/>
      <c r="U180" s="36"/>
    </row>
    <row r="181" spans="18:21" x14ac:dyDescent="0.25">
      <c r="R181" s="36"/>
      <c r="S181" s="36"/>
      <c r="T181" s="36"/>
      <c r="U181" s="36"/>
    </row>
    <row r="182" spans="18:21" x14ac:dyDescent="0.25">
      <c r="R182" s="36"/>
      <c r="S182" s="36"/>
      <c r="T182" s="36"/>
      <c r="U182" s="36"/>
    </row>
    <row r="183" spans="18:21" x14ac:dyDescent="0.25">
      <c r="R183" s="36"/>
      <c r="S183" s="36"/>
      <c r="T183" s="36"/>
      <c r="U183" s="36"/>
    </row>
    <row r="184" spans="18:21" x14ac:dyDescent="0.25">
      <c r="R184" s="36"/>
      <c r="S184" s="36"/>
      <c r="T184" s="36"/>
      <c r="U184" s="36"/>
    </row>
    <row r="185" spans="18:21" x14ac:dyDescent="0.25">
      <c r="R185" s="36"/>
      <c r="S185" s="36"/>
      <c r="T185" s="36"/>
      <c r="U185" s="36"/>
    </row>
    <row r="186" spans="18:21" x14ac:dyDescent="0.25">
      <c r="R186" s="36"/>
      <c r="S186" s="36"/>
      <c r="T186" s="36"/>
      <c r="U186" s="36"/>
    </row>
    <row r="187" spans="18:21" x14ac:dyDescent="0.25">
      <c r="R187" s="36"/>
      <c r="S187" s="36"/>
      <c r="T187" s="36"/>
      <c r="U187" s="36"/>
    </row>
    <row r="188" spans="18:21" x14ac:dyDescent="0.25">
      <c r="R188" s="36"/>
      <c r="S188" s="36"/>
      <c r="T188" s="36"/>
      <c r="U188" s="36"/>
    </row>
    <row r="189" spans="18:21" x14ac:dyDescent="0.25">
      <c r="R189" s="36"/>
      <c r="S189" s="36"/>
      <c r="T189" s="36"/>
      <c r="U189" s="36"/>
    </row>
    <row r="190" spans="18:21" x14ac:dyDescent="0.25">
      <c r="R190" s="36"/>
      <c r="S190" s="36"/>
      <c r="T190" s="36"/>
      <c r="U190" s="36"/>
    </row>
    <row r="191" spans="18:21" x14ac:dyDescent="0.25">
      <c r="R191" s="36"/>
      <c r="S191" s="36"/>
      <c r="T191" s="36"/>
      <c r="U191" s="36"/>
    </row>
    <row r="192" spans="18:21" x14ac:dyDescent="0.25">
      <c r="R192" s="36"/>
      <c r="S192" s="36"/>
      <c r="T192" s="36"/>
      <c r="U192" s="36"/>
    </row>
    <row r="193" spans="18:21" x14ac:dyDescent="0.25">
      <c r="R193" s="36"/>
      <c r="S193" s="36"/>
      <c r="T193" s="36"/>
      <c r="U193" s="36"/>
    </row>
    <row r="194" spans="18:21" x14ac:dyDescent="0.25">
      <c r="R194" s="36"/>
      <c r="S194" s="36"/>
      <c r="T194" s="36"/>
      <c r="U194" s="36"/>
    </row>
    <row r="195" spans="18:21" x14ac:dyDescent="0.25">
      <c r="R195" s="36"/>
      <c r="S195" s="36"/>
      <c r="T195" s="36"/>
      <c r="U195" s="36"/>
    </row>
    <row r="196" spans="18:21" x14ac:dyDescent="0.25">
      <c r="R196" s="36"/>
      <c r="S196" s="36"/>
      <c r="T196" s="36"/>
      <c r="U196" s="36"/>
    </row>
    <row r="197" spans="18:21" x14ac:dyDescent="0.25">
      <c r="R197" s="36"/>
      <c r="S197" s="36"/>
      <c r="T197" s="36"/>
      <c r="U197" s="36"/>
    </row>
    <row r="198" spans="18:21" x14ac:dyDescent="0.25">
      <c r="R198" s="36"/>
      <c r="S198" s="36"/>
      <c r="T198" s="36"/>
      <c r="U198" s="36"/>
    </row>
    <row r="199" spans="18:21" x14ac:dyDescent="0.25">
      <c r="R199" s="36"/>
      <c r="S199" s="36"/>
      <c r="T199" s="36"/>
      <c r="U199" s="36"/>
    </row>
    <row r="200" spans="18:21" x14ac:dyDescent="0.25">
      <c r="R200" s="36"/>
      <c r="S200" s="36"/>
      <c r="T200" s="36"/>
      <c r="U200" s="36"/>
    </row>
    <row r="201" spans="18:21" x14ac:dyDescent="0.25">
      <c r="R201" s="36"/>
      <c r="S201" s="36"/>
      <c r="T201" s="36"/>
      <c r="U201" s="36"/>
    </row>
    <row r="202" spans="18:21" x14ac:dyDescent="0.25">
      <c r="R202" s="36"/>
      <c r="S202" s="36"/>
      <c r="T202" s="36"/>
      <c r="U202" s="36"/>
    </row>
    <row r="203" spans="18:21" x14ac:dyDescent="0.25">
      <c r="R203" s="36"/>
      <c r="S203" s="36"/>
      <c r="T203" s="36"/>
      <c r="U203" s="36"/>
    </row>
    <row r="204" spans="18:21" x14ac:dyDescent="0.25">
      <c r="R204" s="36"/>
      <c r="S204" s="36"/>
      <c r="T204" s="36"/>
      <c r="U204" s="36"/>
    </row>
    <row r="205" spans="18:21" x14ac:dyDescent="0.25">
      <c r="R205" s="36"/>
      <c r="S205" s="36"/>
      <c r="T205" s="36"/>
      <c r="U205" s="36"/>
    </row>
    <row r="206" spans="18:21" x14ac:dyDescent="0.25">
      <c r="R206" s="36"/>
      <c r="S206" s="36"/>
      <c r="T206" s="36"/>
      <c r="U206" s="36"/>
    </row>
    <row r="207" spans="18:21" x14ac:dyDescent="0.25">
      <c r="R207" s="36"/>
      <c r="S207" s="36"/>
      <c r="T207" s="36"/>
      <c r="U207" s="36"/>
    </row>
    <row r="208" spans="18:21" x14ac:dyDescent="0.25">
      <c r="R208" s="36"/>
      <c r="S208" s="36"/>
      <c r="T208" s="36"/>
      <c r="U208" s="36"/>
    </row>
    <row r="209" spans="18:21" x14ac:dyDescent="0.25">
      <c r="R209" s="36"/>
      <c r="S209" s="36"/>
      <c r="T209" s="36"/>
      <c r="U209" s="36"/>
    </row>
    <row r="210" spans="18:21" x14ac:dyDescent="0.25">
      <c r="R210" s="36"/>
      <c r="S210" s="36"/>
      <c r="T210" s="36"/>
      <c r="U210" s="36"/>
    </row>
    <row r="211" spans="18:21" x14ac:dyDescent="0.25">
      <c r="R211" s="36"/>
      <c r="S211" s="36"/>
      <c r="T211" s="36"/>
      <c r="U211" s="36"/>
    </row>
    <row r="212" spans="18:21" x14ac:dyDescent="0.25">
      <c r="R212" s="36"/>
      <c r="S212" s="36"/>
      <c r="T212" s="36"/>
      <c r="U212" s="36"/>
    </row>
    <row r="213" spans="18:21" x14ac:dyDescent="0.25">
      <c r="R213" s="36"/>
      <c r="S213" s="36"/>
      <c r="T213" s="36"/>
      <c r="U213" s="36"/>
    </row>
    <row r="214" spans="18:21" x14ac:dyDescent="0.25">
      <c r="R214" s="36"/>
      <c r="S214" s="36"/>
      <c r="T214" s="36"/>
      <c r="U214" s="36"/>
    </row>
    <row r="215" spans="18:21" x14ac:dyDescent="0.25">
      <c r="R215" s="36"/>
      <c r="S215" s="36"/>
      <c r="T215" s="36"/>
      <c r="U215" s="36"/>
    </row>
    <row r="216" spans="18:21" x14ac:dyDescent="0.25">
      <c r="R216" s="36"/>
      <c r="S216" s="36"/>
      <c r="T216" s="36"/>
      <c r="U216" s="36"/>
    </row>
    <row r="217" spans="18:21" x14ac:dyDescent="0.25">
      <c r="R217" s="36"/>
      <c r="S217" s="36"/>
      <c r="T217" s="36"/>
      <c r="U217" s="36"/>
    </row>
    <row r="218" spans="18:21" x14ac:dyDescent="0.25">
      <c r="R218" s="36"/>
      <c r="S218" s="36"/>
      <c r="T218" s="36"/>
      <c r="U218" s="36"/>
    </row>
    <row r="219" spans="18:21" x14ac:dyDescent="0.25">
      <c r="R219" s="36"/>
      <c r="S219" s="36"/>
      <c r="T219" s="36"/>
      <c r="U219" s="36"/>
    </row>
    <row r="220" spans="18:21" x14ac:dyDescent="0.25">
      <c r="R220" s="36"/>
      <c r="S220" s="36"/>
      <c r="T220" s="36"/>
      <c r="U220" s="36"/>
    </row>
    <row r="221" spans="18:21" x14ac:dyDescent="0.25">
      <c r="R221" s="36"/>
      <c r="S221" s="36"/>
      <c r="T221" s="36"/>
      <c r="U221" s="36"/>
    </row>
    <row r="222" spans="18:21" x14ac:dyDescent="0.25">
      <c r="R222" s="36"/>
      <c r="S222" s="36"/>
      <c r="T222" s="36"/>
      <c r="U222" s="36"/>
    </row>
    <row r="223" spans="18:21" x14ac:dyDescent="0.25">
      <c r="R223" s="36"/>
      <c r="S223" s="36"/>
      <c r="T223" s="36"/>
      <c r="U223" s="36"/>
    </row>
    <row r="224" spans="18:21" x14ac:dyDescent="0.25">
      <c r="R224" s="36"/>
      <c r="S224" s="36"/>
      <c r="T224" s="36"/>
      <c r="U224" s="36"/>
    </row>
    <row r="225" spans="18:21" x14ac:dyDescent="0.25">
      <c r="R225" s="36"/>
      <c r="S225" s="36"/>
      <c r="T225" s="36"/>
      <c r="U225" s="36"/>
    </row>
    <row r="226" spans="18:21" x14ac:dyDescent="0.25">
      <c r="R226" s="36"/>
      <c r="S226" s="36"/>
      <c r="T226" s="36"/>
      <c r="U226" s="36"/>
    </row>
    <row r="227" spans="18:21" x14ac:dyDescent="0.25">
      <c r="R227" s="36"/>
      <c r="S227" s="36"/>
      <c r="T227" s="36"/>
      <c r="U227" s="36"/>
    </row>
    <row r="228" spans="18:21" x14ac:dyDescent="0.25">
      <c r="R228" s="36"/>
      <c r="S228" s="36"/>
      <c r="T228" s="36"/>
      <c r="U228" s="36"/>
    </row>
    <row r="229" spans="18:21" x14ac:dyDescent="0.25">
      <c r="R229" s="36"/>
      <c r="S229" s="36"/>
      <c r="T229" s="36"/>
      <c r="U229" s="36"/>
    </row>
    <row r="230" spans="18:21" x14ac:dyDescent="0.25">
      <c r="R230" s="36"/>
      <c r="S230" s="36"/>
      <c r="T230" s="36"/>
      <c r="U230" s="36"/>
    </row>
    <row r="231" spans="18:21" x14ac:dyDescent="0.25">
      <c r="R231" s="36"/>
      <c r="S231" s="36"/>
      <c r="T231" s="36"/>
      <c r="U231" s="36"/>
    </row>
    <row r="232" spans="18:21" x14ac:dyDescent="0.25">
      <c r="R232" s="36"/>
      <c r="S232" s="36"/>
      <c r="T232" s="36"/>
      <c r="U232" s="36"/>
    </row>
    <row r="233" spans="18:21" x14ac:dyDescent="0.25">
      <c r="R233" s="36"/>
      <c r="S233" s="36"/>
      <c r="T233" s="36"/>
      <c r="U233" s="36"/>
    </row>
    <row r="234" spans="18:21" x14ac:dyDescent="0.25">
      <c r="R234" s="36"/>
      <c r="S234" s="36"/>
      <c r="T234" s="36"/>
      <c r="U234" s="36"/>
    </row>
    <row r="235" spans="18:21" x14ac:dyDescent="0.25">
      <c r="R235" s="36"/>
      <c r="S235" s="36"/>
      <c r="T235" s="36"/>
      <c r="U235" s="36"/>
    </row>
    <row r="236" spans="18:21" x14ac:dyDescent="0.25">
      <c r="R236" s="36"/>
      <c r="S236" s="36"/>
      <c r="T236" s="36"/>
      <c r="U236" s="36"/>
    </row>
    <row r="237" spans="18:21" x14ac:dyDescent="0.25">
      <c r="R237" s="36"/>
      <c r="S237" s="36"/>
      <c r="T237" s="36"/>
      <c r="U237" s="36"/>
    </row>
    <row r="238" spans="18:21" x14ac:dyDescent="0.25">
      <c r="R238" s="36"/>
      <c r="S238" s="36"/>
      <c r="T238" s="36"/>
      <c r="U238" s="36"/>
    </row>
    <row r="239" spans="18:21" x14ac:dyDescent="0.25">
      <c r="R239" s="36"/>
      <c r="S239" s="36"/>
      <c r="T239" s="36"/>
      <c r="U239" s="36"/>
    </row>
    <row r="240" spans="18:21" x14ac:dyDescent="0.25">
      <c r="R240" s="36"/>
      <c r="S240" s="36"/>
      <c r="T240" s="36"/>
      <c r="U240" s="36"/>
    </row>
    <row r="241" spans="18:21" x14ac:dyDescent="0.25">
      <c r="R241" s="36"/>
      <c r="S241" s="36"/>
      <c r="T241" s="36"/>
      <c r="U241" s="36"/>
    </row>
    <row r="602" spans="18:21" x14ac:dyDescent="0.25">
      <c r="R602" s="36"/>
      <c r="S602" s="36"/>
      <c r="T602" s="36"/>
      <c r="U602" s="36"/>
    </row>
    <row r="603" spans="18:21" x14ac:dyDescent="0.25">
      <c r="R603" s="36"/>
      <c r="S603" s="36"/>
      <c r="T603" s="36"/>
      <c r="U603" s="36"/>
    </row>
    <row r="604" spans="18:21" x14ac:dyDescent="0.25">
      <c r="R604" s="36"/>
      <c r="S604" s="36"/>
      <c r="T604" s="36"/>
      <c r="U604" s="36"/>
    </row>
    <row r="605" spans="18:21" x14ac:dyDescent="0.25">
      <c r="R605" s="36"/>
      <c r="S605" s="36"/>
      <c r="T605" s="36"/>
      <c r="U605" s="36"/>
    </row>
    <row r="606" spans="18:21" x14ac:dyDescent="0.25">
      <c r="R606" s="36"/>
      <c r="S606" s="36"/>
      <c r="T606" s="36"/>
      <c r="U606" s="36"/>
    </row>
    <row r="607" spans="18:21" x14ac:dyDescent="0.25">
      <c r="R607" s="36"/>
      <c r="S607" s="36"/>
      <c r="T607" s="36"/>
      <c r="U607" s="36"/>
    </row>
    <row r="608" spans="18:21" x14ac:dyDescent="0.25">
      <c r="R608" s="36"/>
      <c r="S608" s="36"/>
      <c r="T608" s="36"/>
      <c r="U608" s="36"/>
    </row>
    <row r="609" spans="18:21" x14ac:dyDescent="0.25">
      <c r="R609" s="36"/>
      <c r="S609" s="36"/>
      <c r="T609" s="36"/>
      <c r="U609" s="36"/>
    </row>
    <row r="610" spans="18:21" x14ac:dyDescent="0.25">
      <c r="R610" s="36"/>
      <c r="S610" s="36"/>
      <c r="T610" s="36"/>
      <c r="U610" s="36"/>
    </row>
    <row r="611" spans="18:21" x14ac:dyDescent="0.25">
      <c r="R611" s="36"/>
      <c r="S611" s="36"/>
      <c r="T611" s="36"/>
      <c r="U611" s="36"/>
    </row>
    <row r="612" spans="18:21" x14ac:dyDescent="0.25">
      <c r="R612" s="36"/>
      <c r="S612" s="36"/>
      <c r="T612" s="36"/>
      <c r="U612" s="36"/>
    </row>
    <row r="613" spans="18:21" x14ac:dyDescent="0.25">
      <c r="R613" s="36"/>
      <c r="S613" s="36"/>
      <c r="T613" s="36"/>
      <c r="U613" s="36"/>
    </row>
    <row r="614" spans="18:21" x14ac:dyDescent="0.25">
      <c r="R614" s="36"/>
      <c r="S614" s="36"/>
      <c r="T614" s="36"/>
      <c r="U614" s="36"/>
    </row>
    <row r="615" spans="18:21" x14ac:dyDescent="0.25">
      <c r="R615" s="36"/>
      <c r="S615" s="36"/>
      <c r="T615" s="36"/>
      <c r="U615" s="36"/>
    </row>
    <row r="616" spans="18:21" x14ac:dyDescent="0.25">
      <c r="R616" s="36"/>
      <c r="S616" s="36"/>
      <c r="T616" s="36"/>
      <c r="U616" s="36"/>
    </row>
    <row r="617" spans="18:21" x14ac:dyDescent="0.25">
      <c r="R617" s="36"/>
      <c r="S617" s="36"/>
      <c r="T617" s="36"/>
      <c r="U617" s="36"/>
    </row>
    <row r="618" spans="18:21" x14ac:dyDescent="0.25">
      <c r="R618" s="36"/>
      <c r="S618" s="36"/>
      <c r="T618" s="36"/>
      <c r="U618" s="36"/>
    </row>
    <row r="619" spans="18:21" x14ac:dyDescent="0.25">
      <c r="R619" s="36"/>
      <c r="S619" s="36"/>
      <c r="T619" s="36"/>
      <c r="U619" s="36"/>
    </row>
    <row r="620" spans="18:21" x14ac:dyDescent="0.25">
      <c r="R620" s="36"/>
      <c r="S620" s="36"/>
      <c r="T620" s="36"/>
      <c r="U620" s="36"/>
    </row>
    <row r="621" spans="18:21" x14ac:dyDescent="0.25">
      <c r="R621" s="36"/>
      <c r="S621" s="36"/>
      <c r="T621" s="36"/>
      <c r="U621" s="36"/>
    </row>
    <row r="622" spans="18:21" x14ac:dyDescent="0.25">
      <c r="R622" s="36"/>
      <c r="S622" s="36"/>
      <c r="T622" s="36"/>
      <c r="U622" s="36"/>
    </row>
    <row r="623" spans="18:21" x14ac:dyDescent="0.25">
      <c r="R623" s="36"/>
      <c r="S623" s="36"/>
      <c r="T623" s="36"/>
      <c r="U623" s="36"/>
    </row>
    <row r="624" spans="18:21" x14ac:dyDescent="0.25">
      <c r="R624" s="36"/>
      <c r="S624" s="36"/>
      <c r="T624" s="36"/>
      <c r="U624" s="36"/>
    </row>
    <row r="625" spans="18:21" x14ac:dyDescent="0.25">
      <c r="R625" s="36"/>
      <c r="S625" s="36"/>
      <c r="T625" s="36"/>
      <c r="U625" s="36"/>
    </row>
    <row r="626" spans="18:21" x14ac:dyDescent="0.25">
      <c r="R626" s="36"/>
      <c r="S626" s="36"/>
      <c r="T626" s="36"/>
      <c r="U626" s="36"/>
    </row>
    <row r="627" spans="18:21" x14ac:dyDescent="0.25">
      <c r="R627" s="36"/>
      <c r="S627" s="36"/>
      <c r="T627" s="36"/>
      <c r="U627" s="36"/>
    </row>
    <row r="628" spans="18:21" x14ac:dyDescent="0.25">
      <c r="R628" s="36"/>
      <c r="S628" s="36"/>
      <c r="T628" s="36"/>
      <c r="U628" s="36"/>
    </row>
    <row r="629" spans="18:21" x14ac:dyDescent="0.25">
      <c r="R629" s="36"/>
      <c r="S629" s="36"/>
      <c r="T629" s="36"/>
      <c r="U629" s="36"/>
    </row>
    <row r="630" spans="18:21" x14ac:dyDescent="0.25">
      <c r="R630" s="36"/>
      <c r="S630" s="36"/>
      <c r="T630" s="36"/>
      <c r="U630" s="36"/>
    </row>
    <row r="631" spans="18:21" x14ac:dyDescent="0.25">
      <c r="R631" s="36"/>
      <c r="S631" s="36"/>
      <c r="T631" s="36"/>
      <c r="U631" s="36"/>
    </row>
    <row r="632" spans="18:21" x14ac:dyDescent="0.25">
      <c r="R632" s="36"/>
      <c r="S632" s="36"/>
      <c r="T632" s="36"/>
      <c r="U632" s="36"/>
    </row>
    <row r="633" spans="18:21" x14ac:dyDescent="0.25">
      <c r="R633" s="36"/>
      <c r="S633" s="36"/>
      <c r="T633" s="36"/>
      <c r="U633" s="36"/>
    </row>
    <row r="634" spans="18:21" x14ac:dyDescent="0.25">
      <c r="R634" s="36"/>
      <c r="S634" s="36"/>
      <c r="T634" s="36"/>
      <c r="U634" s="36"/>
    </row>
    <row r="635" spans="18:21" x14ac:dyDescent="0.25">
      <c r="R635" s="36"/>
      <c r="S635" s="36"/>
      <c r="T635" s="36"/>
      <c r="U635" s="36"/>
    </row>
    <row r="636" spans="18:21" x14ac:dyDescent="0.25">
      <c r="R636" s="36"/>
      <c r="S636" s="36"/>
      <c r="T636" s="36"/>
      <c r="U636" s="36"/>
    </row>
    <row r="637" spans="18:21" x14ac:dyDescent="0.25">
      <c r="R637" s="36"/>
      <c r="S637" s="36"/>
      <c r="T637" s="36"/>
      <c r="U637" s="36"/>
    </row>
    <row r="638" spans="18:21" x14ac:dyDescent="0.25">
      <c r="R638" s="36"/>
      <c r="S638" s="36"/>
      <c r="T638" s="36"/>
      <c r="U638" s="36"/>
    </row>
    <row r="639" spans="18:21" x14ac:dyDescent="0.25">
      <c r="R639" s="36"/>
      <c r="S639" s="36"/>
      <c r="T639" s="36"/>
      <c r="U639" s="36"/>
    </row>
    <row r="640" spans="18:21" x14ac:dyDescent="0.25">
      <c r="R640" s="36"/>
      <c r="S640" s="36"/>
      <c r="T640" s="36"/>
      <c r="U640" s="36"/>
    </row>
    <row r="641" spans="18:21" x14ac:dyDescent="0.25">
      <c r="R641" s="36"/>
      <c r="S641" s="36"/>
      <c r="T641" s="36"/>
      <c r="U641" s="36"/>
    </row>
    <row r="722" spans="18:21" x14ac:dyDescent="0.25">
      <c r="R722" s="36"/>
      <c r="S722" s="36"/>
      <c r="T722" s="36"/>
      <c r="U722" s="36"/>
    </row>
    <row r="723" spans="18:21" x14ac:dyDescent="0.25">
      <c r="R723" s="36"/>
      <c r="S723" s="36"/>
      <c r="T723" s="36"/>
      <c r="U723" s="36"/>
    </row>
    <row r="724" spans="18:21" x14ac:dyDescent="0.25">
      <c r="R724" s="36"/>
      <c r="S724" s="36"/>
      <c r="T724" s="36"/>
      <c r="U724" s="36"/>
    </row>
    <row r="725" spans="18:21" x14ac:dyDescent="0.25">
      <c r="R725" s="36"/>
      <c r="S725" s="36"/>
      <c r="T725" s="36"/>
      <c r="U725" s="36"/>
    </row>
    <row r="726" spans="18:21" x14ac:dyDescent="0.25">
      <c r="R726" s="36"/>
      <c r="S726" s="36"/>
      <c r="T726" s="36"/>
      <c r="U726" s="36"/>
    </row>
    <row r="727" spans="18:21" x14ac:dyDescent="0.25">
      <c r="R727" s="36"/>
      <c r="S727" s="36"/>
      <c r="T727" s="36"/>
      <c r="U727" s="36"/>
    </row>
    <row r="728" spans="18:21" x14ac:dyDescent="0.25">
      <c r="R728" s="36"/>
      <c r="S728" s="36"/>
      <c r="T728" s="36"/>
      <c r="U728" s="36"/>
    </row>
    <row r="729" spans="18:21" x14ac:dyDescent="0.25">
      <c r="R729" s="36"/>
      <c r="S729" s="36"/>
      <c r="T729" s="36"/>
      <c r="U729" s="36"/>
    </row>
    <row r="730" spans="18:21" x14ac:dyDescent="0.25">
      <c r="R730" s="36"/>
      <c r="S730" s="36"/>
      <c r="T730" s="36"/>
      <c r="U730" s="36"/>
    </row>
    <row r="731" spans="18:21" x14ac:dyDescent="0.25">
      <c r="R731" s="36"/>
      <c r="S731" s="36"/>
      <c r="T731" s="36"/>
      <c r="U731" s="36"/>
    </row>
    <row r="732" spans="18:21" x14ac:dyDescent="0.25">
      <c r="R732" s="36"/>
      <c r="S732" s="36"/>
      <c r="T732" s="36"/>
      <c r="U732" s="36"/>
    </row>
    <row r="733" spans="18:21" x14ac:dyDescent="0.25">
      <c r="R733" s="36"/>
      <c r="S733" s="36"/>
      <c r="T733" s="36"/>
      <c r="U733" s="36"/>
    </row>
    <row r="734" spans="18:21" x14ac:dyDescent="0.25">
      <c r="R734" s="36"/>
      <c r="S734" s="36"/>
      <c r="T734" s="36"/>
      <c r="U734" s="36"/>
    </row>
    <row r="735" spans="18:21" x14ac:dyDescent="0.25">
      <c r="R735" s="36"/>
      <c r="S735" s="36"/>
      <c r="T735" s="36"/>
      <c r="U735" s="36"/>
    </row>
    <row r="736" spans="18:21" x14ac:dyDescent="0.25">
      <c r="R736" s="36"/>
      <c r="S736" s="36"/>
      <c r="T736" s="36"/>
      <c r="U736" s="36"/>
    </row>
    <row r="737" spans="18:21" x14ac:dyDescent="0.25">
      <c r="R737" s="36"/>
      <c r="S737" s="36"/>
      <c r="T737" s="36"/>
      <c r="U737" s="36"/>
    </row>
    <row r="738" spans="18:21" x14ac:dyDescent="0.25">
      <c r="R738" s="36"/>
      <c r="S738" s="36"/>
      <c r="T738" s="36"/>
      <c r="U738" s="36"/>
    </row>
    <row r="739" spans="18:21" x14ac:dyDescent="0.25">
      <c r="R739" s="36"/>
      <c r="S739" s="36"/>
      <c r="T739" s="36"/>
      <c r="U739" s="36"/>
    </row>
    <row r="740" spans="18:21" x14ac:dyDescent="0.25">
      <c r="R740" s="36"/>
      <c r="S740" s="36"/>
      <c r="T740" s="36"/>
      <c r="U740" s="36"/>
    </row>
    <row r="741" spans="18:21" x14ac:dyDescent="0.25">
      <c r="R741" s="36"/>
      <c r="S741" s="36"/>
      <c r="T741" s="36"/>
      <c r="U741" s="36"/>
    </row>
    <row r="742" spans="18:21" x14ac:dyDescent="0.25">
      <c r="R742" s="36"/>
      <c r="S742" s="36"/>
      <c r="T742" s="36"/>
      <c r="U742" s="36"/>
    </row>
    <row r="743" spans="18:21" x14ac:dyDescent="0.25">
      <c r="R743" s="36"/>
      <c r="S743" s="36"/>
      <c r="T743" s="36"/>
      <c r="U743" s="36"/>
    </row>
    <row r="744" spans="18:21" x14ac:dyDescent="0.25">
      <c r="R744" s="36"/>
      <c r="S744" s="36"/>
      <c r="T744" s="36"/>
      <c r="U744" s="36"/>
    </row>
    <row r="745" spans="18:21" x14ac:dyDescent="0.25">
      <c r="R745" s="36"/>
      <c r="S745" s="36"/>
      <c r="T745" s="36"/>
      <c r="U745" s="36"/>
    </row>
    <row r="746" spans="18:21" x14ac:dyDescent="0.25">
      <c r="R746" s="36"/>
      <c r="S746" s="36"/>
      <c r="T746" s="36"/>
      <c r="U746" s="36"/>
    </row>
    <row r="747" spans="18:21" x14ac:dyDescent="0.25">
      <c r="R747" s="36"/>
      <c r="S747" s="36"/>
      <c r="T747" s="36"/>
      <c r="U747" s="36"/>
    </row>
    <row r="748" spans="18:21" x14ac:dyDescent="0.25">
      <c r="R748" s="36"/>
      <c r="S748" s="36"/>
      <c r="T748" s="36"/>
      <c r="U748" s="36"/>
    </row>
    <row r="749" spans="18:21" x14ac:dyDescent="0.25">
      <c r="R749" s="36"/>
      <c r="S749" s="36"/>
      <c r="T749" s="36"/>
      <c r="U749" s="36"/>
    </row>
    <row r="750" spans="18:21" x14ac:dyDescent="0.25">
      <c r="R750" s="36"/>
      <c r="S750" s="36"/>
      <c r="T750" s="36"/>
      <c r="U750" s="36"/>
    </row>
    <row r="751" spans="18:21" x14ac:dyDescent="0.25">
      <c r="R751" s="36"/>
      <c r="S751" s="36"/>
      <c r="T751" s="36"/>
      <c r="U751" s="36"/>
    </row>
    <row r="752" spans="18:21" x14ac:dyDescent="0.25">
      <c r="R752" s="36"/>
      <c r="S752" s="36"/>
      <c r="T752" s="36"/>
      <c r="U752" s="36"/>
    </row>
    <row r="753" spans="18:21" x14ac:dyDescent="0.25">
      <c r="R753" s="36"/>
      <c r="S753" s="36"/>
      <c r="T753" s="36"/>
      <c r="U753" s="36"/>
    </row>
    <row r="754" spans="18:21" x14ac:dyDescent="0.25">
      <c r="R754" s="36"/>
      <c r="S754" s="36"/>
      <c r="T754" s="36"/>
      <c r="U754" s="36"/>
    </row>
    <row r="755" spans="18:21" x14ac:dyDescent="0.25">
      <c r="R755" s="36"/>
      <c r="S755" s="36"/>
      <c r="T755" s="36"/>
      <c r="U755" s="36"/>
    </row>
    <row r="756" spans="18:21" x14ac:dyDescent="0.25">
      <c r="R756" s="36"/>
      <c r="S756" s="36"/>
      <c r="T756" s="36"/>
      <c r="U756" s="36"/>
    </row>
    <row r="757" spans="18:21" x14ac:dyDescent="0.25">
      <c r="R757" s="36"/>
      <c r="S757" s="36"/>
      <c r="T757" s="36"/>
      <c r="U757" s="36"/>
    </row>
    <row r="758" spans="18:21" x14ac:dyDescent="0.25">
      <c r="R758" s="36"/>
      <c r="S758" s="36"/>
      <c r="T758" s="36"/>
      <c r="U758" s="36"/>
    </row>
    <row r="759" spans="18:21" x14ac:dyDescent="0.25">
      <c r="R759" s="36"/>
      <c r="S759" s="36"/>
      <c r="T759" s="36"/>
      <c r="U759" s="36"/>
    </row>
    <row r="760" spans="18:21" x14ac:dyDescent="0.25">
      <c r="R760" s="36"/>
      <c r="S760" s="36"/>
      <c r="T760" s="36"/>
      <c r="U760" s="36"/>
    </row>
    <row r="761" spans="18:21" x14ac:dyDescent="0.25">
      <c r="R761" s="36"/>
      <c r="S761" s="36"/>
      <c r="T761" s="36"/>
      <c r="U761" s="36"/>
    </row>
    <row r="762" spans="18:21" x14ac:dyDescent="0.25">
      <c r="R762" s="36"/>
      <c r="S762" s="36"/>
      <c r="T762" s="36"/>
      <c r="U762" s="36"/>
    </row>
    <row r="763" spans="18:21" x14ac:dyDescent="0.25">
      <c r="R763" s="36"/>
      <c r="S763" s="36"/>
      <c r="T763" s="36"/>
      <c r="U763" s="36"/>
    </row>
    <row r="764" spans="18:21" x14ac:dyDescent="0.25">
      <c r="R764" s="36"/>
      <c r="S764" s="36"/>
      <c r="T764" s="36"/>
      <c r="U764" s="36"/>
    </row>
    <row r="765" spans="18:21" x14ac:dyDescent="0.25">
      <c r="R765" s="36"/>
      <c r="S765" s="36"/>
      <c r="T765" s="36"/>
      <c r="U765" s="36"/>
    </row>
    <row r="766" spans="18:21" x14ac:dyDescent="0.25">
      <c r="R766" s="36"/>
      <c r="S766" s="36"/>
      <c r="T766" s="36"/>
      <c r="U766" s="36"/>
    </row>
    <row r="767" spans="18:21" x14ac:dyDescent="0.25">
      <c r="R767" s="36"/>
      <c r="S767" s="36"/>
      <c r="T767" s="36"/>
      <c r="U767" s="36"/>
    </row>
    <row r="768" spans="18:21" x14ac:dyDescent="0.25">
      <c r="R768" s="36"/>
      <c r="S768" s="36"/>
      <c r="T768" s="36"/>
      <c r="U768" s="36"/>
    </row>
    <row r="769" spans="18:21" x14ac:dyDescent="0.25">
      <c r="R769" s="36"/>
      <c r="S769" s="36"/>
      <c r="T769" s="36"/>
      <c r="U769" s="36"/>
    </row>
    <row r="770" spans="18:21" x14ac:dyDescent="0.25">
      <c r="R770" s="36"/>
      <c r="S770" s="36"/>
      <c r="T770" s="36"/>
      <c r="U770" s="36"/>
    </row>
    <row r="771" spans="18:21" x14ac:dyDescent="0.25">
      <c r="R771" s="36"/>
      <c r="S771" s="36"/>
      <c r="T771" s="36"/>
      <c r="U771" s="36"/>
    </row>
    <row r="772" spans="18:21" x14ac:dyDescent="0.25">
      <c r="R772" s="36"/>
      <c r="S772" s="36"/>
      <c r="T772" s="36"/>
      <c r="U772" s="36"/>
    </row>
    <row r="773" spans="18:21" x14ac:dyDescent="0.25">
      <c r="R773" s="36"/>
      <c r="S773" s="36"/>
      <c r="T773" s="36"/>
      <c r="U773" s="36"/>
    </row>
    <row r="774" spans="18:21" x14ac:dyDescent="0.25">
      <c r="R774" s="36"/>
      <c r="S774" s="36"/>
      <c r="T774" s="36"/>
      <c r="U774" s="36"/>
    </row>
    <row r="775" spans="18:21" x14ac:dyDescent="0.25">
      <c r="R775" s="36"/>
      <c r="S775" s="36"/>
      <c r="T775" s="36"/>
      <c r="U775" s="36"/>
    </row>
    <row r="776" spans="18:21" x14ac:dyDescent="0.25">
      <c r="R776" s="36"/>
      <c r="S776" s="36"/>
      <c r="T776" s="36"/>
      <c r="U776" s="36"/>
    </row>
    <row r="777" spans="18:21" x14ac:dyDescent="0.25">
      <c r="R777" s="36"/>
      <c r="S777" s="36"/>
      <c r="T777" s="36"/>
      <c r="U777" s="36"/>
    </row>
    <row r="778" spans="18:21" x14ac:dyDescent="0.25">
      <c r="R778" s="36"/>
      <c r="S778" s="36"/>
      <c r="T778" s="36"/>
      <c r="U778" s="36"/>
    </row>
    <row r="779" spans="18:21" x14ac:dyDescent="0.25">
      <c r="R779" s="36"/>
      <c r="S779" s="36"/>
      <c r="T779" s="36"/>
      <c r="U779" s="36"/>
    </row>
    <row r="780" spans="18:21" x14ac:dyDescent="0.25">
      <c r="R780" s="36"/>
      <c r="S780" s="36"/>
      <c r="T780" s="36"/>
      <c r="U780" s="36"/>
    </row>
    <row r="781" spans="18:21" x14ac:dyDescent="0.25">
      <c r="R781" s="36"/>
      <c r="S781" s="36"/>
      <c r="T781" s="36"/>
      <c r="U781" s="36"/>
    </row>
    <row r="782" spans="18:21" x14ac:dyDescent="0.25">
      <c r="R782" s="36"/>
      <c r="S782" s="36"/>
      <c r="T782" s="36"/>
      <c r="U782" s="36"/>
    </row>
    <row r="783" spans="18:21" x14ac:dyDescent="0.25">
      <c r="R783" s="36"/>
      <c r="S783" s="36"/>
      <c r="T783" s="36"/>
      <c r="U783" s="36"/>
    </row>
    <row r="784" spans="18:21" x14ac:dyDescent="0.25">
      <c r="R784" s="36"/>
      <c r="S784" s="36"/>
      <c r="T784" s="36"/>
      <c r="U784" s="36"/>
    </row>
    <row r="785" spans="18:21" x14ac:dyDescent="0.25">
      <c r="R785" s="36"/>
      <c r="S785" s="36"/>
      <c r="T785" s="36"/>
      <c r="U785" s="36"/>
    </row>
    <row r="786" spans="18:21" x14ac:dyDescent="0.25">
      <c r="R786" s="36"/>
      <c r="S786" s="36"/>
      <c r="T786" s="36"/>
      <c r="U786" s="36"/>
    </row>
    <row r="787" spans="18:21" x14ac:dyDescent="0.25">
      <c r="R787" s="36"/>
      <c r="S787" s="36"/>
      <c r="T787" s="36"/>
      <c r="U787" s="36"/>
    </row>
    <row r="788" spans="18:21" x14ac:dyDescent="0.25">
      <c r="R788" s="36"/>
      <c r="S788" s="36"/>
      <c r="T788" s="36"/>
      <c r="U788" s="36"/>
    </row>
    <row r="789" spans="18:21" x14ac:dyDescent="0.25">
      <c r="R789" s="36"/>
      <c r="S789" s="36"/>
      <c r="T789" s="36"/>
      <c r="U789" s="36"/>
    </row>
    <row r="790" spans="18:21" x14ac:dyDescent="0.25">
      <c r="R790" s="36"/>
      <c r="S790" s="36"/>
      <c r="T790" s="36"/>
      <c r="U790" s="36"/>
    </row>
    <row r="791" spans="18:21" x14ac:dyDescent="0.25">
      <c r="R791" s="36"/>
      <c r="S791" s="36"/>
      <c r="T791" s="36"/>
      <c r="U791" s="36"/>
    </row>
    <row r="792" spans="18:21" x14ac:dyDescent="0.25">
      <c r="R792" s="36"/>
      <c r="S792" s="36"/>
      <c r="T792" s="36"/>
      <c r="U792" s="36"/>
    </row>
    <row r="793" spans="18:21" x14ac:dyDescent="0.25">
      <c r="R793" s="36"/>
      <c r="S793" s="36"/>
      <c r="T793" s="36"/>
      <c r="U793" s="36"/>
    </row>
    <row r="794" spans="18:21" x14ac:dyDescent="0.25">
      <c r="R794" s="36"/>
      <c r="S794" s="36"/>
      <c r="T794" s="36"/>
      <c r="U794" s="36"/>
    </row>
    <row r="795" spans="18:21" x14ac:dyDescent="0.25">
      <c r="R795" s="36"/>
      <c r="S795" s="36"/>
      <c r="T795" s="36"/>
      <c r="U795" s="36"/>
    </row>
    <row r="796" spans="18:21" x14ac:dyDescent="0.25">
      <c r="R796" s="36"/>
      <c r="S796" s="36"/>
      <c r="T796" s="36"/>
      <c r="U796" s="36"/>
    </row>
    <row r="797" spans="18:21" x14ac:dyDescent="0.25">
      <c r="R797" s="36"/>
      <c r="S797" s="36"/>
      <c r="T797" s="36"/>
      <c r="U797" s="36"/>
    </row>
    <row r="798" spans="18:21" x14ac:dyDescent="0.25">
      <c r="R798" s="36"/>
      <c r="S798" s="36"/>
      <c r="T798" s="36"/>
      <c r="U798" s="36"/>
    </row>
    <row r="799" spans="18:21" x14ac:dyDescent="0.25">
      <c r="R799" s="36"/>
      <c r="S799" s="36"/>
      <c r="T799" s="36"/>
      <c r="U799" s="36"/>
    </row>
    <row r="800" spans="18:21" x14ac:dyDescent="0.25">
      <c r="R800" s="36"/>
      <c r="S800" s="36"/>
      <c r="T800" s="36"/>
      <c r="U800" s="36"/>
    </row>
    <row r="801" spans="18:21" x14ac:dyDescent="0.25">
      <c r="R801" s="36"/>
      <c r="S801" s="36"/>
      <c r="T801" s="36"/>
      <c r="U801" s="36"/>
    </row>
    <row r="842" spans="18:21" x14ac:dyDescent="0.25">
      <c r="R842" s="36"/>
      <c r="S842" s="36"/>
      <c r="T842" s="36"/>
      <c r="U842" s="36"/>
    </row>
    <row r="843" spans="18:21" x14ac:dyDescent="0.25">
      <c r="R843" s="36"/>
      <c r="S843" s="36"/>
      <c r="T843" s="36"/>
      <c r="U843" s="36"/>
    </row>
    <row r="844" spans="18:21" x14ac:dyDescent="0.25">
      <c r="R844" s="36"/>
      <c r="S844" s="36"/>
      <c r="T844" s="36"/>
      <c r="U844" s="36"/>
    </row>
    <row r="845" spans="18:21" x14ac:dyDescent="0.25">
      <c r="R845" s="36"/>
      <c r="S845" s="36"/>
      <c r="T845" s="36"/>
      <c r="U845" s="36"/>
    </row>
    <row r="846" spans="18:21" x14ac:dyDescent="0.25">
      <c r="R846" s="36"/>
      <c r="S846" s="36"/>
      <c r="T846" s="36"/>
      <c r="U846" s="36"/>
    </row>
    <row r="847" spans="18:21" x14ac:dyDescent="0.25">
      <c r="R847" s="36"/>
      <c r="S847" s="36"/>
      <c r="T847" s="36"/>
      <c r="U847" s="36"/>
    </row>
    <row r="848" spans="18:21" x14ac:dyDescent="0.25">
      <c r="R848" s="36"/>
      <c r="S848" s="36"/>
      <c r="T848" s="36"/>
      <c r="U848" s="36"/>
    </row>
    <row r="849" spans="18:21" x14ac:dyDescent="0.25">
      <c r="R849" s="36"/>
      <c r="S849" s="36"/>
      <c r="T849" s="36"/>
      <c r="U849" s="36"/>
    </row>
    <row r="850" spans="18:21" x14ac:dyDescent="0.25">
      <c r="R850" s="36"/>
      <c r="S850" s="36"/>
      <c r="T850" s="36"/>
      <c r="U850" s="36"/>
    </row>
    <row r="851" spans="18:21" x14ac:dyDescent="0.25">
      <c r="R851" s="36"/>
      <c r="S851" s="36"/>
      <c r="T851" s="36"/>
      <c r="U851" s="36"/>
    </row>
    <row r="852" spans="18:21" x14ac:dyDescent="0.25">
      <c r="R852" s="36"/>
      <c r="S852" s="36"/>
      <c r="T852" s="36"/>
      <c r="U852" s="36"/>
    </row>
    <row r="853" spans="18:21" x14ac:dyDescent="0.25">
      <c r="R853" s="36"/>
      <c r="S853" s="36"/>
      <c r="T853" s="36"/>
      <c r="U853" s="36"/>
    </row>
    <row r="854" spans="18:21" x14ac:dyDescent="0.25">
      <c r="R854" s="36"/>
      <c r="S854" s="36"/>
      <c r="T854" s="36"/>
      <c r="U854" s="36"/>
    </row>
    <row r="855" spans="18:21" x14ac:dyDescent="0.25">
      <c r="R855" s="36"/>
      <c r="S855" s="36"/>
      <c r="T855" s="36"/>
      <c r="U855" s="36"/>
    </row>
    <row r="856" spans="18:21" x14ac:dyDescent="0.25">
      <c r="R856" s="36"/>
      <c r="S856" s="36"/>
      <c r="T856" s="36"/>
      <c r="U856" s="36"/>
    </row>
    <row r="857" spans="18:21" x14ac:dyDescent="0.25">
      <c r="R857" s="36"/>
      <c r="S857" s="36"/>
      <c r="T857" s="36"/>
      <c r="U857" s="36"/>
    </row>
    <row r="858" spans="18:21" x14ac:dyDescent="0.25">
      <c r="R858" s="36"/>
      <c r="S858" s="36"/>
      <c r="T858" s="36"/>
      <c r="U858" s="36"/>
    </row>
    <row r="859" spans="18:21" x14ac:dyDescent="0.25">
      <c r="R859" s="36"/>
      <c r="S859" s="36"/>
      <c r="T859" s="36"/>
      <c r="U859" s="36"/>
    </row>
    <row r="860" spans="18:21" x14ac:dyDescent="0.25">
      <c r="R860" s="36"/>
      <c r="S860" s="36"/>
      <c r="T860" s="36"/>
      <c r="U860" s="36"/>
    </row>
    <row r="861" spans="18:21" x14ac:dyDescent="0.25">
      <c r="R861" s="36"/>
      <c r="S861" s="36"/>
      <c r="T861" s="36"/>
      <c r="U861" s="36"/>
    </row>
    <row r="862" spans="18:21" x14ac:dyDescent="0.25">
      <c r="R862" s="36"/>
      <c r="S862" s="36"/>
      <c r="T862" s="36"/>
      <c r="U862" s="36"/>
    </row>
    <row r="863" spans="18:21" x14ac:dyDescent="0.25">
      <c r="R863" s="36"/>
      <c r="S863" s="36"/>
      <c r="T863" s="36"/>
      <c r="U863" s="36"/>
    </row>
    <row r="864" spans="18:21" x14ac:dyDescent="0.25">
      <c r="R864" s="36"/>
      <c r="S864" s="36"/>
      <c r="T864" s="36"/>
      <c r="U864" s="36"/>
    </row>
    <row r="865" spans="18:21" x14ac:dyDescent="0.25">
      <c r="R865" s="36"/>
      <c r="S865" s="36"/>
      <c r="T865" s="36"/>
      <c r="U865" s="36"/>
    </row>
    <row r="866" spans="18:21" x14ac:dyDescent="0.25">
      <c r="R866" s="36"/>
      <c r="S866" s="36"/>
      <c r="T866" s="36"/>
      <c r="U866" s="36"/>
    </row>
    <row r="867" spans="18:21" x14ac:dyDescent="0.25">
      <c r="R867" s="36"/>
      <c r="S867" s="36"/>
      <c r="T867" s="36"/>
      <c r="U867" s="36"/>
    </row>
    <row r="868" spans="18:21" x14ac:dyDescent="0.25">
      <c r="R868" s="36"/>
      <c r="S868" s="36"/>
      <c r="T868" s="36"/>
      <c r="U868" s="36"/>
    </row>
    <row r="869" spans="18:21" x14ac:dyDescent="0.25">
      <c r="R869" s="36"/>
      <c r="S869" s="36"/>
      <c r="T869" s="36"/>
      <c r="U869" s="36"/>
    </row>
    <row r="870" spans="18:21" x14ac:dyDescent="0.25">
      <c r="R870" s="36"/>
      <c r="S870" s="36"/>
      <c r="T870" s="36"/>
      <c r="U870" s="36"/>
    </row>
    <row r="871" spans="18:21" x14ac:dyDescent="0.25">
      <c r="R871" s="36"/>
      <c r="S871" s="36"/>
      <c r="T871" s="36"/>
      <c r="U871" s="36"/>
    </row>
    <row r="872" spans="18:21" x14ac:dyDescent="0.25">
      <c r="R872" s="36"/>
      <c r="S872" s="36"/>
      <c r="T872" s="36"/>
      <c r="U872" s="36"/>
    </row>
    <row r="873" spans="18:21" x14ac:dyDescent="0.25">
      <c r="R873" s="36"/>
      <c r="S873" s="36"/>
      <c r="T873" s="36"/>
      <c r="U873" s="36"/>
    </row>
    <row r="874" spans="18:21" x14ac:dyDescent="0.25">
      <c r="R874" s="36"/>
      <c r="S874" s="36"/>
      <c r="T874" s="36"/>
      <c r="U874" s="36"/>
    </row>
    <row r="875" spans="18:21" x14ac:dyDescent="0.25">
      <c r="R875" s="36"/>
      <c r="S875" s="36"/>
      <c r="T875" s="36"/>
      <c r="U875" s="36"/>
    </row>
    <row r="876" spans="18:21" x14ac:dyDescent="0.25">
      <c r="R876" s="36"/>
      <c r="S876" s="36"/>
      <c r="T876" s="36"/>
      <c r="U876" s="36"/>
    </row>
    <row r="877" spans="18:21" x14ac:dyDescent="0.25">
      <c r="R877" s="36"/>
      <c r="S877" s="36"/>
      <c r="T877" s="36"/>
      <c r="U877" s="36"/>
    </row>
    <row r="878" spans="18:21" x14ac:dyDescent="0.25">
      <c r="R878" s="36"/>
      <c r="S878" s="36"/>
      <c r="T878" s="36"/>
      <c r="U878" s="36"/>
    </row>
    <row r="879" spans="18:21" x14ac:dyDescent="0.25">
      <c r="R879" s="36"/>
      <c r="S879" s="36"/>
      <c r="T879" s="36"/>
      <c r="U879" s="36"/>
    </row>
    <row r="880" spans="18:21" x14ac:dyDescent="0.25">
      <c r="R880" s="36"/>
      <c r="S880" s="36"/>
      <c r="T880" s="36"/>
      <c r="U880" s="36"/>
    </row>
    <row r="881" spans="18:21" x14ac:dyDescent="0.25">
      <c r="R881" s="36"/>
      <c r="S881" s="36"/>
      <c r="T881" s="36"/>
      <c r="U881" s="36"/>
    </row>
    <row r="882" spans="18:21" x14ac:dyDescent="0.25">
      <c r="R882" s="36"/>
      <c r="S882" s="36"/>
      <c r="T882" s="36"/>
      <c r="U882" s="36"/>
    </row>
    <row r="883" spans="18:21" x14ac:dyDescent="0.25">
      <c r="R883" s="36"/>
      <c r="S883" s="36"/>
      <c r="T883" s="36"/>
      <c r="U883" s="36"/>
    </row>
    <row r="884" spans="18:21" x14ac:dyDescent="0.25">
      <c r="R884" s="36"/>
      <c r="S884" s="36"/>
      <c r="T884" s="36"/>
      <c r="U884" s="36"/>
    </row>
    <row r="885" spans="18:21" x14ac:dyDescent="0.25">
      <c r="R885" s="36"/>
      <c r="S885" s="36"/>
      <c r="T885" s="36"/>
      <c r="U885" s="36"/>
    </row>
    <row r="886" spans="18:21" x14ac:dyDescent="0.25">
      <c r="R886" s="36"/>
      <c r="S886" s="36"/>
      <c r="T886" s="36"/>
      <c r="U886" s="36"/>
    </row>
    <row r="887" spans="18:21" x14ac:dyDescent="0.25">
      <c r="R887" s="36"/>
      <c r="S887" s="36"/>
      <c r="T887" s="36"/>
      <c r="U887" s="36"/>
    </row>
    <row r="888" spans="18:21" x14ac:dyDescent="0.25">
      <c r="R888" s="36"/>
      <c r="S888" s="36"/>
      <c r="T888" s="36"/>
      <c r="U888" s="36"/>
    </row>
    <row r="889" spans="18:21" x14ac:dyDescent="0.25">
      <c r="R889" s="36"/>
      <c r="S889" s="36"/>
      <c r="T889" s="36"/>
      <c r="U889" s="36"/>
    </row>
    <row r="890" spans="18:21" x14ac:dyDescent="0.25">
      <c r="R890" s="36"/>
      <c r="S890" s="36"/>
      <c r="T890" s="36"/>
      <c r="U890" s="36"/>
    </row>
    <row r="891" spans="18:21" x14ac:dyDescent="0.25">
      <c r="R891" s="36"/>
      <c r="S891" s="36"/>
      <c r="T891" s="36"/>
      <c r="U891" s="36"/>
    </row>
    <row r="892" spans="18:21" x14ac:dyDescent="0.25">
      <c r="R892" s="36"/>
      <c r="S892" s="36"/>
      <c r="T892" s="36"/>
      <c r="U892" s="36"/>
    </row>
    <row r="893" spans="18:21" x14ac:dyDescent="0.25">
      <c r="R893" s="36"/>
      <c r="S893" s="36"/>
      <c r="T893" s="36"/>
      <c r="U893" s="36"/>
    </row>
    <row r="894" spans="18:21" x14ac:dyDescent="0.25">
      <c r="R894" s="36"/>
      <c r="S894" s="36"/>
      <c r="T894" s="36"/>
      <c r="U894" s="36"/>
    </row>
    <row r="895" spans="18:21" x14ac:dyDescent="0.25">
      <c r="R895" s="36"/>
      <c r="S895" s="36"/>
      <c r="T895" s="36"/>
      <c r="U895" s="36"/>
    </row>
    <row r="896" spans="18:21" x14ac:dyDescent="0.25">
      <c r="R896" s="36"/>
      <c r="S896" s="36"/>
      <c r="T896" s="36"/>
      <c r="U896" s="36"/>
    </row>
    <row r="897" spans="18:21" x14ac:dyDescent="0.25">
      <c r="R897" s="36"/>
      <c r="S897" s="36"/>
      <c r="T897" s="36"/>
      <c r="U897" s="36"/>
    </row>
    <row r="898" spans="18:21" x14ac:dyDescent="0.25">
      <c r="R898" s="36"/>
      <c r="S898" s="36"/>
      <c r="T898" s="36"/>
      <c r="U898" s="36"/>
    </row>
    <row r="899" spans="18:21" x14ac:dyDescent="0.25">
      <c r="R899" s="36"/>
      <c r="S899" s="36"/>
      <c r="T899" s="36"/>
      <c r="U899" s="36"/>
    </row>
    <row r="900" spans="18:21" x14ac:dyDescent="0.25">
      <c r="R900" s="36"/>
      <c r="S900" s="36"/>
      <c r="T900" s="36"/>
      <c r="U900" s="36"/>
    </row>
    <row r="901" spans="18:21" x14ac:dyDescent="0.25">
      <c r="R901" s="36"/>
      <c r="S901" s="36"/>
      <c r="T901" s="36"/>
      <c r="U901" s="36"/>
    </row>
    <row r="902" spans="18:21" x14ac:dyDescent="0.25">
      <c r="R902" s="36"/>
      <c r="S902" s="36"/>
      <c r="T902" s="36"/>
      <c r="U902" s="36"/>
    </row>
    <row r="903" spans="18:21" x14ac:dyDescent="0.25">
      <c r="R903" s="36"/>
      <c r="S903" s="36"/>
      <c r="T903" s="36"/>
      <c r="U903" s="36"/>
    </row>
    <row r="904" spans="18:21" x14ac:dyDescent="0.25">
      <c r="R904" s="36"/>
      <c r="S904" s="36"/>
      <c r="T904" s="36"/>
      <c r="U904" s="36"/>
    </row>
    <row r="905" spans="18:21" x14ac:dyDescent="0.25">
      <c r="R905" s="36"/>
      <c r="S905" s="36"/>
      <c r="T905" s="36"/>
      <c r="U905" s="36"/>
    </row>
    <row r="906" spans="18:21" x14ac:dyDescent="0.25">
      <c r="R906" s="36"/>
      <c r="S906" s="36"/>
      <c r="T906" s="36"/>
      <c r="U906" s="36"/>
    </row>
    <row r="907" spans="18:21" x14ac:dyDescent="0.25">
      <c r="R907" s="36"/>
      <c r="S907" s="36"/>
      <c r="T907" s="36"/>
      <c r="U907" s="36"/>
    </row>
    <row r="908" spans="18:21" x14ac:dyDescent="0.25">
      <c r="R908" s="36"/>
      <c r="S908" s="36"/>
      <c r="T908" s="36"/>
      <c r="U908" s="36"/>
    </row>
    <row r="909" spans="18:21" x14ac:dyDescent="0.25">
      <c r="R909" s="36"/>
      <c r="S909" s="36"/>
      <c r="T909" s="36"/>
      <c r="U909" s="36"/>
    </row>
    <row r="910" spans="18:21" x14ac:dyDescent="0.25">
      <c r="R910" s="36"/>
      <c r="S910" s="36"/>
      <c r="T910" s="36"/>
      <c r="U910" s="36"/>
    </row>
    <row r="911" spans="18:21" x14ac:dyDescent="0.25">
      <c r="R911" s="36"/>
      <c r="S911" s="36"/>
      <c r="T911" s="36"/>
      <c r="U911" s="36"/>
    </row>
    <row r="912" spans="18:21" x14ac:dyDescent="0.25">
      <c r="R912" s="36"/>
      <c r="S912" s="36"/>
      <c r="T912" s="36"/>
      <c r="U912" s="36"/>
    </row>
    <row r="913" spans="18:21" x14ac:dyDescent="0.25">
      <c r="R913" s="36"/>
      <c r="S913" s="36"/>
      <c r="T913" s="36"/>
      <c r="U913" s="36"/>
    </row>
    <row r="914" spans="18:21" x14ac:dyDescent="0.25">
      <c r="R914" s="36"/>
      <c r="S914" s="36"/>
      <c r="T914" s="36"/>
      <c r="U914" s="36"/>
    </row>
    <row r="915" spans="18:21" x14ac:dyDescent="0.25">
      <c r="R915" s="36"/>
      <c r="S915" s="36"/>
      <c r="T915" s="36"/>
      <c r="U915" s="36"/>
    </row>
    <row r="916" spans="18:21" x14ac:dyDescent="0.25">
      <c r="R916" s="36"/>
      <c r="S916" s="36"/>
      <c r="T916" s="36"/>
      <c r="U916" s="36"/>
    </row>
    <row r="917" spans="18:21" x14ac:dyDescent="0.25">
      <c r="R917" s="36"/>
      <c r="S917" s="36"/>
      <c r="T917" s="36"/>
      <c r="U917" s="36"/>
    </row>
    <row r="918" spans="18:21" x14ac:dyDescent="0.25">
      <c r="R918" s="36"/>
      <c r="S918" s="36"/>
      <c r="T918" s="36"/>
      <c r="U918" s="36"/>
    </row>
    <row r="919" spans="18:21" x14ac:dyDescent="0.25">
      <c r="R919" s="36"/>
      <c r="S919" s="36"/>
      <c r="T919" s="36"/>
      <c r="U919" s="36"/>
    </row>
    <row r="920" spans="18:21" x14ac:dyDescent="0.25">
      <c r="R920" s="36"/>
      <c r="S920" s="36"/>
      <c r="T920" s="36"/>
      <c r="U920" s="36"/>
    </row>
    <row r="921" spans="18:21" x14ac:dyDescent="0.25">
      <c r="R921" s="36"/>
      <c r="S921" s="36"/>
      <c r="T921" s="36"/>
      <c r="U921" s="36"/>
    </row>
    <row r="922" spans="18:21" x14ac:dyDescent="0.25">
      <c r="R922" s="36"/>
      <c r="S922" s="36"/>
      <c r="T922" s="36"/>
      <c r="U922" s="36"/>
    </row>
    <row r="923" spans="18:21" x14ac:dyDescent="0.25">
      <c r="R923" s="36"/>
      <c r="S923" s="36"/>
      <c r="T923" s="36"/>
      <c r="U923" s="36"/>
    </row>
    <row r="924" spans="18:21" x14ac:dyDescent="0.25">
      <c r="R924" s="36"/>
      <c r="S924" s="36"/>
      <c r="T924" s="36"/>
      <c r="U924" s="36"/>
    </row>
    <row r="925" spans="18:21" x14ac:dyDescent="0.25">
      <c r="R925" s="36"/>
      <c r="S925" s="36"/>
      <c r="T925" s="36"/>
      <c r="U925" s="36"/>
    </row>
    <row r="926" spans="18:21" x14ac:dyDescent="0.25">
      <c r="R926" s="36"/>
      <c r="S926" s="36"/>
      <c r="T926" s="36"/>
      <c r="U926" s="36"/>
    </row>
    <row r="927" spans="18:21" x14ac:dyDescent="0.25">
      <c r="R927" s="36"/>
      <c r="S927" s="36"/>
      <c r="T927" s="36"/>
      <c r="U927" s="36"/>
    </row>
    <row r="928" spans="18:21" x14ac:dyDescent="0.25">
      <c r="R928" s="36"/>
      <c r="S928" s="36"/>
      <c r="T928" s="36"/>
      <c r="U928" s="36"/>
    </row>
    <row r="929" spans="18:21" x14ac:dyDescent="0.25">
      <c r="R929" s="36"/>
      <c r="S929" s="36"/>
      <c r="T929" s="36"/>
      <c r="U929" s="36"/>
    </row>
    <row r="930" spans="18:21" x14ac:dyDescent="0.25">
      <c r="R930" s="36"/>
      <c r="S930" s="36"/>
      <c r="T930" s="36"/>
      <c r="U930" s="36"/>
    </row>
    <row r="931" spans="18:21" x14ac:dyDescent="0.25">
      <c r="R931" s="36"/>
      <c r="S931" s="36"/>
      <c r="T931" s="36"/>
      <c r="U931" s="36"/>
    </row>
    <row r="932" spans="18:21" x14ac:dyDescent="0.25">
      <c r="R932" s="36"/>
      <c r="S932" s="36"/>
      <c r="T932" s="36"/>
      <c r="U932" s="36"/>
    </row>
    <row r="933" spans="18:21" x14ac:dyDescent="0.25">
      <c r="R933" s="36"/>
      <c r="S933" s="36"/>
      <c r="T933" s="36"/>
      <c r="U933" s="36"/>
    </row>
    <row r="934" spans="18:21" x14ac:dyDescent="0.25">
      <c r="R934" s="36"/>
      <c r="S934" s="36"/>
      <c r="T934" s="36"/>
      <c r="U934" s="36"/>
    </row>
    <row r="935" spans="18:21" x14ac:dyDescent="0.25">
      <c r="R935" s="36"/>
      <c r="S935" s="36"/>
      <c r="T935" s="36"/>
      <c r="U935" s="36"/>
    </row>
    <row r="936" spans="18:21" x14ac:dyDescent="0.25">
      <c r="R936" s="36"/>
      <c r="S936" s="36"/>
      <c r="T936" s="36"/>
      <c r="U936" s="36"/>
    </row>
    <row r="937" spans="18:21" x14ac:dyDescent="0.25">
      <c r="R937" s="36"/>
      <c r="S937" s="36"/>
      <c r="T937" s="36"/>
      <c r="U937" s="36"/>
    </row>
    <row r="938" spans="18:21" x14ac:dyDescent="0.25">
      <c r="R938" s="36"/>
      <c r="S938" s="36"/>
      <c r="T938" s="36"/>
      <c r="U938" s="36"/>
    </row>
    <row r="939" spans="18:21" x14ac:dyDescent="0.25">
      <c r="R939" s="36"/>
      <c r="S939" s="36"/>
      <c r="T939" s="36"/>
      <c r="U939" s="36"/>
    </row>
    <row r="940" spans="18:21" x14ac:dyDescent="0.25">
      <c r="R940" s="36"/>
      <c r="S940" s="36"/>
      <c r="T940" s="36"/>
      <c r="U940" s="36"/>
    </row>
    <row r="941" spans="18:21" x14ac:dyDescent="0.25">
      <c r="R941" s="36"/>
      <c r="S941" s="36"/>
      <c r="T941" s="36"/>
      <c r="U941" s="36"/>
    </row>
    <row r="942" spans="18:21" x14ac:dyDescent="0.25">
      <c r="R942" s="36"/>
      <c r="S942" s="36"/>
      <c r="T942" s="36"/>
      <c r="U942" s="36"/>
    </row>
    <row r="943" spans="18:21" x14ac:dyDescent="0.25">
      <c r="R943" s="36"/>
      <c r="S943" s="36"/>
      <c r="T943" s="36"/>
      <c r="U943" s="36"/>
    </row>
    <row r="944" spans="18:21" x14ac:dyDescent="0.25">
      <c r="R944" s="36"/>
      <c r="S944" s="36"/>
      <c r="T944" s="36"/>
      <c r="U944" s="36"/>
    </row>
    <row r="945" spans="18:21" x14ac:dyDescent="0.25">
      <c r="R945" s="36"/>
      <c r="S945" s="36"/>
      <c r="T945" s="36"/>
      <c r="U945" s="36"/>
    </row>
    <row r="946" spans="18:21" x14ac:dyDescent="0.25">
      <c r="R946" s="36"/>
      <c r="S946" s="36"/>
      <c r="T946" s="36"/>
      <c r="U946" s="36"/>
    </row>
    <row r="947" spans="18:21" x14ac:dyDescent="0.25">
      <c r="R947" s="36"/>
      <c r="S947" s="36"/>
      <c r="T947" s="36"/>
      <c r="U947" s="36"/>
    </row>
    <row r="948" spans="18:21" x14ac:dyDescent="0.25">
      <c r="R948" s="36"/>
      <c r="S948" s="36"/>
      <c r="T948" s="36"/>
      <c r="U948" s="36"/>
    </row>
    <row r="949" spans="18:21" x14ac:dyDescent="0.25">
      <c r="R949" s="36"/>
      <c r="S949" s="36"/>
      <c r="T949" s="36"/>
      <c r="U949" s="36"/>
    </row>
    <row r="950" spans="18:21" x14ac:dyDescent="0.25">
      <c r="R950" s="36"/>
      <c r="S950" s="36"/>
      <c r="T950" s="36"/>
      <c r="U950" s="36"/>
    </row>
    <row r="951" spans="18:21" x14ac:dyDescent="0.25">
      <c r="R951" s="36"/>
      <c r="S951" s="36"/>
      <c r="T951" s="36"/>
      <c r="U951" s="36"/>
    </row>
    <row r="952" spans="18:21" x14ac:dyDescent="0.25">
      <c r="R952" s="36"/>
      <c r="S952" s="36"/>
      <c r="T952" s="36"/>
      <c r="U952" s="36"/>
    </row>
    <row r="953" spans="18:21" x14ac:dyDescent="0.25">
      <c r="R953" s="36"/>
      <c r="S953" s="36"/>
      <c r="T953" s="36"/>
      <c r="U953" s="36"/>
    </row>
    <row r="954" spans="18:21" x14ac:dyDescent="0.25">
      <c r="R954" s="36"/>
      <c r="S954" s="36"/>
      <c r="T954" s="36"/>
      <c r="U954" s="36"/>
    </row>
    <row r="955" spans="18:21" x14ac:dyDescent="0.25">
      <c r="R955" s="36"/>
      <c r="S955" s="36"/>
      <c r="T955" s="36"/>
      <c r="U955" s="36"/>
    </row>
    <row r="956" spans="18:21" x14ac:dyDescent="0.25">
      <c r="R956" s="36"/>
      <c r="S956" s="36"/>
      <c r="T956" s="36"/>
      <c r="U956" s="36"/>
    </row>
    <row r="957" spans="18:21" x14ac:dyDescent="0.25">
      <c r="R957" s="36"/>
      <c r="S957" s="36"/>
      <c r="T957" s="36"/>
      <c r="U957" s="36"/>
    </row>
    <row r="958" spans="18:21" x14ac:dyDescent="0.25">
      <c r="R958" s="36"/>
      <c r="S958" s="36"/>
      <c r="T958" s="36"/>
      <c r="U958" s="36"/>
    </row>
    <row r="959" spans="18:21" x14ac:dyDescent="0.25">
      <c r="R959" s="36"/>
      <c r="S959" s="36"/>
      <c r="T959" s="36"/>
      <c r="U959" s="36"/>
    </row>
    <row r="960" spans="18:21" x14ac:dyDescent="0.25">
      <c r="R960" s="36"/>
      <c r="S960" s="36"/>
      <c r="T960" s="36"/>
      <c r="U960" s="36"/>
    </row>
    <row r="961" spans="18:21" x14ac:dyDescent="0.25">
      <c r="R961" s="36"/>
      <c r="S961" s="36"/>
      <c r="T961" s="36"/>
      <c r="U961" s="36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54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0" t="s">
        <v>86</v>
      </c>
      <c r="B1" s="30" t="s">
        <v>87</v>
      </c>
      <c r="C1" s="31" t="s">
        <v>88</v>
      </c>
      <c r="D1" s="30" t="s">
        <v>89</v>
      </c>
      <c r="E1" s="30" t="s">
        <v>4</v>
      </c>
      <c r="F1" s="30" t="s">
        <v>90</v>
      </c>
      <c r="G1" s="31" t="s">
        <v>91</v>
      </c>
    </row>
    <row r="2" spans="1:7" x14ac:dyDescent="0.25">
      <c r="A2">
        <v>1</v>
      </c>
      <c r="B2" t="s">
        <v>149</v>
      </c>
      <c r="C2">
        <v>10</v>
      </c>
      <c r="D2" t="s">
        <v>117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149</v>
      </c>
      <c r="C3">
        <v>20</v>
      </c>
      <c r="D3" t="s">
        <v>118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149</v>
      </c>
      <c r="C4">
        <v>30</v>
      </c>
      <c r="D4" t="s">
        <v>105</v>
      </c>
      <c r="E4" t="s">
        <v>17</v>
      </c>
      <c r="F4">
        <v>0.94</v>
      </c>
      <c r="G4" t="s">
        <v>18</v>
      </c>
    </row>
    <row r="5" spans="1:7" x14ac:dyDescent="0.25">
      <c r="A5">
        <v>1</v>
      </c>
      <c r="B5" t="s">
        <v>149</v>
      </c>
      <c r="C5">
        <v>40</v>
      </c>
      <c r="D5" t="s">
        <v>138</v>
      </c>
      <c r="E5" t="s">
        <v>17</v>
      </c>
      <c r="F5">
        <v>0.94</v>
      </c>
      <c r="G5" t="s">
        <v>18</v>
      </c>
    </row>
    <row r="6" spans="1:7" x14ac:dyDescent="0.25">
      <c r="A6">
        <v>1</v>
      </c>
      <c r="B6" t="s">
        <v>149</v>
      </c>
      <c r="C6">
        <v>50</v>
      </c>
      <c r="D6" t="s">
        <v>139</v>
      </c>
      <c r="E6" t="s">
        <v>11</v>
      </c>
      <c r="F6">
        <v>1</v>
      </c>
      <c r="G6" t="s">
        <v>18</v>
      </c>
    </row>
    <row r="7" spans="1:7" x14ac:dyDescent="0.25">
      <c r="A7">
        <v>1</v>
      </c>
      <c r="B7" t="s">
        <v>149</v>
      </c>
      <c r="C7">
        <v>60</v>
      </c>
      <c r="D7" t="s">
        <v>116</v>
      </c>
      <c r="E7" t="s">
        <v>111</v>
      </c>
      <c r="F7">
        <v>0.377</v>
      </c>
      <c r="G7" t="s">
        <v>15</v>
      </c>
    </row>
    <row r="8" spans="1:7" x14ac:dyDescent="0.25">
      <c r="A8">
        <v>1</v>
      </c>
      <c r="B8" t="s">
        <v>149</v>
      </c>
      <c r="C8">
        <v>70</v>
      </c>
      <c r="D8" t="s">
        <v>29</v>
      </c>
      <c r="E8" t="s">
        <v>14</v>
      </c>
      <c r="F8">
        <v>0.11899999999999999</v>
      </c>
      <c r="G8" t="s">
        <v>15</v>
      </c>
    </row>
    <row r="9" spans="1:7" x14ac:dyDescent="0.25">
      <c r="A9">
        <v>1</v>
      </c>
      <c r="B9" t="s">
        <v>149</v>
      </c>
      <c r="C9">
        <v>80</v>
      </c>
      <c r="D9" t="s">
        <v>21</v>
      </c>
      <c r="E9" t="s">
        <v>17</v>
      </c>
      <c r="F9">
        <v>111.252</v>
      </c>
      <c r="G9" t="s">
        <v>15</v>
      </c>
    </row>
    <row r="10" spans="1:7" x14ac:dyDescent="0.25">
      <c r="A10">
        <v>1</v>
      </c>
      <c r="B10" t="s">
        <v>149</v>
      </c>
      <c r="C10">
        <v>90</v>
      </c>
      <c r="D10" t="s">
        <v>106</v>
      </c>
      <c r="E10" t="s">
        <v>17</v>
      </c>
      <c r="F10">
        <v>11.379</v>
      </c>
      <c r="G10" t="s">
        <v>15</v>
      </c>
    </row>
    <row r="11" spans="1:7" x14ac:dyDescent="0.25">
      <c r="A11">
        <v>1</v>
      </c>
      <c r="B11" t="s">
        <v>149</v>
      </c>
      <c r="C11">
        <v>100</v>
      </c>
      <c r="D11" t="s">
        <v>107</v>
      </c>
      <c r="E11" t="s">
        <v>17</v>
      </c>
      <c r="F11">
        <v>69.981999999999999</v>
      </c>
      <c r="G11" t="s">
        <v>15</v>
      </c>
    </row>
    <row r="12" spans="1:7" x14ac:dyDescent="0.25">
      <c r="A12">
        <v>1</v>
      </c>
      <c r="B12" t="s">
        <v>149</v>
      </c>
      <c r="C12">
        <v>110</v>
      </c>
      <c r="D12" t="s">
        <v>100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149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149</v>
      </c>
      <c r="C14">
        <v>130</v>
      </c>
      <c r="D14" t="s">
        <v>27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149</v>
      </c>
      <c r="C15">
        <v>140</v>
      </c>
      <c r="D15" t="s">
        <v>28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149</v>
      </c>
      <c r="C16">
        <v>150</v>
      </c>
      <c r="D16" t="s">
        <v>115</v>
      </c>
      <c r="E16" t="s">
        <v>14</v>
      </c>
      <c r="F16">
        <v>0.33</v>
      </c>
      <c r="G16" t="s">
        <v>15</v>
      </c>
    </row>
    <row r="17" spans="1:7" x14ac:dyDescent="0.25">
      <c r="A17">
        <v>1</v>
      </c>
      <c r="B17" t="s">
        <v>149</v>
      </c>
      <c r="C17">
        <v>160</v>
      </c>
      <c r="D17" t="s">
        <v>119</v>
      </c>
      <c r="E17" t="s">
        <v>11</v>
      </c>
      <c r="F17">
        <v>1</v>
      </c>
      <c r="G17" t="s">
        <v>18</v>
      </c>
    </row>
    <row r="18" spans="1:7" x14ac:dyDescent="0.25">
      <c r="A18">
        <v>1</v>
      </c>
      <c r="B18" t="s">
        <v>149</v>
      </c>
      <c r="C18">
        <v>170</v>
      </c>
      <c r="D18" t="s">
        <v>120</v>
      </c>
      <c r="E18" t="s">
        <v>14</v>
      </c>
      <c r="F18">
        <v>0.5</v>
      </c>
      <c r="G18" t="s">
        <v>15</v>
      </c>
    </row>
    <row r="19" spans="1:7" x14ac:dyDescent="0.25">
      <c r="A19">
        <v>2</v>
      </c>
      <c r="B19" t="s">
        <v>150</v>
      </c>
      <c r="C19">
        <v>10</v>
      </c>
      <c r="D19" t="s">
        <v>123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150</v>
      </c>
      <c r="C20">
        <v>20</v>
      </c>
      <c r="D20" t="s">
        <v>124</v>
      </c>
      <c r="E20" t="s">
        <v>14</v>
      </c>
      <c r="F20">
        <v>2.3889999999999998</v>
      </c>
      <c r="G20" t="s">
        <v>15</v>
      </c>
    </row>
    <row r="21" spans="1:7" x14ac:dyDescent="0.25">
      <c r="A21">
        <v>2</v>
      </c>
      <c r="B21" t="s">
        <v>150</v>
      </c>
      <c r="C21">
        <v>30</v>
      </c>
      <c r="D21" t="s">
        <v>105</v>
      </c>
      <c r="E21" t="s">
        <v>17</v>
      </c>
      <c r="F21">
        <v>0.94</v>
      </c>
      <c r="G21" t="s">
        <v>18</v>
      </c>
    </row>
    <row r="22" spans="1:7" x14ac:dyDescent="0.25">
      <c r="A22">
        <v>2</v>
      </c>
      <c r="B22" t="s">
        <v>150</v>
      </c>
      <c r="C22">
        <v>40</v>
      </c>
      <c r="D22" t="s">
        <v>138</v>
      </c>
      <c r="E22" t="s">
        <v>17</v>
      </c>
      <c r="F22">
        <v>0.94</v>
      </c>
      <c r="G22" t="s">
        <v>18</v>
      </c>
    </row>
    <row r="23" spans="1:7" x14ac:dyDescent="0.25">
      <c r="A23">
        <v>2</v>
      </c>
      <c r="B23" t="s">
        <v>150</v>
      </c>
      <c r="C23">
        <v>50</v>
      </c>
      <c r="D23" t="s">
        <v>140</v>
      </c>
      <c r="E23" t="s">
        <v>11</v>
      </c>
      <c r="F23">
        <v>1</v>
      </c>
      <c r="G23" t="s">
        <v>18</v>
      </c>
    </row>
    <row r="24" spans="1:7" x14ac:dyDescent="0.25">
      <c r="A24">
        <v>2</v>
      </c>
      <c r="B24" t="s">
        <v>150</v>
      </c>
      <c r="C24">
        <v>60</v>
      </c>
      <c r="D24" t="s">
        <v>116</v>
      </c>
      <c r="E24" t="s">
        <v>111</v>
      </c>
      <c r="F24">
        <v>0.39300000000000002</v>
      </c>
      <c r="G24" t="s">
        <v>15</v>
      </c>
    </row>
    <row r="25" spans="1:7" x14ac:dyDescent="0.25">
      <c r="A25">
        <v>2</v>
      </c>
      <c r="B25" t="s">
        <v>150</v>
      </c>
      <c r="C25">
        <v>70</v>
      </c>
      <c r="D25" t="s">
        <v>29</v>
      </c>
      <c r="E25" t="s">
        <v>14</v>
      </c>
      <c r="F25">
        <v>0.122</v>
      </c>
      <c r="G25" t="s">
        <v>15</v>
      </c>
    </row>
    <row r="26" spans="1:7" x14ac:dyDescent="0.25">
      <c r="A26">
        <v>2</v>
      </c>
      <c r="B26" t="s">
        <v>150</v>
      </c>
      <c r="C26">
        <v>80</v>
      </c>
      <c r="D26" t="s">
        <v>21</v>
      </c>
      <c r="E26" t="s">
        <v>17</v>
      </c>
      <c r="F26">
        <v>114.3</v>
      </c>
      <c r="G26" t="s">
        <v>15</v>
      </c>
    </row>
    <row r="27" spans="1:7" x14ac:dyDescent="0.25">
      <c r="A27">
        <v>2</v>
      </c>
      <c r="B27" t="s">
        <v>150</v>
      </c>
      <c r="C27">
        <v>90</v>
      </c>
      <c r="D27" t="s">
        <v>106</v>
      </c>
      <c r="E27" t="s">
        <v>17</v>
      </c>
      <c r="F27">
        <v>11.683999999999999</v>
      </c>
      <c r="G27" t="s">
        <v>15</v>
      </c>
    </row>
    <row r="28" spans="1:7" x14ac:dyDescent="0.25">
      <c r="A28">
        <v>2</v>
      </c>
      <c r="B28" t="s">
        <v>150</v>
      </c>
      <c r="C28">
        <v>100</v>
      </c>
      <c r="D28" t="s">
        <v>107</v>
      </c>
      <c r="E28" t="s">
        <v>17</v>
      </c>
      <c r="F28">
        <v>71.856999999999999</v>
      </c>
      <c r="G28" t="s">
        <v>15</v>
      </c>
    </row>
    <row r="29" spans="1:7" x14ac:dyDescent="0.25">
      <c r="A29">
        <v>2</v>
      </c>
      <c r="B29" t="s">
        <v>150</v>
      </c>
      <c r="C29">
        <v>110</v>
      </c>
      <c r="D29" t="s">
        <v>100</v>
      </c>
      <c r="E29" t="s">
        <v>11</v>
      </c>
      <c r="F29">
        <v>4</v>
      </c>
      <c r="G29" t="s">
        <v>15</v>
      </c>
    </row>
    <row r="30" spans="1:7" x14ac:dyDescent="0.25">
      <c r="A30">
        <v>2</v>
      </c>
      <c r="B30" t="s">
        <v>150</v>
      </c>
      <c r="C30">
        <v>120</v>
      </c>
      <c r="D30" t="s">
        <v>26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150</v>
      </c>
      <c r="C31">
        <v>130</v>
      </c>
      <c r="D31" t="s">
        <v>27</v>
      </c>
      <c r="E31" t="s">
        <v>11</v>
      </c>
      <c r="F31">
        <v>1</v>
      </c>
      <c r="G31" t="s">
        <v>15</v>
      </c>
    </row>
    <row r="32" spans="1:7" x14ac:dyDescent="0.25">
      <c r="A32">
        <v>2</v>
      </c>
      <c r="B32" t="s">
        <v>150</v>
      </c>
      <c r="C32">
        <v>140</v>
      </c>
      <c r="D32" t="s">
        <v>28</v>
      </c>
      <c r="E32" t="s">
        <v>11</v>
      </c>
      <c r="F32">
        <v>1</v>
      </c>
      <c r="G32" t="s">
        <v>15</v>
      </c>
    </row>
    <row r="33" spans="1:7" x14ac:dyDescent="0.25">
      <c r="A33">
        <v>2</v>
      </c>
      <c r="B33" t="s">
        <v>150</v>
      </c>
      <c r="C33">
        <v>150</v>
      </c>
      <c r="D33" t="s">
        <v>115</v>
      </c>
      <c r="E33" t="s">
        <v>14</v>
      </c>
      <c r="F33">
        <v>0.33</v>
      </c>
      <c r="G33" t="s">
        <v>15</v>
      </c>
    </row>
    <row r="34" spans="1:7" x14ac:dyDescent="0.25">
      <c r="A34">
        <v>2</v>
      </c>
      <c r="B34" t="s">
        <v>150</v>
      </c>
      <c r="C34">
        <v>160</v>
      </c>
      <c r="D34" t="s">
        <v>125</v>
      </c>
      <c r="E34" t="s">
        <v>11</v>
      </c>
      <c r="F34">
        <v>1</v>
      </c>
      <c r="G34" t="s">
        <v>18</v>
      </c>
    </row>
    <row r="35" spans="1:7" x14ac:dyDescent="0.25">
      <c r="A35">
        <v>2</v>
      </c>
      <c r="B35" t="s">
        <v>150</v>
      </c>
      <c r="C35">
        <v>170</v>
      </c>
      <c r="D35" t="s">
        <v>120</v>
      </c>
      <c r="E35" t="s">
        <v>14</v>
      </c>
      <c r="F35">
        <v>0.5</v>
      </c>
      <c r="G35" t="s">
        <v>15</v>
      </c>
    </row>
    <row r="36" spans="1:7" x14ac:dyDescent="0.25">
      <c r="A36">
        <v>3</v>
      </c>
      <c r="B36" t="s">
        <v>151</v>
      </c>
      <c r="C36">
        <v>10</v>
      </c>
      <c r="D36" t="s">
        <v>135</v>
      </c>
      <c r="E36" t="s">
        <v>11</v>
      </c>
      <c r="F36">
        <v>1</v>
      </c>
      <c r="G36" t="s">
        <v>18</v>
      </c>
    </row>
    <row r="37" spans="1:7" x14ac:dyDescent="0.25">
      <c r="A37">
        <v>3</v>
      </c>
      <c r="B37" t="s">
        <v>151</v>
      </c>
      <c r="C37">
        <v>20</v>
      </c>
      <c r="D37" t="s">
        <v>136</v>
      </c>
      <c r="E37" t="s">
        <v>14</v>
      </c>
      <c r="F37">
        <v>5.0049999999999999</v>
      </c>
      <c r="G37" t="s">
        <v>15</v>
      </c>
    </row>
    <row r="38" spans="1:7" x14ac:dyDescent="0.25">
      <c r="A38">
        <v>3</v>
      </c>
      <c r="B38" t="s">
        <v>151</v>
      </c>
      <c r="C38">
        <v>30</v>
      </c>
      <c r="D38" t="s">
        <v>105</v>
      </c>
      <c r="E38" t="s">
        <v>17</v>
      </c>
      <c r="F38">
        <v>1.8540000000000001</v>
      </c>
      <c r="G38" t="s">
        <v>18</v>
      </c>
    </row>
    <row r="39" spans="1:7" x14ac:dyDescent="0.25">
      <c r="A39">
        <v>3</v>
      </c>
      <c r="B39" t="s">
        <v>151</v>
      </c>
      <c r="C39">
        <v>40</v>
      </c>
      <c r="D39" t="s">
        <v>138</v>
      </c>
      <c r="E39" t="s">
        <v>17</v>
      </c>
      <c r="F39">
        <v>1.8540000000000001</v>
      </c>
      <c r="G39" t="s">
        <v>18</v>
      </c>
    </row>
    <row r="40" spans="1:7" x14ac:dyDescent="0.25">
      <c r="A40">
        <v>3</v>
      </c>
      <c r="B40" t="s">
        <v>151</v>
      </c>
      <c r="C40">
        <v>50</v>
      </c>
      <c r="D40" t="s">
        <v>141</v>
      </c>
      <c r="E40" t="s">
        <v>11</v>
      </c>
      <c r="F40">
        <v>1</v>
      </c>
      <c r="G40" t="s">
        <v>18</v>
      </c>
    </row>
    <row r="41" spans="1:7" x14ac:dyDescent="0.25">
      <c r="A41">
        <v>3</v>
      </c>
      <c r="B41" t="s">
        <v>151</v>
      </c>
      <c r="C41">
        <v>60</v>
      </c>
      <c r="D41" t="s">
        <v>116</v>
      </c>
      <c r="E41" t="s">
        <v>111</v>
      </c>
      <c r="F41">
        <v>0.83</v>
      </c>
      <c r="G41" t="s">
        <v>15</v>
      </c>
    </row>
    <row r="42" spans="1:7" x14ac:dyDescent="0.25">
      <c r="A42">
        <v>3</v>
      </c>
      <c r="B42" t="s">
        <v>151</v>
      </c>
      <c r="C42">
        <v>70</v>
      </c>
      <c r="D42" t="s">
        <v>29</v>
      </c>
      <c r="E42" t="s">
        <v>14</v>
      </c>
      <c r="F42">
        <v>0.16500000000000001</v>
      </c>
      <c r="G42" t="s">
        <v>15</v>
      </c>
    </row>
    <row r="43" spans="1:7" x14ac:dyDescent="0.25">
      <c r="A43">
        <v>3</v>
      </c>
      <c r="B43" t="s">
        <v>151</v>
      </c>
      <c r="C43">
        <v>80</v>
      </c>
      <c r="D43" t="s">
        <v>21</v>
      </c>
      <c r="E43" t="s">
        <v>17</v>
      </c>
      <c r="F43">
        <v>153.92400000000001</v>
      </c>
      <c r="G43" t="s">
        <v>15</v>
      </c>
    </row>
    <row r="44" spans="1:7" x14ac:dyDescent="0.25">
      <c r="A44">
        <v>3</v>
      </c>
      <c r="B44" t="s">
        <v>151</v>
      </c>
      <c r="C44">
        <v>90</v>
      </c>
      <c r="D44" t="s">
        <v>106</v>
      </c>
      <c r="E44" t="s">
        <v>17</v>
      </c>
      <c r="F44">
        <v>15.646000000000001</v>
      </c>
      <c r="G44" t="s">
        <v>15</v>
      </c>
    </row>
    <row r="45" spans="1:7" x14ac:dyDescent="0.25">
      <c r="A45">
        <v>3</v>
      </c>
      <c r="B45" t="s">
        <v>151</v>
      </c>
      <c r="C45">
        <v>100</v>
      </c>
      <c r="D45" t="s">
        <v>107</v>
      </c>
      <c r="E45" t="s">
        <v>17</v>
      </c>
      <c r="F45">
        <v>96.224999999999994</v>
      </c>
      <c r="G45" t="s">
        <v>15</v>
      </c>
    </row>
    <row r="46" spans="1:7" x14ac:dyDescent="0.25">
      <c r="A46">
        <v>3</v>
      </c>
      <c r="B46" t="s">
        <v>151</v>
      </c>
      <c r="C46">
        <v>110</v>
      </c>
      <c r="D46" t="s">
        <v>100</v>
      </c>
      <c r="E46" t="s">
        <v>11</v>
      </c>
      <c r="F46">
        <v>4</v>
      </c>
      <c r="G46" t="s">
        <v>15</v>
      </c>
    </row>
    <row r="47" spans="1:7" x14ac:dyDescent="0.25">
      <c r="A47">
        <v>3</v>
      </c>
      <c r="B47" t="s">
        <v>151</v>
      </c>
      <c r="C47">
        <v>120</v>
      </c>
      <c r="D47" t="s">
        <v>26</v>
      </c>
      <c r="E47" t="s">
        <v>11</v>
      </c>
      <c r="F47">
        <v>1</v>
      </c>
      <c r="G47" t="s">
        <v>15</v>
      </c>
    </row>
    <row r="48" spans="1:7" x14ac:dyDescent="0.25">
      <c r="A48">
        <v>3</v>
      </c>
      <c r="B48" t="s">
        <v>151</v>
      </c>
      <c r="C48">
        <v>130</v>
      </c>
      <c r="D48" t="s">
        <v>27</v>
      </c>
      <c r="E48" t="s">
        <v>11</v>
      </c>
      <c r="F48">
        <v>1</v>
      </c>
      <c r="G48" t="s">
        <v>15</v>
      </c>
    </row>
    <row r="49" spans="1:7" x14ac:dyDescent="0.25">
      <c r="A49">
        <v>3</v>
      </c>
      <c r="B49" t="s">
        <v>151</v>
      </c>
      <c r="C49">
        <v>140</v>
      </c>
      <c r="D49" t="s">
        <v>28</v>
      </c>
      <c r="E49" t="s">
        <v>11</v>
      </c>
      <c r="F49">
        <v>1</v>
      </c>
      <c r="G49" t="s">
        <v>15</v>
      </c>
    </row>
    <row r="50" spans="1:7" x14ac:dyDescent="0.25">
      <c r="A50">
        <v>3</v>
      </c>
      <c r="B50" t="s">
        <v>151</v>
      </c>
      <c r="C50">
        <v>150</v>
      </c>
      <c r="D50" t="s">
        <v>115</v>
      </c>
      <c r="E50" t="s">
        <v>14</v>
      </c>
      <c r="F50">
        <v>0.60099999999999998</v>
      </c>
      <c r="G50" t="s">
        <v>15</v>
      </c>
    </row>
    <row r="51" spans="1:7" x14ac:dyDescent="0.25">
      <c r="A51">
        <v>3</v>
      </c>
      <c r="B51" t="s">
        <v>151</v>
      </c>
      <c r="C51">
        <v>160</v>
      </c>
      <c r="D51" t="s">
        <v>137</v>
      </c>
      <c r="E51" t="s">
        <v>11</v>
      </c>
      <c r="F51">
        <v>1</v>
      </c>
      <c r="G51" t="s">
        <v>18</v>
      </c>
    </row>
    <row r="52" spans="1:7" x14ac:dyDescent="0.25">
      <c r="A52">
        <v>3</v>
      </c>
      <c r="B52" t="s">
        <v>151</v>
      </c>
      <c r="C52">
        <v>170</v>
      </c>
      <c r="D52" t="s">
        <v>122</v>
      </c>
      <c r="E52" t="s">
        <v>14</v>
      </c>
      <c r="F52">
        <v>0.8</v>
      </c>
      <c r="G52" t="s">
        <v>15</v>
      </c>
    </row>
    <row r="53" spans="1:7" x14ac:dyDescent="0.25">
      <c r="A53">
        <v>4</v>
      </c>
      <c r="B53" t="s">
        <v>152</v>
      </c>
      <c r="C53">
        <v>10</v>
      </c>
      <c r="D53" t="s">
        <v>117</v>
      </c>
      <c r="E53" t="s">
        <v>11</v>
      </c>
      <c r="F53">
        <v>1</v>
      </c>
      <c r="G53" t="s">
        <v>18</v>
      </c>
    </row>
    <row r="54" spans="1:7" x14ac:dyDescent="0.25">
      <c r="A54">
        <v>4</v>
      </c>
      <c r="B54" t="s">
        <v>152</v>
      </c>
      <c r="C54">
        <v>20</v>
      </c>
      <c r="D54" t="s">
        <v>118</v>
      </c>
      <c r="E54" t="s">
        <v>14</v>
      </c>
      <c r="F54">
        <v>2.2930000000000001</v>
      </c>
      <c r="G54" t="s">
        <v>15</v>
      </c>
    </row>
    <row r="55" spans="1:7" x14ac:dyDescent="0.25">
      <c r="A55">
        <v>4</v>
      </c>
      <c r="B55" t="s">
        <v>152</v>
      </c>
      <c r="C55">
        <v>30</v>
      </c>
      <c r="D55" t="s">
        <v>108</v>
      </c>
      <c r="E55" t="s">
        <v>17</v>
      </c>
      <c r="F55">
        <v>0.94</v>
      </c>
      <c r="G55" t="s">
        <v>18</v>
      </c>
    </row>
    <row r="56" spans="1:7" x14ac:dyDescent="0.25">
      <c r="A56">
        <v>4</v>
      </c>
      <c r="B56" t="s">
        <v>152</v>
      </c>
      <c r="C56">
        <v>40</v>
      </c>
      <c r="D56" t="s">
        <v>142</v>
      </c>
      <c r="E56" t="s">
        <v>17</v>
      </c>
      <c r="F56">
        <v>0.94</v>
      </c>
      <c r="G56" t="s">
        <v>18</v>
      </c>
    </row>
    <row r="57" spans="1:7" x14ac:dyDescent="0.25">
      <c r="A57">
        <v>4</v>
      </c>
      <c r="B57" t="s">
        <v>152</v>
      </c>
      <c r="C57">
        <v>50</v>
      </c>
      <c r="D57" t="s">
        <v>143</v>
      </c>
      <c r="E57" t="s">
        <v>11</v>
      </c>
      <c r="F57">
        <v>1</v>
      </c>
      <c r="G57" t="s">
        <v>18</v>
      </c>
    </row>
    <row r="58" spans="1:7" x14ac:dyDescent="0.25">
      <c r="A58">
        <v>4</v>
      </c>
      <c r="B58" t="s">
        <v>152</v>
      </c>
      <c r="C58">
        <v>60</v>
      </c>
      <c r="D58" t="s">
        <v>116</v>
      </c>
      <c r="E58" t="s">
        <v>111</v>
      </c>
      <c r="F58">
        <v>0.377</v>
      </c>
      <c r="G58" t="s">
        <v>15</v>
      </c>
    </row>
    <row r="59" spans="1:7" x14ac:dyDescent="0.25">
      <c r="A59">
        <v>4</v>
      </c>
      <c r="B59" t="s">
        <v>152</v>
      </c>
      <c r="C59">
        <v>70</v>
      </c>
      <c r="D59" t="s">
        <v>29</v>
      </c>
      <c r="E59" t="s">
        <v>14</v>
      </c>
      <c r="F59">
        <v>0.11899999999999999</v>
      </c>
      <c r="G59" t="s">
        <v>15</v>
      </c>
    </row>
    <row r="60" spans="1:7" x14ac:dyDescent="0.25">
      <c r="A60">
        <v>4</v>
      </c>
      <c r="B60" t="s">
        <v>152</v>
      </c>
      <c r="C60">
        <v>80</v>
      </c>
      <c r="D60" t="s">
        <v>21</v>
      </c>
      <c r="E60" t="s">
        <v>17</v>
      </c>
      <c r="F60">
        <v>111.252</v>
      </c>
      <c r="G60" t="s">
        <v>15</v>
      </c>
    </row>
    <row r="61" spans="1:7" x14ac:dyDescent="0.25">
      <c r="A61">
        <v>4</v>
      </c>
      <c r="B61" t="s">
        <v>152</v>
      </c>
      <c r="C61">
        <v>90</v>
      </c>
      <c r="D61" t="s">
        <v>109</v>
      </c>
      <c r="E61" t="s">
        <v>17</v>
      </c>
      <c r="F61">
        <v>11.379</v>
      </c>
      <c r="G61" t="s">
        <v>15</v>
      </c>
    </row>
    <row r="62" spans="1:7" x14ac:dyDescent="0.25">
      <c r="A62">
        <v>4</v>
      </c>
      <c r="B62" t="s">
        <v>152</v>
      </c>
      <c r="C62">
        <v>100</v>
      </c>
      <c r="D62" t="s">
        <v>110</v>
      </c>
      <c r="E62" t="s">
        <v>17</v>
      </c>
      <c r="F62">
        <v>69.981999999999999</v>
      </c>
      <c r="G62" t="s">
        <v>15</v>
      </c>
    </row>
    <row r="63" spans="1:7" x14ac:dyDescent="0.25">
      <c r="A63">
        <v>4</v>
      </c>
      <c r="B63" t="s">
        <v>152</v>
      </c>
      <c r="C63">
        <v>110</v>
      </c>
      <c r="D63" t="s">
        <v>100</v>
      </c>
      <c r="E63" t="s">
        <v>11</v>
      </c>
      <c r="F63">
        <v>4</v>
      </c>
      <c r="G63" t="s">
        <v>15</v>
      </c>
    </row>
    <row r="64" spans="1:7" x14ac:dyDescent="0.25">
      <c r="A64">
        <v>4</v>
      </c>
      <c r="B64" t="s">
        <v>152</v>
      </c>
      <c r="C64">
        <v>120</v>
      </c>
      <c r="D64" t="s">
        <v>26</v>
      </c>
      <c r="E64" t="s">
        <v>11</v>
      </c>
      <c r="F64">
        <v>1</v>
      </c>
      <c r="G64" t="s">
        <v>15</v>
      </c>
    </row>
    <row r="65" spans="1:7" x14ac:dyDescent="0.25">
      <c r="A65">
        <v>4</v>
      </c>
      <c r="B65" t="s">
        <v>152</v>
      </c>
      <c r="C65">
        <v>130</v>
      </c>
      <c r="D65" t="s">
        <v>27</v>
      </c>
      <c r="E65" t="s">
        <v>11</v>
      </c>
      <c r="F65">
        <v>1</v>
      </c>
      <c r="G65" t="s">
        <v>15</v>
      </c>
    </row>
    <row r="66" spans="1:7" x14ac:dyDescent="0.25">
      <c r="A66">
        <v>4</v>
      </c>
      <c r="B66" t="s">
        <v>152</v>
      </c>
      <c r="C66">
        <v>140</v>
      </c>
      <c r="D66" t="s">
        <v>28</v>
      </c>
      <c r="E66" t="s">
        <v>11</v>
      </c>
      <c r="F66">
        <v>1</v>
      </c>
      <c r="G66" t="s">
        <v>15</v>
      </c>
    </row>
    <row r="67" spans="1:7" x14ac:dyDescent="0.25">
      <c r="A67">
        <v>4</v>
      </c>
      <c r="B67" t="s">
        <v>152</v>
      </c>
      <c r="C67">
        <v>150</v>
      </c>
      <c r="D67" t="s">
        <v>115</v>
      </c>
      <c r="E67" t="s">
        <v>14</v>
      </c>
      <c r="F67">
        <v>0.33</v>
      </c>
      <c r="G67" t="s">
        <v>15</v>
      </c>
    </row>
    <row r="68" spans="1:7" x14ac:dyDescent="0.25">
      <c r="A68">
        <v>4</v>
      </c>
      <c r="B68" t="s">
        <v>152</v>
      </c>
      <c r="C68">
        <v>160</v>
      </c>
      <c r="D68" t="s">
        <v>119</v>
      </c>
      <c r="E68" t="s">
        <v>11</v>
      </c>
      <c r="F68">
        <v>1</v>
      </c>
      <c r="G68" t="s">
        <v>18</v>
      </c>
    </row>
    <row r="69" spans="1:7" x14ac:dyDescent="0.25">
      <c r="A69">
        <v>4</v>
      </c>
      <c r="B69" t="s">
        <v>152</v>
      </c>
      <c r="C69">
        <v>170</v>
      </c>
      <c r="D69" t="s">
        <v>120</v>
      </c>
      <c r="E69" t="s">
        <v>14</v>
      </c>
      <c r="F69">
        <v>0.5</v>
      </c>
      <c r="G69" t="s">
        <v>15</v>
      </c>
    </row>
    <row r="70" spans="1:7" x14ac:dyDescent="0.25">
      <c r="A70">
        <v>5</v>
      </c>
      <c r="B70" t="s">
        <v>153</v>
      </c>
      <c r="C70">
        <v>10</v>
      </c>
      <c r="D70" t="s">
        <v>123</v>
      </c>
      <c r="E70" t="s">
        <v>11</v>
      </c>
      <c r="F70">
        <v>1</v>
      </c>
      <c r="G70" t="s">
        <v>18</v>
      </c>
    </row>
    <row r="71" spans="1:7" x14ac:dyDescent="0.25">
      <c r="A71">
        <v>5</v>
      </c>
      <c r="B71" t="s">
        <v>153</v>
      </c>
      <c r="C71">
        <v>20</v>
      </c>
      <c r="D71" t="s">
        <v>124</v>
      </c>
      <c r="E71" t="s">
        <v>14</v>
      </c>
      <c r="F71">
        <v>2.3889999999999998</v>
      </c>
      <c r="G71" t="s">
        <v>15</v>
      </c>
    </row>
    <row r="72" spans="1:7" x14ac:dyDescent="0.25">
      <c r="A72">
        <v>5</v>
      </c>
      <c r="B72" t="s">
        <v>153</v>
      </c>
      <c r="C72">
        <v>30</v>
      </c>
      <c r="D72" t="s">
        <v>108</v>
      </c>
      <c r="E72" t="s">
        <v>17</v>
      </c>
      <c r="F72">
        <v>0.94</v>
      </c>
      <c r="G72" t="s">
        <v>18</v>
      </c>
    </row>
    <row r="73" spans="1:7" x14ac:dyDescent="0.25">
      <c r="A73">
        <v>5</v>
      </c>
      <c r="B73" t="s">
        <v>153</v>
      </c>
      <c r="C73">
        <v>40</v>
      </c>
      <c r="D73" t="s">
        <v>142</v>
      </c>
      <c r="E73" t="s">
        <v>17</v>
      </c>
      <c r="F73">
        <v>0.94</v>
      </c>
      <c r="G73" t="s">
        <v>18</v>
      </c>
    </row>
    <row r="74" spans="1:7" x14ac:dyDescent="0.25">
      <c r="A74">
        <v>5</v>
      </c>
      <c r="B74" t="s">
        <v>153</v>
      </c>
      <c r="C74">
        <v>50</v>
      </c>
      <c r="D74" t="s">
        <v>144</v>
      </c>
      <c r="E74" t="s">
        <v>11</v>
      </c>
      <c r="F74">
        <v>1</v>
      </c>
      <c r="G74" t="s">
        <v>18</v>
      </c>
    </row>
    <row r="75" spans="1:7" x14ac:dyDescent="0.25">
      <c r="A75">
        <v>5</v>
      </c>
      <c r="B75" t="s">
        <v>153</v>
      </c>
      <c r="C75">
        <v>60</v>
      </c>
      <c r="D75" t="s">
        <v>116</v>
      </c>
      <c r="E75" t="s">
        <v>111</v>
      </c>
      <c r="F75">
        <v>0.39300000000000002</v>
      </c>
      <c r="G75" t="s">
        <v>15</v>
      </c>
    </row>
    <row r="76" spans="1:7" x14ac:dyDescent="0.25">
      <c r="A76">
        <v>5</v>
      </c>
      <c r="B76" t="s">
        <v>153</v>
      </c>
      <c r="C76">
        <v>70</v>
      </c>
      <c r="D76" t="s">
        <v>29</v>
      </c>
      <c r="E76" t="s">
        <v>14</v>
      </c>
      <c r="F76">
        <v>0.122</v>
      </c>
      <c r="G76" t="s">
        <v>15</v>
      </c>
    </row>
    <row r="77" spans="1:7" x14ac:dyDescent="0.25">
      <c r="A77">
        <v>5</v>
      </c>
      <c r="B77" t="s">
        <v>153</v>
      </c>
      <c r="C77">
        <v>80</v>
      </c>
      <c r="D77" t="s">
        <v>21</v>
      </c>
      <c r="E77" t="s">
        <v>17</v>
      </c>
      <c r="F77">
        <v>114.3</v>
      </c>
      <c r="G77" t="s">
        <v>15</v>
      </c>
    </row>
    <row r="78" spans="1:7" x14ac:dyDescent="0.25">
      <c r="A78">
        <v>5</v>
      </c>
      <c r="B78" t="s">
        <v>153</v>
      </c>
      <c r="C78">
        <v>90</v>
      </c>
      <c r="D78" t="s">
        <v>109</v>
      </c>
      <c r="E78" t="s">
        <v>17</v>
      </c>
      <c r="F78">
        <v>11.683999999999999</v>
      </c>
      <c r="G78" t="s">
        <v>15</v>
      </c>
    </row>
    <row r="79" spans="1:7" x14ac:dyDescent="0.25">
      <c r="A79">
        <v>5</v>
      </c>
      <c r="B79" t="s">
        <v>153</v>
      </c>
      <c r="C79">
        <v>100</v>
      </c>
      <c r="D79" t="s">
        <v>110</v>
      </c>
      <c r="E79" t="s">
        <v>17</v>
      </c>
      <c r="F79">
        <v>71.856999999999999</v>
      </c>
      <c r="G79" t="s">
        <v>15</v>
      </c>
    </row>
    <row r="80" spans="1:7" x14ac:dyDescent="0.25">
      <c r="A80">
        <v>5</v>
      </c>
      <c r="B80" t="s">
        <v>153</v>
      </c>
      <c r="C80">
        <v>110</v>
      </c>
      <c r="D80" t="s">
        <v>100</v>
      </c>
      <c r="E80" t="s">
        <v>11</v>
      </c>
      <c r="F80">
        <v>4</v>
      </c>
      <c r="G80" t="s">
        <v>15</v>
      </c>
    </row>
    <row r="81" spans="1:7" x14ac:dyDescent="0.25">
      <c r="A81">
        <v>5</v>
      </c>
      <c r="B81" t="s">
        <v>153</v>
      </c>
      <c r="C81">
        <v>120</v>
      </c>
      <c r="D81" t="s">
        <v>26</v>
      </c>
      <c r="E81" t="s">
        <v>11</v>
      </c>
      <c r="F81">
        <v>1</v>
      </c>
      <c r="G81" t="s">
        <v>15</v>
      </c>
    </row>
    <row r="82" spans="1:7" x14ac:dyDescent="0.25">
      <c r="A82">
        <v>5</v>
      </c>
      <c r="B82" t="s">
        <v>153</v>
      </c>
      <c r="C82">
        <v>130</v>
      </c>
      <c r="D82" t="s">
        <v>27</v>
      </c>
      <c r="E82" t="s">
        <v>11</v>
      </c>
      <c r="F82">
        <v>1</v>
      </c>
      <c r="G82" t="s">
        <v>15</v>
      </c>
    </row>
    <row r="83" spans="1:7" x14ac:dyDescent="0.25">
      <c r="A83">
        <v>5</v>
      </c>
      <c r="B83" t="s">
        <v>153</v>
      </c>
      <c r="C83">
        <v>140</v>
      </c>
      <c r="D83" t="s">
        <v>28</v>
      </c>
      <c r="E83" t="s">
        <v>11</v>
      </c>
      <c r="F83">
        <v>1</v>
      </c>
      <c r="G83" t="s">
        <v>15</v>
      </c>
    </row>
    <row r="84" spans="1:7" x14ac:dyDescent="0.25">
      <c r="A84">
        <v>5</v>
      </c>
      <c r="B84" t="s">
        <v>153</v>
      </c>
      <c r="C84">
        <v>150</v>
      </c>
      <c r="D84" t="s">
        <v>115</v>
      </c>
      <c r="E84" t="s">
        <v>14</v>
      </c>
      <c r="F84">
        <v>0.33</v>
      </c>
      <c r="G84" t="s">
        <v>15</v>
      </c>
    </row>
    <row r="85" spans="1:7" x14ac:dyDescent="0.25">
      <c r="A85">
        <v>5</v>
      </c>
      <c r="B85" t="s">
        <v>153</v>
      </c>
      <c r="C85">
        <v>160</v>
      </c>
      <c r="D85" t="s">
        <v>125</v>
      </c>
      <c r="E85" t="s">
        <v>11</v>
      </c>
      <c r="F85">
        <v>1</v>
      </c>
      <c r="G85" t="s">
        <v>18</v>
      </c>
    </row>
    <row r="86" spans="1:7" x14ac:dyDescent="0.25">
      <c r="A86">
        <v>5</v>
      </c>
      <c r="B86" t="s">
        <v>153</v>
      </c>
      <c r="C86">
        <v>170</v>
      </c>
      <c r="D86" t="s">
        <v>120</v>
      </c>
      <c r="E86" t="s">
        <v>14</v>
      </c>
      <c r="F86">
        <v>0.5</v>
      </c>
      <c r="G86" t="s">
        <v>15</v>
      </c>
    </row>
    <row r="87" spans="1:7" x14ac:dyDescent="0.25">
      <c r="A87">
        <v>6</v>
      </c>
      <c r="B87" t="s">
        <v>154</v>
      </c>
      <c r="C87">
        <v>10</v>
      </c>
      <c r="D87" t="s">
        <v>126</v>
      </c>
      <c r="E87" t="s">
        <v>11</v>
      </c>
      <c r="F87">
        <v>1</v>
      </c>
      <c r="G87" t="s">
        <v>18</v>
      </c>
    </row>
    <row r="88" spans="1:7" x14ac:dyDescent="0.25">
      <c r="A88">
        <v>6</v>
      </c>
      <c r="B88" t="s">
        <v>154</v>
      </c>
      <c r="C88">
        <v>20</v>
      </c>
      <c r="D88" t="s">
        <v>127</v>
      </c>
      <c r="E88" t="s">
        <v>14</v>
      </c>
      <c r="F88">
        <v>4.0039999999999996</v>
      </c>
      <c r="G88" t="s">
        <v>15</v>
      </c>
    </row>
    <row r="89" spans="1:7" x14ac:dyDescent="0.25">
      <c r="A89">
        <v>6</v>
      </c>
      <c r="B89" t="s">
        <v>154</v>
      </c>
      <c r="C89">
        <v>30</v>
      </c>
      <c r="D89" t="s">
        <v>108</v>
      </c>
      <c r="E89" t="s">
        <v>17</v>
      </c>
      <c r="F89">
        <v>1.5489999999999999</v>
      </c>
      <c r="G89" t="s">
        <v>18</v>
      </c>
    </row>
    <row r="90" spans="1:7" x14ac:dyDescent="0.25">
      <c r="A90">
        <v>6</v>
      </c>
      <c r="B90" t="s">
        <v>154</v>
      </c>
      <c r="C90">
        <v>40</v>
      </c>
      <c r="D90" t="s">
        <v>142</v>
      </c>
      <c r="E90" t="s">
        <v>17</v>
      </c>
      <c r="F90">
        <v>1.5489999999999999</v>
      </c>
      <c r="G90" t="s">
        <v>18</v>
      </c>
    </row>
    <row r="91" spans="1:7" x14ac:dyDescent="0.25">
      <c r="A91">
        <v>6</v>
      </c>
      <c r="B91" t="s">
        <v>154</v>
      </c>
      <c r="C91">
        <v>50</v>
      </c>
      <c r="D91" t="s">
        <v>145</v>
      </c>
      <c r="E91" t="s">
        <v>11</v>
      </c>
      <c r="F91">
        <v>1</v>
      </c>
      <c r="G91" t="s">
        <v>18</v>
      </c>
    </row>
    <row r="92" spans="1:7" x14ac:dyDescent="0.25">
      <c r="A92">
        <v>6</v>
      </c>
      <c r="B92" t="s">
        <v>154</v>
      </c>
      <c r="C92">
        <v>60</v>
      </c>
      <c r="D92" t="s">
        <v>116</v>
      </c>
      <c r="E92" t="s">
        <v>111</v>
      </c>
      <c r="F92">
        <v>0.66300000000000003</v>
      </c>
      <c r="G92" t="s">
        <v>15</v>
      </c>
    </row>
    <row r="93" spans="1:7" x14ac:dyDescent="0.25">
      <c r="A93">
        <v>6</v>
      </c>
      <c r="B93" t="s">
        <v>154</v>
      </c>
      <c r="C93">
        <v>70</v>
      </c>
      <c r="D93" t="s">
        <v>29</v>
      </c>
      <c r="E93" t="s">
        <v>14</v>
      </c>
      <c r="F93">
        <v>0.14799999999999999</v>
      </c>
      <c r="G93" t="s">
        <v>15</v>
      </c>
    </row>
    <row r="94" spans="1:7" x14ac:dyDescent="0.25">
      <c r="A94">
        <v>6</v>
      </c>
      <c r="B94" t="s">
        <v>154</v>
      </c>
      <c r="C94">
        <v>80</v>
      </c>
      <c r="D94" t="s">
        <v>21</v>
      </c>
      <c r="E94" t="s">
        <v>17</v>
      </c>
      <c r="F94">
        <v>138.684</v>
      </c>
      <c r="G94" t="s">
        <v>15</v>
      </c>
    </row>
    <row r="95" spans="1:7" x14ac:dyDescent="0.25">
      <c r="A95">
        <v>6</v>
      </c>
      <c r="B95" t="s">
        <v>154</v>
      </c>
      <c r="C95">
        <v>90</v>
      </c>
      <c r="D95" t="s">
        <v>109</v>
      </c>
      <c r="E95" t="s">
        <v>17</v>
      </c>
      <c r="F95">
        <v>14.122</v>
      </c>
      <c r="G95" t="s">
        <v>15</v>
      </c>
    </row>
    <row r="96" spans="1:7" x14ac:dyDescent="0.25">
      <c r="A96">
        <v>6</v>
      </c>
      <c r="B96" t="s">
        <v>154</v>
      </c>
      <c r="C96">
        <v>100</v>
      </c>
      <c r="D96" t="s">
        <v>110</v>
      </c>
      <c r="E96" t="s">
        <v>17</v>
      </c>
      <c r="F96">
        <v>86.852999999999994</v>
      </c>
      <c r="G96" t="s">
        <v>15</v>
      </c>
    </row>
    <row r="97" spans="1:7" x14ac:dyDescent="0.25">
      <c r="A97">
        <v>6</v>
      </c>
      <c r="B97" t="s">
        <v>154</v>
      </c>
      <c r="C97">
        <v>110</v>
      </c>
      <c r="D97" t="s">
        <v>100</v>
      </c>
      <c r="E97" t="s">
        <v>11</v>
      </c>
      <c r="F97">
        <v>4</v>
      </c>
      <c r="G97" t="s">
        <v>15</v>
      </c>
    </row>
    <row r="98" spans="1:7" x14ac:dyDescent="0.25">
      <c r="A98">
        <v>6</v>
      </c>
      <c r="B98" t="s">
        <v>154</v>
      </c>
      <c r="C98">
        <v>120</v>
      </c>
      <c r="D98" t="s">
        <v>26</v>
      </c>
      <c r="E98" t="s">
        <v>11</v>
      </c>
      <c r="F98">
        <v>1</v>
      </c>
      <c r="G98" t="s">
        <v>15</v>
      </c>
    </row>
    <row r="99" spans="1:7" x14ac:dyDescent="0.25">
      <c r="A99">
        <v>6</v>
      </c>
      <c r="B99" t="s">
        <v>154</v>
      </c>
      <c r="C99">
        <v>130</v>
      </c>
      <c r="D99" t="s">
        <v>27</v>
      </c>
      <c r="E99" t="s">
        <v>11</v>
      </c>
      <c r="F99">
        <v>1</v>
      </c>
      <c r="G99" t="s">
        <v>15</v>
      </c>
    </row>
    <row r="100" spans="1:7" x14ac:dyDescent="0.25">
      <c r="A100">
        <v>6</v>
      </c>
      <c r="B100" t="s">
        <v>154</v>
      </c>
      <c r="C100">
        <v>140</v>
      </c>
      <c r="D100" t="s">
        <v>28</v>
      </c>
      <c r="E100" t="s">
        <v>11</v>
      </c>
      <c r="F100">
        <v>1</v>
      </c>
      <c r="G100" t="s">
        <v>15</v>
      </c>
    </row>
    <row r="101" spans="1:7" x14ac:dyDescent="0.25">
      <c r="A101">
        <v>6</v>
      </c>
      <c r="B101" t="s">
        <v>154</v>
      </c>
      <c r="C101">
        <v>150</v>
      </c>
      <c r="D101" t="s">
        <v>115</v>
      </c>
      <c r="E101" t="s">
        <v>14</v>
      </c>
      <c r="F101">
        <v>0.51</v>
      </c>
      <c r="G101" t="s">
        <v>15</v>
      </c>
    </row>
    <row r="102" spans="1:7" x14ac:dyDescent="0.25">
      <c r="A102">
        <v>6</v>
      </c>
      <c r="B102" t="s">
        <v>154</v>
      </c>
      <c r="C102">
        <v>160</v>
      </c>
      <c r="D102" t="s">
        <v>128</v>
      </c>
      <c r="E102" t="s">
        <v>11</v>
      </c>
      <c r="F102">
        <v>1</v>
      </c>
      <c r="G102" t="s">
        <v>18</v>
      </c>
    </row>
    <row r="103" spans="1:7" x14ac:dyDescent="0.25">
      <c r="A103">
        <v>6</v>
      </c>
      <c r="B103" t="s">
        <v>154</v>
      </c>
      <c r="C103">
        <v>170</v>
      </c>
      <c r="D103" t="s">
        <v>121</v>
      </c>
      <c r="E103" t="s">
        <v>14</v>
      </c>
      <c r="F103">
        <v>0.6</v>
      </c>
      <c r="G103" t="s">
        <v>15</v>
      </c>
    </row>
    <row r="104" spans="1:7" x14ac:dyDescent="0.25">
      <c r="A104">
        <v>7</v>
      </c>
      <c r="B104" t="s">
        <v>155</v>
      </c>
      <c r="C104">
        <v>10</v>
      </c>
      <c r="D104" t="s">
        <v>129</v>
      </c>
      <c r="E104" t="s">
        <v>11</v>
      </c>
      <c r="F104">
        <v>1</v>
      </c>
      <c r="G104" t="s">
        <v>18</v>
      </c>
    </row>
    <row r="105" spans="1:7" x14ac:dyDescent="0.25">
      <c r="A105">
        <v>7</v>
      </c>
      <c r="B105" t="s">
        <v>155</v>
      </c>
      <c r="C105">
        <v>20</v>
      </c>
      <c r="D105" t="s">
        <v>130</v>
      </c>
      <c r="E105" t="s">
        <v>14</v>
      </c>
      <c r="F105">
        <v>4.8109999999999999</v>
      </c>
      <c r="G105" t="s">
        <v>15</v>
      </c>
    </row>
    <row r="106" spans="1:7" x14ac:dyDescent="0.25">
      <c r="A106">
        <v>7</v>
      </c>
      <c r="B106" t="s">
        <v>155</v>
      </c>
      <c r="C106">
        <v>30</v>
      </c>
      <c r="D106" t="s">
        <v>108</v>
      </c>
      <c r="E106" t="s">
        <v>17</v>
      </c>
      <c r="F106">
        <v>1.8540000000000001</v>
      </c>
      <c r="G106" t="s">
        <v>18</v>
      </c>
    </row>
    <row r="107" spans="1:7" x14ac:dyDescent="0.25">
      <c r="A107">
        <v>7</v>
      </c>
      <c r="B107" t="s">
        <v>155</v>
      </c>
      <c r="C107">
        <v>40</v>
      </c>
      <c r="D107" t="s">
        <v>142</v>
      </c>
      <c r="E107" t="s">
        <v>17</v>
      </c>
      <c r="F107">
        <v>1.8540000000000001</v>
      </c>
      <c r="G107" t="s">
        <v>18</v>
      </c>
    </row>
    <row r="108" spans="1:7" x14ac:dyDescent="0.25">
      <c r="A108">
        <v>7</v>
      </c>
      <c r="B108" t="s">
        <v>155</v>
      </c>
      <c r="C108">
        <v>50</v>
      </c>
      <c r="D108" t="s">
        <v>146</v>
      </c>
      <c r="E108" t="s">
        <v>11</v>
      </c>
      <c r="F108">
        <v>1</v>
      </c>
      <c r="G108" t="s">
        <v>18</v>
      </c>
    </row>
    <row r="109" spans="1:7" x14ac:dyDescent="0.25">
      <c r="A109">
        <v>7</v>
      </c>
      <c r="B109" t="s">
        <v>155</v>
      </c>
      <c r="C109">
        <v>60</v>
      </c>
      <c r="D109" t="s">
        <v>116</v>
      </c>
      <c r="E109" t="s">
        <v>111</v>
      </c>
      <c r="F109">
        <v>0.79800000000000004</v>
      </c>
      <c r="G109" t="s">
        <v>15</v>
      </c>
    </row>
    <row r="110" spans="1:7" x14ac:dyDescent="0.25">
      <c r="A110">
        <v>7</v>
      </c>
      <c r="B110" t="s">
        <v>155</v>
      </c>
      <c r="C110">
        <v>70</v>
      </c>
      <c r="D110" t="s">
        <v>29</v>
      </c>
      <c r="E110" t="s">
        <v>14</v>
      </c>
      <c r="F110">
        <v>0.161</v>
      </c>
      <c r="G110" t="s">
        <v>15</v>
      </c>
    </row>
    <row r="111" spans="1:7" x14ac:dyDescent="0.25">
      <c r="A111">
        <v>7</v>
      </c>
      <c r="B111" t="s">
        <v>155</v>
      </c>
      <c r="C111">
        <v>80</v>
      </c>
      <c r="D111" t="s">
        <v>21</v>
      </c>
      <c r="E111" t="s">
        <v>17</v>
      </c>
      <c r="F111">
        <v>150.876</v>
      </c>
      <c r="G111" t="s">
        <v>15</v>
      </c>
    </row>
    <row r="112" spans="1:7" x14ac:dyDescent="0.25">
      <c r="A112">
        <v>7</v>
      </c>
      <c r="B112" t="s">
        <v>155</v>
      </c>
      <c r="C112">
        <v>90</v>
      </c>
      <c r="D112" t="s">
        <v>109</v>
      </c>
      <c r="E112" t="s">
        <v>17</v>
      </c>
      <c r="F112">
        <v>15.342000000000001</v>
      </c>
      <c r="G112" t="s">
        <v>15</v>
      </c>
    </row>
    <row r="113" spans="1:7" x14ac:dyDescent="0.25">
      <c r="A113">
        <v>7</v>
      </c>
      <c r="B113" t="s">
        <v>155</v>
      </c>
      <c r="C113">
        <v>100</v>
      </c>
      <c r="D113" t="s">
        <v>110</v>
      </c>
      <c r="E113" t="s">
        <v>17</v>
      </c>
      <c r="F113">
        <v>94.350999999999999</v>
      </c>
      <c r="G113" t="s">
        <v>15</v>
      </c>
    </row>
    <row r="114" spans="1:7" x14ac:dyDescent="0.25">
      <c r="A114">
        <v>7</v>
      </c>
      <c r="B114" t="s">
        <v>155</v>
      </c>
      <c r="C114">
        <v>110</v>
      </c>
      <c r="D114" t="s">
        <v>100</v>
      </c>
      <c r="E114" t="s">
        <v>11</v>
      </c>
      <c r="F114">
        <v>4</v>
      </c>
      <c r="G114" t="s">
        <v>15</v>
      </c>
    </row>
    <row r="115" spans="1:7" x14ac:dyDescent="0.25">
      <c r="A115">
        <v>7</v>
      </c>
      <c r="B115" t="s">
        <v>155</v>
      </c>
      <c r="C115">
        <v>120</v>
      </c>
      <c r="D115" t="s">
        <v>26</v>
      </c>
      <c r="E115" t="s">
        <v>11</v>
      </c>
      <c r="F115">
        <v>1</v>
      </c>
      <c r="G115" t="s">
        <v>15</v>
      </c>
    </row>
    <row r="116" spans="1:7" x14ac:dyDescent="0.25">
      <c r="A116">
        <v>7</v>
      </c>
      <c r="B116" t="s">
        <v>155</v>
      </c>
      <c r="C116">
        <v>130</v>
      </c>
      <c r="D116" t="s">
        <v>27</v>
      </c>
      <c r="E116" t="s">
        <v>11</v>
      </c>
      <c r="F116">
        <v>1</v>
      </c>
      <c r="G116" t="s">
        <v>15</v>
      </c>
    </row>
    <row r="117" spans="1:7" x14ac:dyDescent="0.25">
      <c r="A117">
        <v>7</v>
      </c>
      <c r="B117" t="s">
        <v>155</v>
      </c>
      <c r="C117">
        <v>140</v>
      </c>
      <c r="D117" t="s">
        <v>28</v>
      </c>
      <c r="E117" t="s">
        <v>11</v>
      </c>
      <c r="F117">
        <v>1</v>
      </c>
      <c r="G117" t="s">
        <v>15</v>
      </c>
    </row>
    <row r="118" spans="1:7" x14ac:dyDescent="0.25">
      <c r="A118">
        <v>7</v>
      </c>
      <c r="B118" t="s">
        <v>155</v>
      </c>
      <c r="C118">
        <v>150</v>
      </c>
      <c r="D118" t="s">
        <v>115</v>
      </c>
      <c r="E118" t="s">
        <v>14</v>
      </c>
      <c r="F118">
        <v>0.60099999999999998</v>
      </c>
      <c r="G118" t="s">
        <v>15</v>
      </c>
    </row>
    <row r="119" spans="1:7" x14ac:dyDescent="0.25">
      <c r="A119">
        <v>7</v>
      </c>
      <c r="B119" t="s">
        <v>155</v>
      </c>
      <c r="C119">
        <v>160</v>
      </c>
      <c r="D119" t="s">
        <v>131</v>
      </c>
      <c r="E119" t="s">
        <v>11</v>
      </c>
      <c r="F119">
        <v>1</v>
      </c>
      <c r="G119" t="s">
        <v>18</v>
      </c>
    </row>
    <row r="120" spans="1:7" x14ac:dyDescent="0.25">
      <c r="A120">
        <v>7</v>
      </c>
      <c r="B120" t="s">
        <v>155</v>
      </c>
      <c r="C120">
        <v>170</v>
      </c>
      <c r="D120" t="s">
        <v>122</v>
      </c>
      <c r="E120" t="s">
        <v>14</v>
      </c>
      <c r="F120">
        <v>0.8</v>
      </c>
      <c r="G120" t="s">
        <v>15</v>
      </c>
    </row>
    <row r="121" spans="1:7" x14ac:dyDescent="0.25">
      <c r="A121">
        <v>8</v>
      </c>
      <c r="B121" t="s">
        <v>156</v>
      </c>
      <c r="C121">
        <v>10</v>
      </c>
      <c r="D121" t="s">
        <v>132</v>
      </c>
      <c r="E121" t="s">
        <v>11</v>
      </c>
      <c r="F121">
        <v>1</v>
      </c>
      <c r="G121" t="s">
        <v>18</v>
      </c>
    </row>
    <row r="122" spans="1:7" x14ac:dyDescent="0.25">
      <c r="A122">
        <v>8</v>
      </c>
      <c r="B122" t="s">
        <v>156</v>
      </c>
      <c r="C122">
        <v>20</v>
      </c>
      <c r="D122" t="s">
        <v>133</v>
      </c>
      <c r="E122" t="s">
        <v>14</v>
      </c>
      <c r="F122">
        <v>4.165</v>
      </c>
      <c r="G122" t="s">
        <v>15</v>
      </c>
    </row>
    <row r="123" spans="1:7" x14ac:dyDescent="0.25">
      <c r="A123">
        <v>8</v>
      </c>
      <c r="B123" t="s">
        <v>156</v>
      </c>
      <c r="C123">
        <v>30</v>
      </c>
      <c r="D123" t="s">
        <v>108</v>
      </c>
      <c r="E123" t="s">
        <v>17</v>
      </c>
      <c r="F123">
        <v>1.5489999999999999</v>
      </c>
      <c r="G123" t="s">
        <v>18</v>
      </c>
    </row>
    <row r="124" spans="1:7" x14ac:dyDescent="0.25">
      <c r="A124">
        <v>8</v>
      </c>
      <c r="B124" t="s">
        <v>156</v>
      </c>
      <c r="C124">
        <v>40</v>
      </c>
      <c r="D124" t="s">
        <v>142</v>
      </c>
      <c r="E124" t="s">
        <v>17</v>
      </c>
      <c r="F124">
        <v>1.5489999999999999</v>
      </c>
      <c r="G124" t="s">
        <v>18</v>
      </c>
    </row>
    <row r="125" spans="1:7" x14ac:dyDescent="0.25">
      <c r="A125">
        <v>8</v>
      </c>
      <c r="B125" t="s">
        <v>156</v>
      </c>
      <c r="C125">
        <v>50</v>
      </c>
      <c r="D125" t="s">
        <v>147</v>
      </c>
      <c r="E125" t="s">
        <v>11</v>
      </c>
      <c r="F125">
        <v>1</v>
      </c>
      <c r="G125" t="s">
        <v>18</v>
      </c>
    </row>
    <row r="126" spans="1:7" x14ac:dyDescent="0.25">
      <c r="A126">
        <v>8</v>
      </c>
      <c r="B126" t="s">
        <v>156</v>
      </c>
      <c r="C126">
        <v>60</v>
      </c>
      <c r="D126" t="s">
        <v>116</v>
      </c>
      <c r="E126" t="s">
        <v>111</v>
      </c>
      <c r="F126">
        <v>0.69</v>
      </c>
      <c r="G126" t="s">
        <v>15</v>
      </c>
    </row>
    <row r="127" spans="1:7" x14ac:dyDescent="0.25">
      <c r="A127">
        <v>8</v>
      </c>
      <c r="B127" t="s">
        <v>156</v>
      </c>
      <c r="C127">
        <v>70</v>
      </c>
      <c r="D127" t="s">
        <v>29</v>
      </c>
      <c r="E127" t="s">
        <v>14</v>
      </c>
      <c r="F127">
        <v>0.152</v>
      </c>
      <c r="G127" t="s">
        <v>15</v>
      </c>
    </row>
    <row r="128" spans="1:7" x14ac:dyDescent="0.25">
      <c r="A128">
        <v>8</v>
      </c>
      <c r="B128" t="s">
        <v>156</v>
      </c>
      <c r="C128">
        <v>80</v>
      </c>
      <c r="D128" t="s">
        <v>21</v>
      </c>
      <c r="E128" t="s">
        <v>17</v>
      </c>
      <c r="F128">
        <v>141.732</v>
      </c>
      <c r="G128" t="s">
        <v>15</v>
      </c>
    </row>
    <row r="129" spans="1:7" x14ac:dyDescent="0.25">
      <c r="A129">
        <v>8</v>
      </c>
      <c r="B129" t="s">
        <v>156</v>
      </c>
      <c r="C129">
        <v>90</v>
      </c>
      <c r="D129" t="s">
        <v>109</v>
      </c>
      <c r="E129" t="s">
        <v>17</v>
      </c>
      <c r="F129">
        <v>14.427</v>
      </c>
      <c r="G129" t="s">
        <v>15</v>
      </c>
    </row>
    <row r="130" spans="1:7" x14ac:dyDescent="0.25">
      <c r="A130">
        <v>8</v>
      </c>
      <c r="B130" t="s">
        <v>156</v>
      </c>
      <c r="C130">
        <v>100</v>
      </c>
      <c r="D130" t="s">
        <v>110</v>
      </c>
      <c r="E130" t="s">
        <v>17</v>
      </c>
      <c r="F130">
        <v>88.727000000000004</v>
      </c>
      <c r="G130" t="s">
        <v>15</v>
      </c>
    </row>
    <row r="131" spans="1:7" x14ac:dyDescent="0.25">
      <c r="A131">
        <v>8</v>
      </c>
      <c r="B131" t="s">
        <v>156</v>
      </c>
      <c r="C131">
        <v>110</v>
      </c>
      <c r="D131" t="s">
        <v>100</v>
      </c>
      <c r="E131" t="s">
        <v>11</v>
      </c>
      <c r="F131">
        <v>4</v>
      </c>
      <c r="G131" t="s">
        <v>15</v>
      </c>
    </row>
    <row r="132" spans="1:7" x14ac:dyDescent="0.25">
      <c r="A132">
        <v>8</v>
      </c>
      <c r="B132" t="s">
        <v>156</v>
      </c>
      <c r="C132">
        <v>120</v>
      </c>
      <c r="D132" t="s">
        <v>26</v>
      </c>
      <c r="E132" t="s">
        <v>11</v>
      </c>
      <c r="F132">
        <v>1</v>
      </c>
      <c r="G132" t="s">
        <v>15</v>
      </c>
    </row>
    <row r="133" spans="1:7" x14ac:dyDescent="0.25">
      <c r="A133">
        <v>8</v>
      </c>
      <c r="B133" t="s">
        <v>156</v>
      </c>
      <c r="C133">
        <v>130</v>
      </c>
      <c r="D133" t="s">
        <v>27</v>
      </c>
      <c r="E133" t="s">
        <v>11</v>
      </c>
      <c r="F133">
        <v>1</v>
      </c>
      <c r="G133" t="s">
        <v>15</v>
      </c>
    </row>
    <row r="134" spans="1:7" x14ac:dyDescent="0.25">
      <c r="A134">
        <v>8</v>
      </c>
      <c r="B134" t="s">
        <v>156</v>
      </c>
      <c r="C134">
        <v>140</v>
      </c>
      <c r="D134" t="s">
        <v>28</v>
      </c>
      <c r="E134" t="s">
        <v>11</v>
      </c>
      <c r="F134">
        <v>1</v>
      </c>
      <c r="G134" t="s">
        <v>15</v>
      </c>
    </row>
    <row r="135" spans="1:7" x14ac:dyDescent="0.25">
      <c r="A135">
        <v>8</v>
      </c>
      <c r="B135" t="s">
        <v>156</v>
      </c>
      <c r="C135">
        <v>150</v>
      </c>
      <c r="D135" t="s">
        <v>115</v>
      </c>
      <c r="E135" t="s">
        <v>14</v>
      </c>
      <c r="F135">
        <v>0.51</v>
      </c>
      <c r="G135" t="s">
        <v>15</v>
      </c>
    </row>
    <row r="136" spans="1:7" x14ac:dyDescent="0.25">
      <c r="A136">
        <v>8</v>
      </c>
      <c r="B136" t="s">
        <v>156</v>
      </c>
      <c r="C136">
        <v>160</v>
      </c>
      <c r="D136" t="s">
        <v>134</v>
      </c>
      <c r="E136" t="s">
        <v>11</v>
      </c>
      <c r="F136">
        <v>1</v>
      </c>
      <c r="G136" t="s">
        <v>18</v>
      </c>
    </row>
    <row r="137" spans="1:7" x14ac:dyDescent="0.25">
      <c r="A137">
        <v>8</v>
      </c>
      <c r="B137" t="s">
        <v>156</v>
      </c>
      <c r="C137">
        <v>170</v>
      </c>
      <c r="D137" t="s">
        <v>121</v>
      </c>
      <c r="E137" t="s">
        <v>14</v>
      </c>
      <c r="F137">
        <v>0.6</v>
      </c>
      <c r="G137" t="s">
        <v>15</v>
      </c>
    </row>
    <row r="138" spans="1:7" x14ac:dyDescent="0.25">
      <c r="A138">
        <v>9</v>
      </c>
      <c r="B138" t="s">
        <v>157</v>
      </c>
      <c r="C138">
        <v>10</v>
      </c>
      <c r="D138" t="s">
        <v>135</v>
      </c>
      <c r="E138" t="s">
        <v>11</v>
      </c>
      <c r="F138">
        <v>1</v>
      </c>
      <c r="G138" t="s">
        <v>18</v>
      </c>
    </row>
    <row r="139" spans="1:7" x14ac:dyDescent="0.25">
      <c r="A139">
        <v>9</v>
      </c>
      <c r="B139" t="s">
        <v>157</v>
      </c>
      <c r="C139">
        <v>20</v>
      </c>
      <c r="D139" t="s">
        <v>136</v>
      </c>
      <c r="E139" t="s">
        <v>14</v>
      </c>
      <c r="F139">
        <v>5.0049999999999999</v>
      </c>
      <c r="G139" t="s">
        <v>15</v>
      </c>
    </row>
    <row r="140" spans="1:7" x14ac:dyDescent="0.25">
      <c r="A140">
        <v>9</v>
      </c>
      <c r="B140" t="s">
        <v>157</v>
      </c>
      <c r="C140">
        <v>30</v>
      </c>
      <c r="D140" t="s">
        <v>108</v>
      </c>
      <c r="E140" t="s">
        <v>17</v>
      </c>
      <c r="F140">
        <v>1.8540000000000001</v>
      </c>
      <c r="G140" t="s">
        <v>18</v>
      </c>
    </row>
    <row r="141" spans="1:7" x14ac:dyDescent="0.25">
      <c r="A141">
        <v>9</v>
      </c>
      <c r="B141" t="s">
        <v>157</v>
      </c>
      <c r="C141">
        <v>40</v>
      </c>
      <c r="D141" t="s">
        <v>142</v>
      </c>
      <c r="E141" t="s">
        <v>17</v>
      </c>
      <c r="F141">
        <v>1.8540000000000001</v>
      </c>
      <c r="G141" t="s">
        <v>18</v>
      </c>
    </row>
    <row r="142" spans="1:7" x14ac:dyDescent="0.25">
      <c r="A142">
        <v>9</v>
      </c>
      <c r="B142" t="s">
        <v>157</v>
      </c>
      <c r="C142">
        <v>50</v>
      </c>
      <c r="D142" t="s">
        <v>148</v>
      </c>
      <c r="E142" t="s">
        <v>11</v>
      </c>
      <c r="F142">
        <v>1</v>
      </c>
      <c r="G142" t="s">
        <v>18</v>
      </c>
    </row>
    <row r="143" spans="1:7" x14ac:dyDescent="0.25">
      <c r="A143">
        <v>9</v>
      </c>
      <c r="B143" t="s">
        <v>157</v>
      </c>
      <c r="C143">
        <v>60</v>
      </c>
      <c r="D143" t="s">
        <v>116</v>
      </c>
      <c r="E143" t="s">
        <v>111</v>
      </c>
      <c r="F143">
        <v>0.83</v>
      </c>
      <c r="G143" t="s">
        <v>15</v>
      </c>
    </row>
    <row r="144" spans="1:7" x14ac:dyDescent="0.25">
      <c r="A144">
        <v>9</v>
      </c>
      <c r="B144" t="s">
        <v>157</v>
      </c>
      <c r="C144">
        <v>70</v>
      </c>
      <c r="D144" t="s">
        <v>29</v>
      </c>
      <c r="E144" t="s">
        <v>14</v>
      </c>
      <c r="F144">
        <v>0.16500000000000001</v>
      </c>
      <c r="G144" t="s">
        <v>15</v>
      </c>
    </row>
    <row r="145" spans="1:7" x14ac:dyDescent="0.25">
      <c r="A145">
        <v>9</v>
      </c>
      <c r="B145" t="s">
        <v>157</v>
      </c>
      <c r="C145">
        <v>80</v>
      </c>
      <c r="D145" t="s">
        <v>21</v>
      </c>
      <c r="E145" t="s">
        <v>17</v>
      </c>
      <c r="F145">
        <v>153.92400000000001</v>
      </c>
      <c r="G145" t="s">
        <v>15</v>
      </c>
    </row>
    <row r="146" spans="1:7" x14ac:dyDescent="0.25">
      <c r="A146">
        <v>9</v>
      </c>
      <c r="B146" t="s">
        <v>157</v>
      </c>
      <c r="C146">
        <v>90</v>
      </c>
      <c r="D146" t="s">
        <v>109</v>
      </c>
      <c r="E146" t="s">
        <v>17</v>
      </c>
      <c r="F146">
        <v>15.646000000000001</v>
      </c>
      <c r="G146" t="s">
        <v>15</v>
      </c>
    </row>
    <row r="147" spans="1:7" x14ac:dyDescent="0.25">
      <c r="A147">
        <v>9</v>
      </c>
      <c r="B147" t="s">
        <v>157</v>
      </c>
      <c r="C147">
        <v>100</v>
      </c>
      <c r="D147" t="s">
        <v>110</v>
      </c>
      <c r="E147" t="s">
        <v>17</v>
      </c>
      <c r="F147">
        <v>96.224999999999994</v>
      </c>
      <c r="G147" t="s">
        <v>15</v>
      </c>
    </row>
    <row r="148" spans="1:7" x14ac:dyDescent="0.25">
      <c r="A148">
        <v>9</v>
      </c>
      <c r="B148" t="s">
        <v>157</v>
      </c>
      <c r="C148">
        <v>110</v>
      </c>
      <c r="D148" t="s">
        <v>100</v>
      </c>
      <c r="E148" t="s">
        <v>11</v>
      </c>
      <c r="F148">
        <v>4</v>
      </c>
      <c r="G148" t="s">
        <v>15</v>
      </c>
    </row>
    <row r="149" spans="1:7" x14ac:dyDescent="0.25">
      <c r="A149">
        <v>9</v>
      </c>
      <c r="B149" t="s">
        <v>157</v>
      </c>
      <c r="C149">
        <v>120</v>
      </c>
      <c r="D149" t="s">
        <v>26</v>
      </c>
      <c r="E149" t="s">
        <v>11</v>
      </c>
      <c r="F149">
        <v>1</v>
      </c>
      <c r="G149" t="s">
        <v>15</v>
      </c>
    </row>
    <row r="150" spans="1:7" x14ac:dyDescent="0.25">
      <c r="A150">
        <v>9</v>
      </c>
      <c r="B150" t="s">
        <v>157</v>
      </c>
      <c r="C150">
        <v>130</v>
      </c>
      <c r="D150" t="s">
        <v>27</v>
      </c>
      <c r="E150" t="s">
        <v>11</v>
      </c>
      <c r="F150">
        <v>1</v>
      </c>
      <c r="G150" t="s">
        <v>15</v>
      </c>
    </row>
    <row r="151" spans="1:7" x14ac:dyDescent="0.25">
      <c r="A151">
        <v>9</v>
      </c>
      <c r="B151" t="s">
        <v>157</v>
      </c>
      <c r="C151">
        <v>140</v>
      </c>
      <c r="D151" t="s">
        <v>28</v>
      </c>
      <c r="E151" t="s">
        <v>11</v>
      </c>
      <c r="F151">
        <v>1</v>
      </c>
      <c r="G151" t="s">
        <v>15</v>
      </c>
    </row>
    <row r="152" spans="1:7" x14ac:dyDescent="0.25">
      <c r="A152">
        <v>9</v>
      </c>
      <c r="B152" t="s">
        <v>157</v>
      </c>
      <c r="C152">
        <v>150</v>
      </c>
      <c r="D152" t="s">
        <v>115</v>
      </c>
      <c r="E152" t="s">
        <v>14</v>
      </c>
      <c r="F152">
        <v>0.60099999999999998</v>
      </c>
      <c r="G152" t="s">
        <v>15</v>
      </c>
    </row>
    <row r="153" spans="1:7" x14ac:dyDescent="0.25">
      <c r="A153">
        <v>9</v>
      </c>
      <c r="B153" t="s">
        <v>157</v>
      </c>
      <c r="C153">
        <v>160</v>
      </c>
      <c r="D153" t="s">
        <v>137</v>
      </c>
      <c r="E153" t="s">
        <v>11</v>
      </c>
      <c r="F153">
        <v>1</v>
      </c>
      <c r="G153" t="s">
        <v>18</v>
      </c>
    </row>
    <row r="154" spans="1:7" x14ac:dyDescent="0.25">
      <c r="A154">
        <v>9</v>
      </c>
      <c r="B154" t="s">
        <v>157</v>
      </c>
      <c r="C154">
        <v>170</v>
      </c>
      <c r="D154" t="s">
        <v>122</v>
      </c>
      <c r="E154" t="s">
        <v>14</v>
      </c>
      <c r="F154">
        <v>0.8</v>
      </c>
      <c r="G154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157"/>
  <sheetViews>
    <sheetView zoomScale="85" zoomScaleNormal="85" workbookViewId="0">
      <selection activeCell="AM1" sqref="AM1:AM104857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1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9" x14ac:dyDescent="0.25">
      <c r="A1" s="51" t="s">
        <v>32</v>
      </c>
      <c r="B1" s="52" t="s">
        <v>33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3" t="s">
        <v>34</v>
      </c>
      <c r="N1" s="54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9" x14ac:dyDescent="0.25">
      <c r="A2" s="51"/>
      <c r="B2" s="49" t="s">
        <v>35</v>
      </c>
      <c r="C2" s="49" t="s">
        <v>36</v>
      </c>
      <c r="D2" s="49" t="s">
        <v>37</v>
      </c>
      <c r="E2" s="49" t="s">
        <v>36</v>
      </c>
      <c r="F2" s="49" t="s">
        <v>37</v>
      </c>
      <c r="G2" s="49" t="s">
        <v>35</v>
      </c>
      <c r="H2" s="49" t="s">
        <v>37</v>
      </c>
      <c r="I2" s="49" t="s">
        <v>37</v>
      </c>
      <c r="J2" s="49" t="s">
        <v>37</v>
      </c>
      <c r="K2" s="49" t="s">
        <v>37</v>
      </c>
      <c r="L2" s="49" t="s">
        <v>35</v>
      </c>
      <c r="M2" s="50" t="s">
        <v>38</v>
      </c>
      <c r="N2" s="26" t="s">
        <v>38</v>
      </c>
      <c r="O2" s="50" t="s">
        <v>38</v>
      </c>
      <c r="P2" s="50" t="s">
        <v>39</v>
      </c>
      <c r="Q2" s="50" t="s">
        <v>38</v>
      </c>
      <c r="R2" s="50" t="s">
        <v>39</v>
      </c>
      <c r="S2" s="50" t="s">
        <v>38</v>
      </c>
      <c r="T2" s="50" t="s">
        <v>38</v>
      </c>
      <c r="U2" s="50" t="s">
        <v>39</v>
      </c>
      <c r="V2" s="50" t="s">
        <v>38</v>
      </c>
      <c r="W2" s="50" t="s">
        <v>38</v>
      </c>
      <c r="X2" s="50" t="s">
        <v>38</v>
      </c>
      <c r="Y2" s="50" t="s">
        <v>39</v>
      </c>
      <c r="Z2" s="50" t="s">
        <v>40</v>
      </c>
      <c r="AA2" s="50" t="s">
        <v>38</v>
      </c>
      <c r="AB2" s="50" t="s">
        <v>38</v>
      </c>
      <c r="AC2" s="50" t="s">
        <v>38</v>
      </c>
      <c r="AD2" s="50" t="s">
        <v>38</v>
      </c>
      <c r="AE2" s="50" t="s">
        <v>38</v>
      </c>
      <c r="AF2" s="50" t="s">
        <v>38</v>
      </c>
      <c r="AG2" s="50" t="s">
        <v>40</v>
      </c>
      <c r="AH2" s="50" t="s">
        <v>40</v>
      </c>
      <c r="AI2" s="50" t="s">
        <v>40</v>
      </c>
      <c r="AJ2" s="50" t="s">
        <v>38</v>
      </c>
      <c r="AK2" s="50" t="s">
        <v>38</v>
      </c>
      <c r="AL2" s="50" t="s">
        <v>38</v>
      </c>
    </row>
    <row r="3" spans="1:39" x14ac:dyDescent="0.25">
      <c r="A3" s="51"/>
      <c r="B3" s="49" t="s">
        <v>41</v>
      </c>
      <c r="C3" s="49" t="s">
        <v>42</v>
      </c>
      <c r="D3" s="49" t="s">
        <v>43</v>
      </c>
      <c r="E3" s="49" t="s">
        <v>42</v>
      </c>
      <c r="F3" s="49" t="s">
        <v>44</v>
      </c>
      <c r="G3" s="49" t="s">
        <v>45</v>
      </c>
      <c r="H3" s="49" t="s">
        <v>46</v>
      </c>
      <c r="I3" s="49" t="s">
        <v>47</v>
      </c>
      <c r="J3" s="49" t="s">
        <v>42</v>
      </c>
      <c r="K3" s="49" t="s">
        <v>42</v>
      </c>
      <c r="L3" s="49" t="s">
        <v>48</v>
      </c>
      <c r="M3" s="50" t="s">
        <v>49</v>
      </c>
      <c r="N3" s="26" t="s">
        <v>42</v>
      </c>
      <c r="O3" s="50" t="s">
        <v>44</v>
      </c>
      <c r="P3" s="50" t="s">
        <v>50</v>
      </c>
      <c r="Q3" s="50" t="s">
        <v>47</v>
      </c>
      <c r="R3" s="50" t="s">
        <v>46</v>
      </c>
      <c r="S3" s="50" t="s">
        <v>51</v>
      </c>
      <c r="T3" s="50" t="s">
        <v>49</v>
      </c>
      <c r="U3" s="50" t="s">
        <v>52</v>
      </c>
      <c r="V3" s="50" t="s">
        <v>46</v>
      </c>
      <c r="W3" s="50" t="s">
        <v>47</v>
      </c>
      <c r="X3" s="50" t="s">
        <v>47</v>
      </c>
      <c r="Y3" s="50" t="s">
        <v>41</v>
      </c>
      <c r="Z3" s="50" t="s">
        <v>48</v>
      </c>
      <c r="AA3" s="50" t="s">
        <v>53</v>
      </c>
      <c r="AB3" s="50" t="s">
        <v>53</v>
      </c>
      <c r="AC3" s="50" t="s">
        <v>47</v>
      </c>
      <c r="AD3" s="50" t="s">
        <v>47</v>
      </c>
      <c r="AE3" s="50" t="s">
        <v>52</v>
      </c>
      <c r="AF3" s="50" t="s">
        <v>51</v>
      </c>
      <c r="AG3" s="50" t="s">
        <v>41</v>
      </c>
      <c r="AH3" s="50" t="s">
        <v>48</v>
      </c>
      <c r="AI3" s="50" t="s">
        <v>48</v>
      </c>
      <c r="AJ3" s="50" t="s">
        <v>42</v>
      </c>
      <c r="AK3" s="50" t="s">
        <v>44</v>
      </c>
      <c r="AL3" s="50" t="s">
        <v>54</v>
      </c>
    </row>
    <row r="4" spans="1:39" x14ac:dyDescent="0.25">
      <c r="A4" s="51"/>
      <c r="B4" s="27" t="s">
        <v>55</v>
      </c>
      <c r="C4" s="27" t="s">
        <v>56</v>
      </c>
      <c r="D4" s="49" t="s">
        <v>57</v>
      </c>
      <c r="E4" s="27" t="s">
        <v>3</v>
      </c>
      <c r="F4" s="49" t="s">
        <v>58</v>
      </c>
      <c r="G4" s="27" t="s">
        <v>59</v>
      </c>
      <c r="H4" s="27" t="s">
        <v>6</v>
      </c>
      <c r="I4" s="27" t="s">
        <v>60</v>
      </c>
      <c r="J4" s="49" t="s">
        <v>61</v>
      </c>
      <c r="K4" s="49" t="s">
        <v>62</v>
      </c>
      <c r="L4" s="49" t="s">
        <v>63</v>
      </c>
      <c r="M4" s="28" t="s">
        <v>64</v>
      </c>
      <c r="N4" s="29" t="s">
        <v>3</v>
      </c>
      <c r="O4" s="50" t="s">
        <v>58</v>
      </c>
      <c r="P4" s="50" t="s">
        <v>65</v>
      </c>
      <c r="Q4" s="50" t="s">
        <v>66</v>
      </c>
      <c r="R4" s="50" t="s">
        <v>4</v>
      </c>
      <c r="S4" s="50" t="s">
        <v>67</v>
      </c>
      <c r="T4" s="50" t="s">
        <v>68</v>
      </c>
      <c r="U4" s="50" t="s">
        <v>69</v>
      </c>
      <c r="V4" s="50" t="s">
        <v>6</v>
      </c>
      <c r="W4" s="50" t="s">
        <v>70</v>
      </c>
      <c r="X4" s="50" t="s">
        <v>71</v>
      </c>
      <c r="Y4" s="50" t="s">
        <v>72</v>
      </c>
      <c r="Z4" s="50" t="s">
        <v>73</v>
      </c>
      <c r="AA4" s="50" t="s">
        <v>74</v>
      </c>
      <c r="AB4" s="50" t="s">
        <v>75</v>
      </c>
      <c r="AC4" s="50" t="s">
        <v>76</v>
      </c>
      <c r="AD4" s="50" t="s">
        <v>77</v>
      </c>
      <c r="AE4" s="50" t="s">
        <v>78</v>
      </c>
      <c r="AF4" s="50" t="s">
        <v>79</v>
      </c>
      <c r="AG4" s="50" t="s">
        <v>80</v>
      </c>
      <c r="AH4" s="50" t="s">
        <v>81</v>
      </c>
      <c r="AI4" s="50" t="s">
        <v>82</v>
      </c>
      <c r="AJ4" s="50" t="s">
        <v>83</v>
      </c>
      <c r="AK4" s="50" t="s">
        <v>84</v>
      </c>
      <c r="AL4" s="50" t="s">
        <v>85</v>
      </c>
    </row>
    <row r="5" spans="1:39" x14ac:dyDescent="0.25">
      <c r="A5" s="3">
        <v>1</v>
      </c>
      <c r="B5" s="3" t="s">
        <v>95</v>
      </c>
      <c r="C5" s="3" t="s">
        <v>149</v>
      </c>
      <c r="D5" s="3"/>
      <c r="E5" s="3" t="s">
        <v>149</v>
      </c>
      <c r="F5" s="3"/>
      <c r="G5" s="3"/>
      <c r="H5" s="3"/>
      <c r="I5" s="3"/>
      <c r="J5" s="3"/>
      <c r="K5" s="3"/>
      <c r="L5" s="3" t="s">
        <v>96</v>
      </c>
      <c r="M5" s="3">
        <v>10</v>
      </c>
      <c r="N5" s="3" t="s">
        <v>117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t="s">
        <v>117</v>
      </c>
    </row>
    <row r="6" spans="1:39" x14ac:dyDescent="0.25">
      <c r="A6" s="3">
        <v>1</v>
      </c>
      <c r="B6" s="3" t="s">
        <v>95</v>
      </c>
      <c r="C6" s="3" t="s">
        <v>149</v>
      </c>
      <c r="D6" s="3"/>
      <c r="E6" s="3" t="s">
        <v>149</v>
      </c>
      <c r="F6" s="3"/>
      <c r="G6" s="3"/>
      <c r="H6" s="3"/>
      <c r="I6" s="3"/>
      <c r="J6" s="3"/>
      <c r="K6" s="3"/>
      <c r="L6" s="3" t="s">
        <v>96</v>
      </c>
      <c r="M6" s="3">
        <v>20</v>
      </c>
      <c r="N6" s="3" t="s">
        <v>118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t="s">
        <v>118</v>
      </c>
    </row>
    <row r="7" spans="1:39" x14ac:dyDescent="0.25">
      <c r="A7" s="3">
        <v>1</v>
      </c>
      <c r="B7" s="3" t="s">
        <v>95</v>
      </c>
      <c r="C7" s="3" t="s">
        <v>149</v>
      </c>
      <c r="D7" s="3"/>
      <c r="E7" s="3" t="s">
        <v>149</v>
      </c>
      <c r="F7" s="3"/>
      <c r="G7" s="3"/>
      <c r="H7" s="3"/>
      <c r="I7" s="3"/>
      <c r="J7" s="3"/>
      <c r="K7" s="3"/>
      <c r="L7" s="3" t="s">
        <v>96</v>
      </c>
      <c r="M7" s="3">
        <v>30</v>
      </c>
      <c r="N7" s="3" t="s">
        <v>105</v>
      </c>
      <c r="O7" s="3"/>
      <c r="P7" s="3"/>
      <c r="Q7" s="3">
        <v>0.94</v>
      </c>
      <c r="R7" s="3" t="s">
        <v>17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t="s">
        <v>105</v>
      </c>
    </row>
    <row r="8" spans="1:39" x14ac:dyDescent="0.25">
      <c r="A8" s="3">
        <v>1</v>
      </c>
      <c r="B8" s="3" t="s">
        <v>95</v>
      </c>
      <c r="C8" s="3" t="s">
        <v>149</v>
      </c>
      <c r="D8" s="3"/>
      <c r="E8" s="3" t="s">
        <v>149</v>
      </c>
      <c r="F8" s="3"/>
      <c r="G8" s="3"/>
      <c r="H8" s="3"/>
      <c r="I8" s="3"/>
      <c r="J8" s="3"/>
      <c r="K8" s="3"/>
      <c r="L8" s="3" t="s">
        <v>96</v>
      </c>
      <c r="M8" s="3">
        <v>40</v>
      </c>
      <c r="N8" s="3" t="s">
        <v>138</v>
      </c>
      <c r="O8" s="3"/>
      <c r="P8" s="3"/>
      <c r="Q8" s="3">
        <v>0.94</v>
      </c>
      <c r="R8" s="3" t="s">
        <v>17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t="s">
        <v>138</v>
      </c>
    </row>
    <row r="9" spans="1:39" x14ac:dyDescent="0.25">
      <c r="A9" s="3">
        <v>1</v>
      </c>
      <c r="B9" s="3" t="s">
        <v>95</v>
      </c>
      <c r="C9" s="3" t="s">
        <v>149</v>
      </c>
      <c r="D9" s="3"/>
      <c r="E9" s="3" t="s">
        <v>149</v>
      </c>
      <c r="F9" s="3"/>
      <c r="G9" s="3"/>
      <c r="H9" s="3"/>
      <c r="I9" s="3"/>
      <c r="J9" s="3"/>
      <c r="K9" s="3"/>
      <c r="L9" s="3" t="s">
        <v>96</v>
      </c>
      <c r="M9" s="3">
        <v>50</v>
      </c>
      <c r="N9" s="3" t="s">
        <v>139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t="s">
        <v>139</v>
      </c>
    </row>
    <row r="10" spans="1:39" x14ac:dyDescent="0.25">
      <c r="A10" s="3">
        <v>1</v>
      </c>
      <c r="B10" s="3" t="s">
        <v>95</v>
      </c>
      <c r="C10" s="3" t="s">
        <v>149</v>
      </c>
      <c r="D10" s="3"/>
      <c r="E10" s="3" t="s">
        <v>149</v>
      </c>
      <c r="F10" s="3"/>
      <c r="G10" s="3"/>
      <c r="H10" s="3"/>
      <c r="I10" s="3"/>
      <c r="J10" s="3"/>
      <c r="K10" s="3"/>
      <c r="L10" s="3" t="s">
        <v>96</v>
      </c>
      <c r="M10" s="3">
        <v>60</v>
      </c>
      <c r="N10" s="3" t="s">
        <v>116</v>
      </c>
      <c r="O10" s="3"/>
      <c r="P10" s="3"/>
      <c r="Q10" s="3">
        <v>0.377</v>
      </c>
      <c r="R10" s="3" t="s">
        <v>111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t="s">
        <v>116</v>
      </c>
    </row>
    <row r="11" spans="1:39" x14ac:dyDescent="0.25">
      <c r="A11" s="3">
        <v>1</v>
      </c>
      <c r="B11" s="3" t="s">
        <v>95</v>
      </c>
      <c r="C11" s="3" t="s">
        <v>149</v>
      </c>
      <c r="D11" s="3"/>
      <c r="E11" s="3" t="s">
        <v>149</v>
      </c>
      <c r="F11" s="3"/>
      <c r="G11" s="3"/>
      <c r="H11" s="3"/>
      <c r="I11" s="3"/>
      <c r="J11" s="3"/>
      <c r="K11" s="3"/>
      <c r="L11" s="3" t="s">
        <v>96</v>
      </c>
      <c r="M11" s="3">
        <v>70</v>
      </c>
      <c r="N11" s="3" t="s">
        <v>29</v>
      </c>
      <c r="O11" s="3"/>
      <c r="P11" s="3"/>
      <c r="Q11" s="3">
        <v>0.11899999999999999</v>
      </c>
      <c r="R11" s="3" t="s">
        <v>14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t="s">
        <v>29</v>
      </c>
    </row>
    <row r="12" spans="1:39" x14ac:dyDescent="0.25">
      <c r="A12" s="3">
        <v>1</v>
      </c>
      <c r="B12" s="3" t="s">
        <v>95</v>
      </c>
      <c r="C12" s="3" t="s">
        <v>149</v>
      </c>
      <c r="D12" s="3"/>
      <c r="E12" s="3" t="s">
        <v>149</v>
      </c>
      <c r="F12" s="3"/>
      <c r="G12" s="3"/>
      <c r="H12" s="3"/>
      <c r="I12" s="3"/>
      <c r="J12" s="3"/>
      <c r="K12" s="3"/>
      <c r="L12" s="3" t="s">
        <v>96</v>
      </c>
      <c r="M12" s="3">
        <v>80</v>
      </c>
      <c r="N12" s="3" t="s">
        <v>21</v>
      </c>
      <c r="O12" s="3"/>
      <c r="P12" s="3"/>
      <c r="Q12" s="3">
        <v>111.252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t="s">
        <v>21</v>
      </c>
    </row>
    <row r="13" spans="1:39" x14ac:dyDescent="0.25">
      <c r="A13" s="3">
        <v>1</v>
      </c>
      <c r="B13" s="3" t="s">
        <v>95</v>
      </c>
      <c r="C13" s="3" t="s">
        <v>149</v>
      </c>
      <c r="D13" s="3"/>
      <c r="E13" s="3" t="s">
        <v>149</v>
      </c>
      <c r="F13" s="3"/>
      <c r="G13" s="3"/>
      <c r="H13" s="3"/>
      <c r="I13" s="3"/>
      <c r="J13" s="3"/>
      <c r="K13" s="3"/>
      <c r="L13" s="3" t="s">
        <v>96</v>
      </c>
      <c r="M13" s="3">
        <v>90</v>
      </c>
      <c r="N13" s="3" t="s">
        <v>106</v>
      </c>
      <c r="O13" s="3"/>
      <c r="P13" s="3"/>
      <c r="Q13" s="3">
        <v>11.379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t="s">
        <v>106</v>
      </c>
    </row>
    <row r="14" spans="1:39" x14ac:dyDescent="0.25">
      <c r="A14" s="3">
        <v>1</v>
      </c>
      <c r="B14" s="3" t="s">
        <v>95</v>
      </c>
      <c r="C14" s="3" t="s">
        <v>149</v>
      </c>
      <c r="D14" s="3"/>
      <c r="E14" s="3" t="s">
        <v>149</v>
      </c>
      <c r="F14" s="3"/>
      <c r="G14" s="3"/>
      <c r="H14" s="3"/>
      <c r="I14" s="3"/>
      <c r="J14" s="3"/>
      <c r="K14" s="3"/>
      <c r="L14" s="3" t="s">
        <v>96</v>
      </c>
      <c r="M14" s="3">
        <v>100</v>
      </c>
      <c r="N14" s="3" t="s">
        <v>107</v>
      </c>
      <c r="O14" s="3"/>
      <c r="P14" s="3"/>
      <c r="Q14" s="3">
        <v>69.981999999999999</v>
      </c>
      <c r="R14" s="3" t="s">
        <v>17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t="s">
        <v>107</v>
      </c>
    </row>
    <row r="15" spans="1:39" x14ac:dyDescent="0.25">
      <c r="A15" s="3">
        <v>1</v>
      </c>
      <c r="B15" s="3" t="s">
        <v>95</v>
      </c>
      <c r="C15" s="3" t="s">
        <v>149</v>
      </c>
      <c r="D15" s="3"/>
      <c r="E15" s="3" t="s">
        <v>149</v>
      </c>
      <c r="F15" s="3"/>
      <c r="G15" s="3"/>
      <c r="H15" s="3"/>
      <c r="I15" s="3"/>
      <c r="J15" s="3"/>
      <c r="K15" s="3"/>
      <c r="L15" s="3" t="s">
        <v>96</v>
      </c>
      <c r="M15" s="3">
        <v>110</v>
      </c>
      <c r="N15" s="3" t="s">
        <v>100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t="s">
        <v>100</v>
      </c>
    </row>
    <row r="16" spans="1:39" x14ac:dyDescent="0.25">
      <c r="A16" s="3">
        <v>1</v>
      </c>
      <c r="B16" s="3" t="s">
        <v>95</v>
      </c>
      <c r="C16" s="3" t="s">
        <v>149</v>
      </c>
      <c r="D16" s="3"/>
      <c r="E16" s="3" t="s">
        <v>149</v>
      </c>
      <c r="F16" s="3"/>
      <c r="G16" s="3"/>
      <c r="H16" s="3"/>
      <c r="I16" s="3"/>
      <c r="J16" s="3"/>
      <c r="K16" s="3"/>
      <c r="L16" s="3" t="s">
        <v>96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t="s">
        <v>26</v>
      </c>
    </row>
    <row r="17" spans="1:39" x14ac:dyDescent="0.25">
      <c r="A17" s="3">
        <v>1</v>
      </c>
      <c r="B17" s="3" t="s">
        <v>95</v>
      </c>
      <c r="C17" s="3" t="s">
        <v>149</v>
      </c>
      <c r="D17" s="3"/>
      <c r="E17" s="3" t="s">
        <v>149</v>
      </c>
      <c r="F17" s="3"/>
      <c r="G17" s="3"/>
      <c r="H17" s="3"/>
      <c r="I17" s="3"/>
      <c r="J17" s="3"/>
      <c r="K17" s="3"/>
      <c r="L17" s="3" t="s">
        <v>96</v>
      </c>
      <c r="M17" s="3">
        <v>130</v>
      </c>
      <c r="N17" s="3" t="s">
        <v>27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t="s">
        <v>27</v>
      </c>
    </row>
    <row r="18" spans="1:39" x14ac:dyDescent="0.25">
      <c r="A18" s="3">
        <v>1</v>
      </c>
      <c r="B18" s="3" t="s">
        <v>95</v>
      </c>
      <c r="C18" s="3" t="s">
        <v>149</v>
      </c>
      <c r="D18" s="3"/>
      <c r="E18" s="3" t="s">
        <v>149</v>
      </c>
      <c r="F18" s="3"/>
      <c r="G18" s="3"/>
      <c r="H18" s="3"/>
      <c r="I18" s="3"/>
      <c r="J18" s="3"/>
      <c r="K18" s="3"/>
      <c r="L18" s="3" t="s">
        <v>96</v>
      </c>
      <c r="M18" s="3">
        <v>140</v>
      </c>
      <c r="N18" s="3" t="s">
        <v>28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t="s">
        <v>28</v>
      </c>
    </row>
    <row r="19" spans="1:39" x14ac:dyDescent="0.25">
      <c r="A19" s="3">
        <v>1</v>
      </c>
      <c r="B19" s="3" t="s">
        <v>95</v>
      </c>
      <c r="C19" s="3" t="s">
        <v>149</v>
      </c>
      <c r="D19" s="3"/>
      <c r="E19" s="3" t="s">
        <v>149</v>
      </c>
      <c r="F19" s="3"/>
      <c r="G19" s="3"/>
      <c r="H19" s="3"/>
      <c r="I19" s="3"/>
      <c r="J19" s="3"/>
      <c r="K19" s="3"/>
      <c r="L19" s="3" t="s">
        <v>96</v>
      </c>
      <c r="M19" s="3">
        <v>150</v>
      </c>
      <c r="N19" s="3" t="s">
        <v>115</v>
      </c>
      <c r="O19" s="3"/>
      <c r="P19" s="3"/>
      <c r="Q19" s="3">
        <v>0.33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t="s">
        <v>115</v>
      </c>
    </row>
    <row r="20" spans="1:39" x14ac:dyDescent="0.25">
      <c r="A20" s="3">
        <v>1</v>
      </c>
      <c r="B20" s="3" t="s">
        <v>95</v>
      </c>
      <c r="C20" s="3" t="s">
        <v>149</v>
      </c>
      <c r="D20" s="3"/>
      <c r="E20" s="3" t="s">
        <v>149</v>
      </c>
      <c r="F20" s="3"/>
      <c r="G20" s="3"/>
      <c r="H20" s="3"/>
      <c r="I20" s="3"/>
      <c r="J20" s="3"/>
      <c r="K20" s="3"/>
      <c r="L20" s="3" t="s">
        <v>96</v>
      </c>
      <c r="M20" s="3">
        <v>160</v>
      </c>
      <c r="N20" s="3" t="s">
        <v>119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t="s">
        <v>119</v>
      </c>
    </row>
    <row r="21" spans="1:39" x14ac:dyDescent="0.25">
      <c r="A21" s="3">
        <v>1</v>
      </c>
      <c r="B21" s="3" t="s">
        <v>95</v>
      </c>
      <c r="C21" s="3" t="s">
        <v>149</v>
      </c>
      <c r="D21" s="3"/>
      <c r="E21" s="3" t="s">
        <v>149</v>
      </c>
      <c r="F21" s="3"/>
      <c r="G21" s="3"/>
      <c r="H21" s="3"/>
      <c r="I21" s="3"/>
      <c r="J21" s="3"/>
      <c r="K21" s="3"/>
      <c r="L21" s="3" t="s">
        <v>96</v>
      </c>
      <c r="M21" s="3">
        <v>170</v>
      </c>
      <c r="N21" s="3" t="s">
        <v>120</v>
      </c>
      <c r="O21" s="3"/>
      <c r="P21" s="3"/>
      <c r="Q21" s="3">
        <v>0.5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t="s">
        <v>120</v>
      </c>
    </row>
    <row r="22" spans="1:39" x14ac:dyDescent="0.25">
      <c r="A22" s="3">
        <v>2</v>
      </c>
      <c r="B22" s="3" t="s">
        <v>95</v>
      </c>
      <c r="C22" s="3" t="s">
        <v>150</v>
      </c>
      <c r="D22" s="3"/>
      <c r="E22" s="3" t="s">
        <v>150</v>
      </c>
      <c r="F22" s="3"/>
      <c r="G22" s="3"/>
      <c r="H22" s="3"/>
      <c r="I22" s="3"/>
      <c r="J22" s="3"/>
      <c r="K22" s="3"/>
      <c r="L22" s="3" t="s">
        <v>96</v>
      </c>
      <c r="M22" s="3">
        <v>10</v>
      </c>
      <c r="N22" s="3" t="s">
        <v>123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t="s">
        <v>123</v>
      </c>
    </row>
    <row r="23" spans="1:39" x14ac:dyDescent="0.25">
      <c r="A23" s="3">
        <v>2</v>
      </c>
      <c r="B23" s="3" t="s">
        <v>95</v>
      </c>
      <c r="C23" s="3" t="s">
        <v>150</v>
      </c>
      <c r="D23" s="3"/>
      <c r="E23" s="3" t="s">
        <v>150</v>
      </c>
      <c r="F23" s="3"/>
      <c r="G23" s="3"/>
      <c r="H23" s="3"/>
      <c r="I23" s="3"/>
      <c r="J23" s="3"/>
      <c r="K23" s="3"/>
      <c r="L23" s="3" t="s">
        <v>96</v>
      </c>
      <c r="M23" s="3">
        <v>20</v>
      </c>
      <c r="N23" s="3" t="s">
        <v>124</v>
      </c>
      <c r="O23" s="3"/>
      <c r="P23" s="3"/>
      <c r="Q23" s="3">
        <v>2.3889999999999998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t="s">
        <v>124</v>
      </c>
    </row>
    <row r="24" spans="1:39" x14ac:dyDescent="0.25">
      <c r="A24" s="3">
        <v>2</v>
      </c>
      <c r="B24" s="3" t="s">
        <v>95</v>
      </c>
      <c r="C24" s="3" t="s">
        <v>150</v>
      </c>
      <c r="D24" s="3"/>
      <c r="E24" s="3" t="s">
        <v>150</v>
      </c>
      <c r="F24" s="3"/>
      <c r="G24" s="3"/>
      <c r="H24" s="3"/>
      <c r="I24" s="3"/>
      <c r="J24" s="3"/>
      <c r="K24" s="3"/>
      <c r="L24" s="3" t="s">
        <v>96</v>
      </c>
      <c r="M24" s="3">
        <v>30</v>
      </c>
      <c r="N24" s="3" t="s">
        <v>105</v>
      </c>
      <c r="O24" s="3"/>
      <c r="P24" s="3"/>
      <c r="Q24" s="3">
        <v>0.94</v>
      </c>
      <c r="R24" s="3" t="s">
        <v>17</v>
      </c>
      <c r="S24" s="3"/>
      <c r="T24" s="3">
        <v>10</v>
      </c>
      <c r="U24" s="3"/>
      <c r="V24" s="3" t="s">
        <v>18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t="s">
        <v>105</v>
      </c>
    </row>
    <row r="25" spans="1:39" x14ac:dyDescent="0.25">
      <c r="A25" s="3">
        <v>2</v>
      </c>
      <c r="B25" s="3" t="s">
        <v>95</v>
      </c>
      <c r="C25" s="3" t="s">
        <v>150</v>
      </c>
      <c r="D25" s="3"/>
      <c r="E25" s="3" t="s">
        <v>150</v>
      </c>
      <c r="F25" s="3"/>
      <c r="G25" s="3"/>
      <c r="H25" s="3"/>
      <c r="I25" s="3"/>
      <c r="J25" s="3"/>
      <c r="K25" s="3"/>
      <c r="L25" s="3" t="s">
        <v>96</v>
      </c>
      <c r="M25" s="3">
        <v>40</v>
      </c>
      <c r="N25" s="3" t="s">
        <v>138</v>
      </c>
      <c r="O25" s="3"/>
      <c r="P25" s="3"/>
      <c r="Q25" s="3">
        <v>0.94</v>
      </c>
      <c r="R25" s="3" t="s">
        <v>17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t="s">
        <v>138</v>
      </c>
    </row>
    <row r="26" spans="1:39" x14ac:dyDescent="0.25">
      <c r="A26" s="3">
        <v>2</v>
      </c>
      <c r="B26" s="3" t="s">
        <v>95</v>
      </c>
      <c r="C26" s="3" t="s">
        <v>150</v>
      </c>
      <c r="D26" s="3"/>
      <c r="E26" s="3" t="s">
        <v>150</v>
      </c>
      <c r="F26" s="3"/>
      <c r="G26" s="3"/>
      <c r="H26" s="3"/>
      <c r="I26" s="3"/>
      <c r="J26" s="3"/>
      <c r="K26" s="3"/>
      <c r="L26" s="3" t="s">
        <v>96</v>
      </c>
      <c r="M26" s="3">
        <v>50</v>
      </c>
      <c r="N26" s="3" t="s">
        <v>140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t="s">
        <v>140</v>
      </c>
    </row>
    <row r="27" spans="1:39" x14ac:dyDescent="0.25">
      <c r="A27" s="3">
        <v>2</v>
      </c>
      <c r="B27" s="3" t="s">
        <v>95</v>
      </c>
      <c r="C27" s="3" t="s">
        <v>150</v>
      </c>
      <c r="D27" s="3"/>
      <c r="E27" s="3" t="s">
        <v>150</v>
      </c>
      <c r="F27" s="3"/>
      <c r="G27" s="3"/>
      <c r="H27" s="3"/>
      <c r="I27" s="3"/>
      <c r="J27" s="3"/>
      <c r="K27" s="3"/>
      <c r="L27" s="3" t="s">
        <v>96</v>
      </c>
      <c r="M27" s="3">
        <v>60</v>
      </c>
      <c r="N27" s="3" t="s">
        <v>116</v>
      </c>
      <c r="O27" s="3"/>
      <c r="P27" s="3"/>
      <c r="Q27" s="3">
        <v>0.39300000000000002</v>
      </c>
      <c r="R27" s="3" t="s">
        <v>111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t="s">
        <v>116</v>
      </c>
    </row>
    <row r="28" spans="1:39" x14ac:dyDescent="0.25">
      <c r="A28" s="3">
        <v>2</v>
      </c>
      <c r="B28" s="3" t="s">
        <v>95</v>
      </c>
      <c r="C28" s="3" t="s">
        <v>150</v>
      </c>
      <c r="D28" s="3"/>
      <c r="E28" s="3" t="s">
        <v>150</v>
      </c>
      <c r="F28" s="3"/>
      <c r="G28" s="3"/>
      <c r="H28" s="3"/>
      <c r="I28" s="3"/>
      <c r="J28" s="3"/>
      <c r="K28" s="3"/>
      <c r="L28" s="3" t="s">
        <v>96</v>
      </c>
      <c r="M28" s="3">
        <v>70</v>
      </c>
      <c r="N28" s="3" t="s">
        <v>29</v>
      </c>
      <c r="O28" s="3"/>
      <c r="P28" s="3"/>
      <c r="Q28" s="3">
        <v>0.122</v>
      </c>
      <c r="R28" s="3" t="s">
        <v>14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t="s">
        <v>29</v>
      </c>
    </row>
    <row r="29" spans="1:39" x14ac:dyDescent="0.25">
      <c r="A29" s="3">
        <v>2</v>
      </c>
      <c r="B29" s="3" t="s">
        <v>95</v>
      </c>
      <c r="C29" s="3" t="s">
        <v>150</v>
      </c>
      <c r="D29" s="3"/>
      <c r="E29" s="3" t="s">
        <v>150</v>
      </c>
      <c r="F29" s="3"/>
      <c r="G29" s="3"/>
      <c r="H29" s="3"/>
      <c r="I29" s="3"/>
      <c r="J29" s="3"/>
      <c r="K29" s="3"/>
      <c r="L29" s="3" t="s">
        <v>96</v>
      </c>
      <c r="M29" s="3">
        <v>80</v>
      </c>
      <c r="N29" s="3" t="s">
        <v>21</v>
      </c>
      <c r="O29" s="3"/>
      <c r="P29" s="3"/>
      <c r="Q29" s="3">
        <v>114.3</v>
      </c>
      <c r="R29" s="3" t="s">
        <v>17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t="s">
        <v>21</v>
      </c>
    </row>
    <row r="30" spans="1:39" x14ac:dyDescent="0.25">
      <c r="A30" s="3">
        <v>2</v>
      </c>
      <c r="B30" s="3" t="s">
        <v>95</v>
      </c>
      <c r="C30" s="3" t="s">
        <v>150</v>
      </c>
      <c r="D30" s="3"/>
      <c r="E30" s="3" t="s">
        <v>150</v>
      </c>
      <c r="F30" s="3"/>
      <c r="G30" s="3"/>
      <c r="H30" s="3"/>
      <c r="I30" s="3"/>
      <c r="J30" s="3"/>
      <c r="K30" s="3"/>
      <c r="L30" s="3" t="s">
        <v>96</v>
      </c>
      <c r="M30" s="3">
        <v>90</v>
      </c>
      <c r="N30" s="3" t="s">
        <v>106</v>
      </c>
      <c r="O30" s="3"/>
      <c r="P30" s="3"/>
      <c r="Q30" s="3">
        <v>11.683999999999999</v>
      </c>
      <c r="R30" s="3" t="s">
        <v>17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t="s">
        <v>106</v>
      </c>
    </row>
    <row r="31" spans="1:39" x14ac:dyDescent="0.25">
      <c r="A31" s="3">
        <v>2</v>
      </c>
      <c r="B31" s="3" t="s">
        <v>95</v>
      </c>
      <c r="C31" s="3" t="s">
        <v>150</v>
      </c>
      <c r="D31" s="3"/>
      <c r="E31" s="3" t="s">
        <v>150</v>
      </c>
      <c r="F31" s="3"/>
      <c r="G31" s="3"/>
      <c r="H31" s="3"/>
      <c r="I31" s="3"/>
      <c r="J31" s="3"/>
      <c r="K31" s="3"/>
      <c r="L31" s="3" t="s">
        <v>96</v>
      </c>
      <c r="M31" s="3">
        <v>100</v>
      </c>
      <c r="N31" s="3" t="s">
        <v>107</v>
      </c>
      <c r="O31" s="3"/>
      <c r="P31" s="3"/>
      <c r="Q31" s="3">
        <v>71.856999999999999</v>
      </c>
      <c r="R31" s="3" t="s">
        <v>17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t="s">
        <v>107</v>
      </c>
    </row>
    <row r="32" spans="1:39" x14ac:dyDescent="0.25">
      <c r="A32" s="3">
        <v>2</v>
      </c>
      <c r="B32" s="3" t="s">
        <v>95</v>
      </c>
      <c r="C32" s="3" t="s">
        <v>150</v>
      </c>
      <c r="D32" s="3"/>
      <c r="E32" s="3" t="s">
        <v>150</v>
      </c>
      <c r="F32" s="3"/>
      <c r="G32" s="3"/>
      <c r="H32" s="3"/>
      <c r="I32" s="3"/>
      <c r="J32" s="3"/>
      <c r="K32" s="3"/>
      <c r="L32" s="3" t="s">
        <v>96</v>
      </c>
      <c r="M32" s="3">
        <v>110</v>
      </c>
      <c r="N32" s="3" t="s">
        <v>100</v>
      </c>
      <c r="O32" s="3"/>
      <c r="P32" s="3"/>
      <c r="Q32" s="3">
        <v>4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t="s">
        <v>100</v>
      </c>
    </row>
    <row r="33" spans="1:39" x14ac:dyDescent="0.25">
      <c r="A33" s="3">
        <v>2</v>
      </c>
      <c r="B33" s="3" t="s">
        <v>95</v>
      </c>
      <c r="C33" s="3" t="s">
        <v>150</v>
      </c>
      <c r="D33" s="3"/>
      <c r="E33" s="3" t="s">
        <v>150</v>
      </c>
      <c r="F33" s="3"/>
      <c r="G33" s="3"/>
      <c r="H33" s="3"/>
      <c r="I33" s="3"/>
      <c r="J33" s="3"/>
      <c r="K33" s="3"/>
      <c r="L33" s="3" t="s">
        <v>96</v>
      </c>
      <c r="M33" s="3">
        <v>120</v>
      </c>
      <c r="N33" s="3" t="s">
        <v>26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t="s">
        <v>26</v>
      </c>
    </row>
    <row r="34" spans="1:39" x14ac:dyDescent="0.25">
      <c r="A34" s="3">
        <v>2</v>
      </c>
      <c r="B34" s="3" t="s">
        <v>95</v>
      </c>
      <c r="C34" s="3" t="s">
        <v>150</v>
      </c>
      <c r="D34" s="3"/>
      <c r="E34" s="3" t="s">
        <v>150</v>
      </c>
      <c r="F34" s="3"/>
      <c r="G34" s="3"/>
      <c r="H34" s="3"/>
      <c r="I34" s="3"/>
      <c r="J34" s="3"/>
      <c r="K34" s="3"/>
      <c r="L34" s="3" t="s">
        <v>96</v>
      </c>
      <c r="M34" s="3">
        <v>130</v>
      </c>
      <c r="N34" s="3" t="s">
        <v>27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t="s">
        <v>27</v>
      </c>
    </row>
    <row r="35" spans="1:39" x14ac:dyDescent="0.25">
      <c r="A35" s="3">
        <v>2</v>
      </c>
      <c r="B35" s="3" t="s">
        <v>95</v>
      </c>
      <c r="C35" s="3" t="s">
        <v>150</v>
      </c>
      <c r="D35" s="3"/>
      <c r="E35" s="3" t="s">
        <v>150</v>
      </c>
      <c r="F35" s="3"/>
      <c r="G35" s="3"/>
      <c r="H35" s="3"/>
      <c r="I35" s="3"/>
      <c r="J35" s="3"/>
      <c r="K35" s="3"/>
      <c r="L35" s="3" t="s">
        <v>96</v>
      </c>
      <c r="M35" s="3">
        <v>140</v>
      </c>
      <c r="N35" s="3" t="s">
        <v>28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t="s">
        <v>28</v>
      </c>
    </row>
    <row r="36" spans="1:39" x14ac:dyDescent="0.25">
      <c r="A36" s="3">
        <v>2</v>
      </c>
      <c r="B36" s="3" t="s">
        <v>95</v>
      </c>
      <c r="C36" s="3" t="s">
        <v>150</v>
      </c>
      <c r="D36" s="3"/>
      <c r="E36" s="3" t="s">
        <v>150</v>
      </c>
      <c r="F36" s="3"/>
      <c r="G36" s="3"/>
      <c r="H36" s="3"/>
      <c r="I36" s="3"/>
      <c r="J36" s="3"/>
      <c r="K36" s="3"/>
      <c r="L36" s="3" t="s">
        <v>96</v>
      </c>
      <c r="M36" s="3">
        <v>150</v>
      </c>
      <c r="N36" s="3" t="s">
        <v>115</v>
      </c>
      <c r="O36" s="3"/>
      <c r="P36" s="3"/>
      <c r="Q36" s="3">
        <v>0.33</v>
      </c>
      <c r="R36" s="3" t="s">
        <v>14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t="s">
        <v>115</v>
      </c>
    </row>
    <row r="37" spans="1:39" x14ac:dyDescent="0.25">
      <c r="A37" s="3">
        <v>2</v>
      </c>
      <c r="B37" s="3" t="s">
        <v>95</v>
      </c>
      <c r="C37" s="3" t="s">
        <v>150</v>
      </c>
      <c r="D37" s="3"/>
      <c r="E37" s="3" t="s">
        <v>150</v>
      </c>
      <c r="F37" s="3"/>
      <c r="G37" s="3"/>
      <c r="H37" s="3"/>
      <c r="I37" s="3"/>
      <c r="J37" s="3"/>
      <c r="K37" s="3"/>
      <c r="L37" s="3" t="s">
        <v>96</v>
      </c>
      <c r="M37" s="3">
        <v>160</v>
      </c>
      <c r="N37" s="3" t="s">
        <v>125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t="s">
        <v>125</v>
      </c>
    </row>
    <row r="38" spans="1:39" x14ac:dyDescent="0.25">
      <c r="A38" s="3">
        <v>2</v>
      </c>
      <c r="B38" s="3" t="s">
        <v>95</v>
      </c>
      <c r="C38" s="3" t="s">
        <v>150</v>
      </c>
      <c r="D38" s="3"/>
      <c r="E38" s="3" t="s">
        <v>150</v>
      </c>
      <c r="F38" s="3"/>
      <c r="G38" s="3"/>
      <c r="H38" s="3"/>
      <c r="I38" s="3"/>
      <c r="J38" s="3"/>
      <c r="K38" s="3"/>
      <c r="L38" s="3" t="s">
        <v>96</v>
      </c>
      <c r="M38" s="3">
        <v>170</v>
      </c>
      <c r="N38" s="3" t="s">
        <v>120</v>
      </c>
      <c r="O38" s="3"/>
      <c r="P38" s="3"/>
      <c r="Q38" s="3">
        <v>0.5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t="s">
        <v>120</v>
      </c>
    </row>
    <row r="39" spans="1:39" x14ac:dyDescent="0.25">
      <c r="A39" s="3">
        <v>3</v>
      </c>
      <c r="B39" s="3" t="s">
        <v>95</v>
      </c>
      <c r="C39" s="3" t="s">
        <v>151</v>
      </c>
      <c r="D39" s="3"/>
      <c r="E39" s="3" t="s">
        <v>151</v>
      </c>
      <c r="F39" s="3"/>
      <c r="G39" s="3"/>
      <c r="H39" s="3"/>
      <c r="I39" s="3"/>
      <c r="J39" s="3"/>
      <c r="K39" s="3"/>
      <c r="L39" s="3" t="s">
        <v>96</v>
      </c>
      <c r="M39" s="3">
        <v>10</v>
      </c>
      <c r="N39" s="3" t="s">
        <v>135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t="s">
        <v>135</v>
      </c>
    </row>
    <row r="40" spans="1:39" x14ac:dyDescent="0.25">
      <c r="A40" s="3">
        <v>3</v>
      </c>
      <c r="B40" s="3" t="s">
        <v>95</v>
      </c>
      <c r="C40" s="3" t="s">
        <v>151</v>
      </c>
      <c r="D40" s="3"/>
      <c r="E40" s="3" t="s">
        <v>151</v>
      </c>
      <c r="F40" s="3"/>
      <c r="G40" s="3"/>
      <c r="H40" s="3"/>
      <c r="I40" s="3"/>
      <c r="J40" s="3"/>
      <c r="K40" s="3"/>
      <c r="L40" s="3" t="s">
        <v>96</v>
      </c>
      <c r="M40" s="3">
        <v>20</v>
      </c>
      <c r="N40" s="3" t="s">
        <v>136</v>
      </c>
      <c r="O40" s="3"/>
      <c r="P40" s="3"/>
      <c r="Q40" s="3">
        <v>5.0049999999999999</v>
      </c>
      <c r="R40" s="3" t="s">
        <v>14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t="s">
        <v>136</v>
      </c>
    </row>
    <row r="41" spans="1:39" x14ac:dyDescent="0.25">
      <c r="A41" s="3">
        <v>3</v>
      </c>
      <c r="B41" s="3" t="s">
        <v>95</v>
      </c>
      <c r="C41" s="3" t="s">
        <v>151</v>
      </c>
      <c r="D41" s="3"/>
      <c r="E41" s="3" t="s">
        <v>151</v>
      </c>
      <c r="F41" s="3"/>
      <c r="G41" s="3"/>
      <c r="H41" s="3"/>
      <c r="I41" s="3"/>
      <c r="J41" s="3"/>
      <c r="K41" s="3"/>
      <c r="L41" s="3" t="s">
        <v>96</v>
      </c>
      <c r="M41" s="3">
        <v>30</v>
      </c>
      <c r="N41" s="3" t="s">
        <v>105</v>
      </c>
      <c r="O41" s="3"/>
      <c r="P41" s="3"/>
      <c r="Q41" s="3">
        <v>1.8540000000000001</v>
      </c>
      <c r="R41" s="3" t="s">
        <v>17</v>
      </c>
      <c r="S41" s="3"/>
      <c r="T41" s="3">
        <v>10</v>
      </c>
      <c r="U41" s="3"/>
      <c r="V41" s="3" t="s">
        <v>18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t="s">
        <v>105</v>
      </c>
    </row>
    <row r="42" spans="1:39" x14ac:dyDescent="0.25">
      <c r="A42" s="3">
        <v>3</v>
      </c>
      <c r="B42" s="3" t="s">
        <v>95</v>
      </c>
      <c r="C42" s="3" t="s">
        <v>151</v>
      </c>
      <c r="D42" s="3"/>
      <c r="E42" s="3" t="s">
        <v>151</v>
      </c>
      <c r="F42" s="3"/>
      <c r="G42" s="3"/>
      <c r="H42" s="3"/>
      <c r="I42" s="3"/>
      <c r="J42" s="3"/>
      <c r="K42" s="3"/>
      <c r="L42" s="3" t="s">
        <v>96</v>
      </c>
      <c r="M42" s="3">
        <v>40</v>
      </c>
      <c r="N42" s="3" t="s">
        <v>138</v>
      </c>
      <c r="O42" s="3"/>
      <c r="P42" s="3"/>
      <c r="Q42" s="3">
        <v>1.8540000000000001</v>
      </c>
      <c r="R42" s="3" t="s">
        <v>17</v>
      </c>
      <c r="S42" s="3"/>
      <c r="T42" s="3">
        <v>10</v>
      </c>
      <c r="U42" s="3"/>
      <c r="V42" s="3" t="s">
        <v>18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t="s">
        <v>138</v>
      </c>
    </row>
    <row r="43" spans="1:39" x14ac:dyDescent="0.25">
      <c r="A43" s="3">
        <v>3</v>
      </c>
      <c r="B43" s="3" t="s">
        <v>95</v>
      </c>
      <c r="C43" s="3" t="s">
        <v>151</v>
      </c>
      <c r="D43" s="3"/>
      <c r="E43" s="3" t="s">
        <v>151</v>
      </c>
      <c r="F43" s="3"/>
      <c r="G43" s="3"/>
      <c r="H43" s="3"/>
      <c r="I43" s="3"/>
      <c r="J43" s="3"/>
      <c r="K43" s="3"/>
      <c r="L43" s="3" t="s">
        <v>96</v>
      </c>
      <c r="M43" s="3">
        <v>50</v>
      </c>
      <c r="N43" s="3" t="s">
        <v>141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18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t="s">
        <v>141</v>
      </c>
    </row>
    <row r="44" spans="1:39" x14ac:dyDescent="0.25">
      <c r="A44" s="3">
        <v>3</v>
      </c>
      <c r="B44" s="3" t="s">
        <v>95</v>
      </c>
      <c r="C44" s="3" t="s">
        <v>151</v>
      </c>
      <c r="D44" s="3"/>
      <c r="E44" s="3" t="s">
        <v>151</v>
      </c>
      <c r="F44" s="3"/>
      <c r="G44" s="3"/>
      <c r="H44" s="3"/>
      <c r="I44" s="3"/>
      <c r="J44" s="3"/>
      <c r="K44" s="3"/>
      <c r="L44" s="3" t="s">
        <v>96</v>
      </c>
      <c r="M44" s="3">
        <v>60</v>
      </c>
      <c r="N44" s="3" t="s">
        <v>116</v>
      </c>
      <c r="O44" s="3"/>
      <c r="P44" s="3"/>
      <c r="Q44" s="3">
        <v>0.83</v>
      </c>
      <c r="R44" s="3" t="s">
        <v>111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t="s">
        <v>116</v>
      </c>
    </row>
    <row r="45" spans="1:39" x14ac:dyDescent="0.25">
      <c r="A45" s="3">
        <v>3</v>
      </c>
      <c r="B45" s="3" t="s">
        <v>95</v>
      </c>
      <c r="C45" s="3" t="s">
        <v>151</v>
      </c>
      <c r="D45" s="3"/>
      <c r="E45" s="3" t="s">
        <v>151</v>
      </c>
      <c r="F45" s="3"/>
      <c r="G45" s="3"/>
      <c r="H45" s="3"/>
      <c r="I45" s="3"/>
      <c r="J45" s="3"/>
      <c r="K45" s="3"/>
      <c r="L45" s="3" t="s">
        <v>96</v>
      </c>
      <c r="M45" s="3">
        <v>70</v>
      </c>
      <c r="N45" s="3" t="s">
        <v>29</v>
      </c>
      <c r="O45" s="3"/>
      <c r="P45" s="3"/>
      <c r="Q45" s="3">
        <v>0.16500000000000001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t="s">
        <v>29</v>
      </c>
    </row>
    <row r="46" spans="1:39" x14ac:dyDescent="0.25">
      <c r="A46" s="3">
        <v>3</v>
      </c>
      <c r="B46" s="3" t="s">
        <v>95</v>
      </c>
      <c r="C46" s="3" t="s">
        <v>151</v>
      </c>
      <c r="D46" s="3"/>
      <c r="E46" s="3" t="s">
        <v>151</v>
      </c>
      <c r="F46" s="3"/>
      <c r="G46" s="3"/>
      <c r="H46" s="3"/>
      <c r="I46" s="3"/>
      <c r="J46" s="3"/>
      <c r="K46" s="3"/>
      <c r="L46" s="3" t="s">
        <v>96</v>
      </c>
      <c r="M46" s="3">
        <v>80</v>
      </c>
      <c r="N46" s="3" t="s">
        <v>21</v>
      </c>
      <c r="O46" s="3"/>
      <c r="P46" s="3"/>
      <c r="Q46" s="3">
        <v>153.92400000000001</v>
      </c>
      <c r="R46" s="3" t="s">
        <v>17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t="s">
        <v>21</v>
      </c>
    </row>
    <row r="47" spans="1:39" x14ac:dyDescent="0.25">
      <c r="A47" s="3">
        <v>3</v>
      </c>
      <c r="B47" s="3" t="s">
        <v>95</v>
      </c>
      <c r="C47" s="3" t="s">
        <v>151</v>
      </c>
      <c r="D47" s="3"/>
      <c r="E47" s="3" t="s">
        <v>151</v>
      </c>
      <c r="F47" s="3"/>
      <c r="G47" s="3"/>
      <c r="H47" s="3"/>
      <c r="I47" s="3"/>
      <c r="J47" s="3"/>
      <c r="K47" s="3"/>
      <c r="L47" s="3" t="s">
        <v>96</v>
      </c>
      <c r="M47" s="3">
        <v>90</v>
      </c>
      <c r="N47" s="3" t="s">
        <v>106</v>
      </c>
      <c r="O47" s="3"/>
      <c r="P47" s="3"/>
      <c r="Q47" s="3">
        <v>15.646000000000001</v>
      </c>
      <c r="R47" s="3" t="s">
        <v>17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t="s">
        <v>106</v>
      </c>
    </row>
    <row r="48" spans="1:39" x14ac:dyDescent="0.25">
      <c r="A48" s="3">
        <v>3</v>
      </c>
      <c r="B48" s="3" t="s">
        <v>95</v>
      </c>
      <c r="C48" s="3" t="s">
        <v>151</v>
      </c>
      <c r="D48" s="3"/>
      <c r="E48" s="3" t="s">
        <v>151</v>
      </c>
      <c r="F48" s="3"/>
      <c r="G48" s="3"/>
      <c r="H48" s="3"/>
      <c r="I48" s="3"/>
      <c r="J48" s="3"/>
      <c r="K48" s="3"/>
      <c r="L48" s="3" t="s">
        <v>96</v>
      </c>
      <c r="M48" s="3">
        <v>100</v>
      </c>
      <c r="N48" s="3" t="s">
        <v>107</v>
      </c>
      <c r="O48" s="3"/>
      <c r="P48" s="3"/>
      <c r="Q48" s="3">
        <v>96.224999999999994</v>
      </c>
      <c r="R48" s="3" t="s">
        <v>17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t="s">
        <v>107</v>
      </c>
    </row>
    <row r="49" spans="1:39" x14ac:dyDescent="0.25">
      <c r="A49" s="3">
        <v>3</v>
      </c>
      <c r="B49" s="3" t="s">
        <v>95</v>
      </c>
      <c r="C49" s="3" t="s">
        <v>151</v>
      </c>
      <c r="D49" s="3"/>
      <c r="E49" s="3" t="s">
        <v>151</v>
      </c>
      <c r="F49" s="3"/>
      <c r="G49" s="3"/>
      <c r="H49" s="3"/>
      <c r="I49" s="3"/>
      <c r="J49" s="3"/>
      <c r="K49" s="3"/>
      <c r="L49" s="3" t="s">
        <v>96</v>
      </c>
      <c r="M49" s="3">
        <v>110</v>
      </c>
      <c r="N49" s="3" t="s">
        <v>100</v>
      </c>
      <c r="O49" s="3"/>
      <c r="P49" s="3"/>
      <c r="Q49" s="3">
        <v>4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t="s">
        <v>100</v>
      </c>
    </row>
    <row r="50" spans="1:39" x14ac:dyDescent="0.25">
      <c r="A50" s="3">
        <v>3</v>
      </c>
      <c r="B50" s="3" t="s">
        <v>95</v>
      </c>
      <c r="C50" s="3" t="s">
        <v>151</v>
      </c>
      <c r="D50" s="3"/>
      <c r="E50" s="3" t="s">
        <v>151</v>
      </c>
      <c r="F50" s="3"/>
      <c r="G50" s="3"/>
      <c r="H50" s="3"/>
      <c r="I50" s="3"/>
      <c r="J50" s="3"/>
      <c r="K50" s="3"/>
      <c r="L50" s="3" t="s">
        <v>96</v>
      </c>
      <c r="M50" s="3">
        <v>120</v>
      </c>
      <c r="N50" s="3" t="s">
        <v>26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t="s">
        <v>26</v>
      </c>
    </row>
    <row r="51" spans="1:39" x14ac:dyDescent="0.25">
      <c r="A51" s="3">
        <v>3</v>
      </c>
      <c r="B51" s="3" t="s">
        <v>95</v>
      </c>
      <c r="C51" s="3" t="s">
        <v>151</v>
      </c>
      <c r="D51" s="3"/>
      <c r="E51" s="3" t="s">
        <v>151</v>
      </c>
      <c r="F51" s="3"/>
      <c r="G51" s="3"/>
      <c r="H51" s="3"/>
      <c r="I51" s="3"/>
      <c r="J51" s="3"/>
      <c r="K51" s="3"/>
      <c r="L51" s="3" t="s">
        <v>96</v>
      </c>
      <c r="M51" s="3">
        <v>130</v>
      </c>
      <c r="N51" s="3" t="s">
        <v>27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t="s">
        <v>27</v>
      </c>
    </row>
    <row r="52" spans="1:39" x14ac:dyDescent="0.25">
      <c r="A52" s="3">
        <v>3</v>
      </c>
      <c r="B52" s="3" t="s">
        <v>95</v>
      </c>
      <c r="C52" s="3" t="s">
        <v>151</v>
      </c>
      <c r="D52" s="3"/>
      <c r="E52" s="3" t="s">
        <v>151</v>
      </c>
      <c r="F52" s="3"/>
      <c r="G52" s="3"/>
      <c r="H52" s="3"/>
      <c r="I52" s="3"/>
      <c r="J52" s="3"/>
      <c r="K52" s="3"/>
      <c r="L52" s="3" t="s">
        <v>96</v>
      </c>
      <c r="M52" s="3">
        <v>140</v>
      </c>
      <c r="N52" s="3" t="s">
        <v>28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t="s">
        <v>28</v>
      </c>
    </row>
    <row r="53" spans="1:39" x14ac:dyDescent="0.25">
      <c r="A53" s="3">
        <v>3</v>
      </c>
      <c r="B53" s="3" t="s">
        <v>95</v>
      </c>
      <c r="C53" s="3" t="s">
        <v>151</v>
      </c>
      <c r="D53" s="3"/>
      <c r="E53" s="3" t="s">
        <v>151</v>
      </c>
      <c r="F53" s="3"/>
      <c r="G53" s="3"/>
      <c r="H53" s="3"/>
      <c r="I53" s="3"/>
      <c r="J53" s="3"/>
      <c r="K53" s="3"/>
      <c r="L53" s="3" t="s">
        <v>96</v>
      </c>
      <c r="M53" s="3">
        <v>150</v>
      </c>
      <c r="N53" s="3" t="s">
        <v>115</v>
      </c>
      <c r="O53" s="3"/>
      <c r="P53" s="3"/>
      <c r="Q53" s="3">
        <v>0.60099999999999998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t="s">
        <v>115</v>
      </c>
    </row>
    <row r="54" spans="1:39" x14ac:dyDescent="0.25">
      <c r="A54" s="3">
        <v>3</v>
      </c>
      <c r="B54" s="3" t="s">
        <v>95</v>
      </c>
      <c r="C54" s="3" t="s">
        <v>151</v>
      </c>
      <c r="D54" s="3"/>
      <c r="E54" s="3" t="s">
        <v>151</v>
      </c>
      <c r="F54" s="3"/>
      <c r="G54" s="3"/>
      <c r="H54" s="3"/>
      <c r="I54" s="3"/>
      <c r="J54" s="3"/>
      <c r="K54" s="3"/>
      <c r="L54" s="3" t="s">
        <v>96</v>
      </c>
      <c r="M54" s="3">
        <v>160</v>
      </c>
      <c r="N54" s="3" t="s">
        <v>137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18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t="s">
        <v>137</v>
      </c>
    </row>
    <row r="55" spans="1:39" x14ac:dyDescent="0.25">
      <c r="A55" s="3">
        <v>3</v>
      </c>
      <c r="B55" s="3" t="s">
        <v>95</v>
      </c>
      <c r="C55" s="3" t="s">
        <v>151</v>
      </c>
      <c r="D55" s="3"/>
      <c r="E55" s="3" t="s">
        <v>151</v>
      </c>
      <c r="F55" s="3"/>
      <c r="G55" s="3"/>
      <c r="H55" s="3"/>
      <c r="I55" s="3"/>
      <c r="J55" s="3"/>
      <c r="K55" s="3"/>
      <c r="L55" s="3" t="s">
        <v>96</v>
      </c>
      <c r="M55" s="3">
        <v>170</v>
      </c>
      <c r="N55" s="3" t="s">
        <v>122</v>
      </c>
      <c r="O55" s="3"/>
      <c r="P55" s="3"/>
      <c r="Q55" s="3">
        <v>0.8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t="s">
        <v>122</v>
      </c>
    </row>
    <row r="56" spans="1:39" x14ac:dyDescent="0.25">
      <c r="A56" s="3">
        <v>4</v>
      </c>
      <c r="B56" s="3" t="s">
        <v>95</v>
      </c>
      <c r="C56" s="3" t="s">
        <v>152</v>
      </c>
      <c r="D56" s="3"/>
      <c r="E56" s="3" t="s">
        <v>152</v>
      </c>
      <c r="F56" s="3"/>
      <c r="G56" s="3"/>
      <c r="H56" s="3"/>
      <c r="I56" s="3"/>
      <c r="J56" s="3"/>
      <c r="K56" s="3"/>
      <c r="L56" s="3" t="s">
        <v>96</v>
      </c>
      <c r="M56" s="3">
        <v>10</v>
      </c>
      <c r="N56" s="3" t="s">
        <v>117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18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t="s">
        <v>117</v>
      </c>
    </row>
    <row r="57" spans="1:39" x14ac:dyDescent="0.25">
      <c r="A57" s="3">
        <v>4</v>
      </c>
      <c r="B57" s="3" t="s">
        <v>95</v>
      </c>
      <c r="C57" s="3" t="s">
        <v>152</v>
      </c>
      <c r="D57" s="3"/>
      <c r="E57" s="3" t="s">
        <v>152</v>
      </c>
      <c r="F57" s="3"/>
      <c r="G57" s="3"/>
      <c r="H57" s="3"/>
      <c r="I57" s="3"/>
      <c r="J57" s="3"/>
      <c r="K57" s="3"/>
      <c r="L57" s="3" t="s">
        <v>96</v>
      </c>
      <c r="M57" s="3">
        <v>20</v>
      </c>
      <c r="N57" s="3" t="s">
        <v>118</v>
      </c>
      <c r="O57" s="3"/>
      <c r="P57" s="3"/>
      <c r="Q57" s="3">
        <v>2.2930000000000001</v>
      </c>
      <c r="R57" s="3" t="s">
        <v>14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t="s">
        <v>118</v>
      </c>
    </row>
    <row r="58" spans="1:39" x14ac:dyDescent="0.25">
      <c r="A58" s="3">
        <v>4</v>
      </c>
      <c r="B58" s="3" t="s">
        <v>95</v>
      </c>
      <c r="C58" s="3" t="s">
        <v>152</v>
      </c>
      <c r="D58" s="3"/>
      <c r="E58" s="3" t="s">
        <v>152</v>
      </c>
      <c r="F58" s="3"/>
      <c r="G58" s="3"/>
      <c r="H58" s="3"/>
      <c r="I58" s="3"/>
      <c r="J58" s="3"/>
      <c r="K58" s="3"/>
      <c r="L58" s="3" t="s">
        <v>96</v>
      </c>
      <c r="M58" s="3">
        <v>30</v>
      </c>
      <c r="N58" s="3" t="s">
        <v>108</v>
      </c>
      <c r="O58" s="3"/>
      <c r="P58" s="3"/>
      <c r="Q58" s="3">
        <v>0.94</v>
      </c>
      <c r="R58" s="3" t="s">
        <v>17</v>
      </c>
      <c r="S58" s="3"/>
      <c r="T58" s="3">
        <v>10</v>
      </c>
      <c r="U58" s="3"/>
      <c r="V58" s="3" t="s">
        <v>18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t="s">
        <v>108</v>
      </c>
    </row>
    <row r="59" spans="1:39" x14ac:dyDescent="0.25">
      <c r="A59" s="3">
        <v>4</v>
      </c>
      <c r="B59" s="3" t="s">
        <v>95</v>
      </c>
      <c r="C59" s="3" t="s">
        <v>152</v>
      </c>
      <c r="D59" s="3"/>
      <c r="E59" s="3" t="s">
        <v>152</v>
      </c>
      <c r="F59" s="3"/>
      <c r="G59" s="3"/>
      <c r="H59" s="3"/>
      <c r="I59" s="3"/>
      <c r="J59" s="3"/>
      <c r="K59" s="3"/>
      <c r="L59" s="3" t="s">
        <v>96</v>
      </c>
      <c r="M59" s="3">
        <v>40</v>
      </c>
      <c r="N59" s="3" t="s">
        <v>142</v>
      </c>
      <c r="O59" s="3"/>
      <c r="P59" s="3"/>
      <c r="Q59" s="3">
        <v>0.94</v>
      </c>
      <c r="R59" s="3" t="s">
        <v>17</v>
      </c>
      <c r="S59" s="3"/>
      <c r="T59" s="3">
        <v>10</v>
      </c>
      <c r="U59" s="3"/>
      <c r="V59" s="3" t="s">
        <v>18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t="s">
        <v>142</v>
      </c>
    </row>
    <row r="60" spans="1:39" x14ac:dyDescent="0.25">
      <c r="A60" s="3">
        <v>4</v>
      </c>
      <c r="B60" s="3" t="s">
        <v>95</v>
      </c>
      <c r="C60" s="3" t="s">
        <v>152</v>
      </c>
      <c r="D60" s="3"/>
      <c r="E60" s="3" t="s">
        <v>152</v>
      </c>
      <c r="F60" s="3"/>
      <c r="G60" s="3"/>
      <c r="H60" s="3"/>
      <c r="I60" s="3"/>
      <c r="J60" s="3"/>
      <c r="K60" s="3"/>
      <c r="L60" s="3" t="s">
        <v>96</v>
      </c>
      <c r="M60" s="3">
        <v>50</v>
      </c>
      <c r="N60" s="3" t="s">
        <v>143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18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t="s">
        <v>143</v>
      </c>
    </row>
    <row r="61" spans="1:39" x14ac:dyDescent="0.25">
      <c r="A61" s="3">
        <v>4</v>
      </c>
      <c r="B61" s="3" t="s">
        <v>95</v>
      </c>
      <c r="C61" s="3" t="s">
        <v>152</v>
      </c>
      <c r="D61" s="3"/>
      <c r="E61" s="3" t="s">
        <v>152</v>
      </c>
      <c r="F61" s="3"/>
      <c r="G61" s="3"/>
      <c r="H61" s="3"/>
      <c r="I61" s="3"/>
      <c r="J61" s="3"/>
      <c r="K61" s="3"/>
      <c r="L61" s="3" t="s">
        <v>96</v>
      </c>
      <c r="M61" s="3">
        <v>60</v>
      </c>
      <c r="N61" s="3" t="s">
        <v>116</v>
      </c>
      <c r="O61" s="3"/>
      <c r="P61" s="3"/>
      <c r="Q61" s="3">
        <v>0.377</v>
      </c>
      <c r="R61" s="3" t="s">
        <v>111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t="s">
        <v>116</v>
      </c>
    </row>
    <row r="62" spans="1:39" x14ac:dyDescent="0.25">
      <c r="A62" s="3">
        <v>4</v>
      </c>
      <c r="B62" s="3" t="s">
        <v>95</v>
      </c>
      <c r="C62" s="3" t="s">
        <v>152</v>
      </c>
      <c r="D62" s="3"/>
      <c r="E62" s="3" t="s">
        <v>152</v>
      </c>
      <c r="F62" s="3"/>
      <c r="G62" s="3"/>
      <c r="H62" s="3"/>
      <c r="I62" s="3"/>
      <c r="J62" s="3"/>
      <c r="K62" s="3"/>
      <c r="L62" s="3" t="s">
        <v>96</v>
      </c>
      <c r="M62" s="3">
        <v>70</v>
      </c>
      <c r="N62" s="3" t="s">
        <v>29</v>
      </c>
      <c r="O62" s="3"/>
      <c r="P62" s="3"/>
      <c r="Q62" s="3">
        <v>0.11899999999999999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t="s">
        <v>29</v>
      </c>
    </row>
    <row r="63" spans="1:39" x14ac:dyDescent="0.25">
      <c r="A63" s="3">
        <v>4</v>
      </c>
      <c r="B63" s="3" t="s">
        <v>95</v>
      </c>
      <c r="C63" s="3" t="s">
        <v>152</v>
      </c>
      <c r="D63" s="3"/>
      <c r="E63" s="3" t="s">
        <v>152</v>
      </c>
      <c r="F63" s="3"/>
      <c r="G63" s="3"/>
      <c r="H63" s="3"/>
      <c r="I63" s="3"/>
      <c r="J63" s="3"/>
      <c r="K63" s="3"/>
      <c r="L63" s="3" t="s">
        <v>96</v>
      </c>
      <c r="M63" s="3">
        <v>80</v>
      </c>
      <c r="N63" s="3" t="s">
        <v>21</v>
      </c>
      <c r="O63" s="3"/>
      <c r="P63" s="3"/>
      <c r="Q63" s="3">
        <v>111.252</v>
      </c>
      <c r="R63" s="3" t="s">
        <v>17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t="s">
        <v>21</v>
      </c>
    </row>
    <row r="64" spans="1:39" x14ac:dyDescent="0.25">
      <c r="A64" s="3">
        <v>4</v>
      </c>
      <c r="B64" s="3" t="s">
        <v>95</v>
      </c>
      <c r="C64" s="3" t="s">
        <v>152</v>
      </c>
      <c r="D64" s="3"/>
      <c r="E64" s="3" t="s">
        <v>152</v>
      </c>
      <c r="F64" s="3"/>
      <c r="G64" s="3"/>
      <c r="H64" s="3"/>
      <c r="I64" s="3"/>
      <c r="J64" s="3"/>
      <c r="K64" s="3"/>
      <c r="L64" s="3" t="s">
        <v>96</v>
      </c>
      <c r="M64" s="3">
        <v>90</v>
      </c>
      <c r="N64" s="3" t="s">
        <v>109</v>
      </c>
      <c r="O64" s="3"/>
      <c r="P64" s="3"/>
      <c r="Q64" s="3">
        <v>11.379</v>
      </c>
      <c r="R64" s="3" t="s">
        <v>17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t="s">
        <v>109</v>
      </c>
    </row>
    <row r="65" spans="1:39" x14ac:dyDescent="0.25">
      <c r="A65" s="3">
        <v>4</v>
      </c>
      <c r="B65" s="3" t="s">
        <v>95</v>
      </c>
      <c r="C65" s="3" t="s">
        <v>152</v>
      </c>
      <c r="D65" s="3"/>
      <c r="E65" s="3" t="s">
        <v>152</v>
      </c>
      <c r="F65" s="3"/>
      <c r="G65" s="3"/>
      <c r="H65" s="3"/>
      <c r="I65" s="3"/>
      <c r="J65" s="3"/>
      <c r="K65" s="3"/>
      <c r="L65" s="3" t="s">
        <v>96</v>
      </c>
      <c r="M65" s="3">
        <v>100</v>
      </c>
      <c r="N65" s="3" t="s">
        <v>110</v>
      </c>
      <c r="O65" s="3"/>
      <c r="P65" s="3"/>
      <c r="Q65" s="3">
        <v>69.981999999999999</v>
      </c>
      <c r="R65" s="3" t="s">
        <v>17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t="s">
        <v>110</v>
      </c>
    </row>
    <row r="66" spans="1:39" x14ac:dyDescent="0.25">
      <c r="A66" s="3">
        <v>4</v>
      </c>
      <c r="B66" s="3" t="s">
        <v>95</v>
      </c>
      <c r="C66" s="3" t="s">
        <v>152</v>
      </c>
      <c r="D66" s="3"/>
      <c r="E66" s="3" t="s">
        <v>152</v>
      </c>
      <c r="F66" s="3"/>
      <c r="G66" s="3"/>
      <c r="H66" s="3"/>
      <c r="I66" s="3"/>
      <c r="J66" s="3"/>
      <c r="K66" s="3"/>
      <c r="L66" s="3" t="s">
        <v>96</v>
      </c>
      <c r="M66" s="3">
        <v>110</v>
      </c>
      <c r="N66" s="3" t="s">
        <v>100</v>
      </c>
      <c r="O66" s="3"/>
      <c r="P66" s="3"/>
      <c r="Q66" s="3">
        <v>4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t="s">
        <v>100</v>
      </c>
    </row>
    <row r="67" spans="1:39" x14ac:dyDescent="0.25">
      <c r="A67" s="3">
        <v>4</v>
      </c>
      <c r="B67" s="3" t="s">
        <v>95</v>
      </c>
      <c r="C67" s="3" t="s">
        <v>152</v>
      </c>
      <c r="D67" s="3"/>
      <c r="E67" s="3" t="s">
        <v>152</v>
      </c>
      <c r="F67" s="3"/>
      <c r="G67" s="3"/>
      <c r="H67" s="3"/>
      <c r="I67" s="3"/>
      <c r="J67" s="3"/>
      <c r="K67" s="3"/>
      <c r="L67" s="3" t="s">
        <v>96</v>
      </c>
      <c r="M67" s="3">
        <v>120</v>
      </c>
      <c r="N67" s="3" t="s">
        <v>26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t="s">
        <v>26</v>
      </c>
    </row>
    <row r="68" spans="1:39" x14ac:dyDescent="0.25">
      <c r="A68" s="3">
        <v>4</v>
      </c>
      <c r="B68" s="3" t="s">
        <v>95</v>
      </c>
      <c r="C68" s="3" t="s">
        <v>152</v>
      </c>
      <c r="D68" s="3"/>
      <c r="E68" s="3" t="s">
        <v>152</v>
      </c>
      <c r="F68" s="3"/>
      <c r="G68" s="3"/>
      <c r="H68" s="3"/>
      <c r="I68" s="3"/>
      <c r="J68" s="3"/>
      <c r="K68" s="3"/>
      <c r="L68" s="3" t="s">
        <v>96</v>
      </c>
      <c r="M68" s="3">
        <v>130</v>
      </c>
      <c r="N68" s="3" t="s">
        <v>27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t="s">
        <v>27</v>
      </c>
    </row>
    <row r="69" spans="1:39" x14ac:dyDescent="0.25">
      <c r="A69" s="3">
        <v>4</v>
      </c>
      <c r="B69" s="3" t="s">
        <v>95</v>
      </c>
      <c r="C69" s="3" t="s">
        <v>152</v>
      </c>
      <c r="D69" s="3"/>
      <c r="E69" s="3" t="s">
        <v>152</v>
      </c>
      <c r="F69" s="3"/>
      <c r="G69" s="3"/>
      <c r="H69" s="3"/>
      <c r="I69" s="3"/>
      <c r="J69" s="3"/>
      <c r="K69" s="3"/>
      <c r="L69" s="3" t="s">
        <v>96</v>
      </c>
      <c r="M69" s="3">
        <v>140</v>
      </c>
      <c r="N69" s="3" t="s">
        <v>28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t="s">
        <v>28</v>
      </c>
    </row>
    <row r="70" spans="1:39" x14ac:dyDescent="0.25">
      <c r="A70" s="3">
        <v>4</v>
      </c>
      <c r="B70" s="3" t="s">
        <v>95</v>
      </c>
      <c r="C70" s="3" t="s">
        <v>152</v>
      </c>
      <c r="D70" s="3"/>
      <c r="E70" s="3" t="s">
        <v>152</v>
      </c>
      <c r="F70" s="3"/>
      <c r="G70" s="3"/>
      <c r="H70" s="3"/>
      <c r="I70" s="3"/>
      <c r="J70" s="3"/>
      <c r="K70" s="3"/>
      <c r="L70" s="3" t="s">
        <v>96</v>
      </c>
      <c r="M70" s="3">
        <v>150</v>
      </c>
      <c r="N70" s="3" t="s">
        <v>115</v>
      </c>
      <c r="O70" s="3"/>
      <c r="P70" s="3"/>
      <c r="Q70" s="3">
        <v>0.33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t="s">
        <v>115</v>
      </c>
    </row>
    <row r="71" spans="1:39" x14ac:dyDescent="0.25">
      <c r="A71" s="3">
        <v>4</v>
      </c>
      <c r="B71" s="3" t="s">
        <v>95</v>
      </c>
      <c r="C71" s="3" t="s">
        <v>152</v>
      </c>
      <c r="D71" s="3"/>
      <c r="E71" s="3" t="s">
        <v>152</v>
      </c>
      <c r="F71" s="3"/>
      <c r="G71" s="3"/>
      <c r="H71" s="3"/>
      <c r="I71" s="3"/>
      <c r="J71" s="3"/>
      <c r="K71" s="3"/>
      <c r="L71" s="3" t="s">
        <v>96</v>
      </c>
      <c r="M71" s="3">
        <v>160</v>
      </c>
      <c r="N71" s="3" t="s">
        <v>119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18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t="s">
        <v>119</v>
      </c>
    </row>
    <row r="72" spans="1:39" x14ac:dyDescent="0.25">
      <c r="A72" s="3">
        <v>4</v>
      </c>
      <c r="B72" s="3" t="s">
        <v>95</v>
      </c>
      <c r="C72" s="3" t="s">
        <v>152</v>
      </c>
      <c r="D72" s="3"/>
      <c r="E72" s="3" t="s">
        <v>152</v>
      </c>
      <c r="F72" s="3"/>
      <c r="G72" s="3"/>
      <c r="H72" s="3"/>
      <c r="I72" s="3"/>
      <c r="J72" s="3"/>
      <c r="K72" s="3"/>
      <c r="L72" s="3" t="s">
        <v>96</v>
      </c>
      <c r="M72" s="3">
        <v>170</v>
      </c>
      <c r="N72" s="3" t="s">
        <v>120</v>
      </c>
      <c r="O72" s="3"/>
      <c r="P72" s="3"/>
      <c r="Q72" s="3">
        <v>0.5</v>
      </c>
      <c r="R72" s="3" t="s">
        <v>14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t="s">
        <v>120</v>
      </c>
    </row>
    <row r="73" spans="1:39" x14ac:dyDescent="0.25">
      <c r="A73" s="3">
        <v>5</v>
      </c>
      <c r="B73" s="3" t="s">
        <v>95</v>
      </c>
      <c r="C73" s="3" t="s">
        <v>153</v>
      </c>
      <c r="D73" s="3"/>
      <c r="E73" s="3" t="s">
        <v>153</v>
      </c>
      <c r="F73" s="3"/>
      <c r="G73" s="3"/>
      <c r="H73" s="3"/>
      <c r="I73" s="3"/>
      <c r="J73" s="3"/>
      <c r="K73" s="3"/>
      <c r="L73" s="3" t="s">
        <v>96</v>
      </c>
      <c r="M73" s="3">
        <v>10</v>
      </c>
      <c r="N73" s="3" t="s">
        <v>123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18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t="s">
        <v>123</v>
      </c>
    </row>
    <row r="74" spans="1:39" x14ac:dyDescent="0.25">
      <c r="A74" s="3">
        <v>5</v>
      </c>
      <c r="B74" s="3" t="s">
        <v>95</v>
      </c>
      <c r="C74" s="3" t="s">
        <v>153</v>
      </c>
      <c r="D74" s="3"/>
      <c r="E74" s="3" t="s">
        <v>153</v>
      </c>
      <c r="F74" s="3"/>
      <c r="G74" s="3"/>
      <c r="H74" s="3"/>
      <c r="I74" s="3"/>
      <c r="J74" s="3"/>
      <c r="K74" s="3"/>
      <c r="L74" s="3" t="s">
        <v>96</v>
      </c>
      <c r="M74" s="3">
        <v>20</v>
      </c>
      <c r="N74" s="3" t="s">
        <v>124</v>
      </c>
      <c r="O74" s="3"/>
      <c r="P74" s="3"/>
      <c r="Q74" s="3">
        <v>2.3889999999999998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t="s">
        <v>124</v>
      </c>
    </row>
    <row r="75" spans="1:39" x14ac:dyDescent="0.25">
      <c r="A75" s="3">
        <v>5</v>
      </c>
      <c r="B75" s="3" t="s">
        <v>95</v>
      </c>
      <c r="C75" s="3" t="s">
        <v>153</v>
      </c>
      <c r="D75" s="3"/>
      <c r="E75" s="3" t="s">
        <v>153</v>
      </c>
      <c r="F75" s="3"/>
      <c r="G75" s="3"/>
      <c r="H75" s="3"/>
      <c r="I75" s="3"/>
      <c r="J75" s="3"/>
      <c r="K75" s="3"/>
      <c r="L75" s="3" t="s">
        <v>96</v>
      </c>
      <c r="M75" s="3">
        <v>30</v>
      </c>
      <c r="N75" s="3" t="s">
        <v>108</v>
      </c>
      <c r="O75" s="3"/>
      <c r="P75" s="3"/>
      <c r="Q75" s="3">
        <v>0.94</v>
      </c>
      <c r="R75" s="3" t="s">
        <v>17</v>
      </c>
      <c r="S75" s="3"/>
      <c r="T75" s="3">
        <v>10</v>
      </c>
      <c r="U75" s="3"/>
      <c r="V75" s="3" t="s">
        <v>18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t="s">
        <v>108</v>
      </c>
    </row>
    <row r="76" spans="1:39" x14ac:dyDescent="0.25">
      <c r="A76" s="3">
        <v>5</v>
      </c>
      <c r="B76" s="3" t="s">
        <v>95</v>
      </c>
      <c r="C76" s="3" t="s">
        <v>153</v>
      </c>
      <c r="D76" s="3"/>
      <c r="E76" s="3" t="s">
        <v>153</v>
      </c>
      <c r="F76" s="3"/>
      <c r="G76" s="3"/>
      <c r="H76" s="3"/>
      <c r="I76" s="3"/>
      <c r="J76" s="3"/>
      <c r="K76" s="3"/>
      <c r="L76" s="3" t="s">
        <v>96</v>
      </c>
      <c r="M76" s="3">
        <v>40</v>
      </c>
      <c r="N76" s="3" t="s">
        <v>142</v>
      </c>
      <c r="O76" s="3"/>
      <c r="P76" s="3"/>
      <c r="Q76" s="3">
        <v>0.94</v>
      </c>
      <c r="R76" s="3" t="s">
        <v>17</v>
      </c>
      <c r="S76" s="3"/>
      <c r="T76" s="3">
        <v>10</v>
      </c>
      <c r="U76" s="3"/>
      <c r="V76" s="3" t="s">
        <v>18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t="s">
        <v>142</v>
      </c>
    </row>
    <row r="77" spans="1:39" x14ac:dyDescent="0.25">
      <c r="A77" s="3">
        <v>5</v>
      </c>
      <c r="B77" s="3" t="s">
        <v>95</v>
      </c>
      <c r="C77" s="3" t="s">
        <v>153</v>
      </c>
      <c r="D77" s="3"/>
      <c r="E77" s="3" t="s">
        <v>153</v>
      </c>
      <c r="F77" s="3"/>
      <c r="G77" s="3"/>
      <c r="H77" s="3"/>
      <c r="I77" s="3"/>
      <c r="J77" s="3"/>
      <c r="K77" s="3"/>
      <c r="L77" s="3" t="s">
        <v>96</v>
      </c>
      <c r="M77" s="3">
        <v>50</v>
      </c>
      <c r="N77" s="3" t="s">
        <v>144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t="s">
        <v>144</v>
      </c>
    </row>
    <row r="78" spans="1:39" x14ac:dyDescent="0.25">
      <c r="A78" s="3">
        <v>5</v>
      </c>
      <c r="B78" s="3" t="s">
        <v>95</v>
      </c>
      <c r="C78" s="3" t="s">
        <v>153</v>
      </c>
      <c r="D78" s="3"/>
      <c r="E78" s="3" t="s">
        <v>153</v>
      </c>
      <c r="F78" s="3"/>
      <c r="G78" s="3"/>
      <c r="H78" s="3"/>
      <c r="I78" s="3"/>
      <c r="J78" s="3"/>
      <c r="K78" s="3"/>
      <c r="L78" s="3" t="s">
        <v>96</v>
      </c>
      <c r="M78" s="3">
        <v>60</v>
      </c>
      <c r="N78" s="3" t="s">
        <v>116</v>
      </c>
      <c r="O78" s="3"/>
      <c r="P78" s="3"/>
      <c r="Q78" s="3">
        <v>0.39300000000000002</v>
      </c>
      <c r="R78" s="3" t="s">
        <v>111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t="s">
        <v>116</v>
      </c>
    </row>
    <row r="79" spans="1:39" x14ac:dyDescent="0.25">
      <c r="A79" s="3">
        <v>5</v>
      </c>
      <c r="B79" s="3" t="s">
        <v>95</v>
      </c>
      <c r="C79" s="3" t="s">
        <v>153</v>
      </c>
      <c r="D79" s="3"/>
      <c r="E79" s="3" t="s">
        <v>153</v>
      </c>
      <c r="F79" s="3"/>
      <c r="G79" s="3"/>
      <c r="H79" s="3"/>
      <c r="I79" s="3"/>
      <c r="J79" s="3"/>
      <c r="K79" s="3"/>
      <c r="L79" s="3" t="s">
        <v>96</v>
      </c>
      <c r="M79" s="3">
        <v>70</v>
      </c>
      <c r="N79" s="3" t="s">
        <v>29</v>
      </c>
      <c r="O79" s="3"/>
      <c r="P79" s="3"/>
      <c r="Q79" s="3">
        <v>0.122</v>
      </c>
      <c r="R79" s="3" t="s">
        <v>14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t="s">
        <v>29</v>
      </c>
    </row>
    <row r="80" spans="1:39" x14ac:dyDescent="0.25">
      <c r="A80" s="3">
        <v>5</v>
      </c>
      <c r="B80" s="3" t="s">
        <v>95</v>
      </c>
      <c r="C80" s="3" t="s">
        <v>153</v>
      </c>
      <c r="D80" s="3"/>
      <c r="E80" s="3" t="s">
        <v>153</v>
      </c>
      <c r="F80" s="3"/>
      <c r="G80" s="3"/>
      <c r="H80" s="3"/>
      <c r="I80" s="3"/>
      <c r="J80" s="3"/>
      <c r="K80" s="3"/>
      <c r="L80" s="3" t="s">
        <v>96</v>
      </c>
      <c r="M80" s="3">
        <v>80</v>
      </c>
      <c r="N80" s="3" t="s">
        <v>21</v>
      </c>
      <c r="O80" s="3"/>
      <c r="P80" s="3"/>
      <c r="Q80" s="3">
        <v>114.3</v>
      </c>
      <c r="R80" s="3" t="s">
        <v>17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t="s">
        <v>21</v>
      </c>
    </row>
    <row r="81" spans="1:39" x14ac:dyDescent="0.25">
      <c r="A81" s="3">
        <v>5</v>
      </c>
      <c r="B81" s="3" t="s">
        <v>95</v>
      </c>
      <c r="C81" s="3" t="s">
        <v>153</v>
      </c>
      <c r="D81" s="3"/>
      <c r="E81" s="3" t="s">
        <v>153</v>
      </c>
      <c r="F81" s="3"/>
      <c r="G81" s="3"/>
      <c r="H81" s="3"/>
      <c r="I81" s="3"/>
      <c r="J81" s="3"/>
      <c r="K81" s="3"/>
      <c r="L81" s="3" t="s">
        <v>96</v>
      </c>
      <c r="M81" s="3">
        <v>90</v>
      </c>
      <c r="N81" s="3" t="s">
        <v>109</v>
      </c>
      <c r="O81" s="3"/>
      <c r="P81" s="3"/>
      <c r="Q81" s="3">
        <v>11.683999999999999</v>
      </c>
      <c r="R81" s="3" t="s">
        <v>17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t="s">
        <v>109</v>
      </c>
    </row>
    <row r="82" spans="1:39" x14ac:dyDescent="0.25">
      <c r="A82" s="3">
        <v>5</v>
      </c>
      <c r="B82" s="3" t="s">
        <v>95</v>
      </c>
      <c r="C82" s="3" t="s">
        <v>153</v>
      </c>
      <c r="D82" s="3"/>
      <c r="E82" s="3" t="s">
        <v>153</v>
      </c>
      <c r="F82" s="3"/>
      <c r="G82" s="3"/>
      <c r="H82" s="3"/>
      <c r="I82" s="3"/>
      <c r="J82" s="3"/>
      <c r="K82" s="3"/>
      <c r="L82" s="3" t="s">
        <v>96</v>
      </c>
      <c r="M82" s="3">
        <v>100</v>
      </c>
      <c r="N82" s="3" t="s">
        <v>110</v>
      </c>
      <c r="O82" s="3"/>
      <c r="P82" s="3"/>
      <c r="Q82" s="3">
        <v>71.856999999999999</v>
      </c>
      <c r="R82" s="3" t="s">
        <v>17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t="s">
        <v>110</v>
      </c>
    </row>
    <row r="83" spans="1:39" x14ac:dyDescent="0.25">
      <c r="A83" s="3">
        <v>5</v>
      </c>
      <c r="B83" s="3" t="s">
        <v>95</v>
      </c>
      <c r="C83" s="3" t="s">
        <v>153</v>
      </c>
      <c r="D83" s="3"/>
      <c r="E83" s="3" t="s">
        <v>153</v>
      </c>
      <c r="F83" s="3"/>
      <c r="G83" s="3"/>
      <c r="H83" s="3"/>
      <c r="I83" s="3"/>
      <c r="J83" s="3"/>
      <c r="K83" s="3"/>
      <c r="L83" s="3" t="s">
        <v>96</v>
      </c>
      <c r="M83" s="3">
        <v>110</v>
      </c>
      <c r="N83" s="3" t="s">
        <v>100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t="s">
        <v>100</v>
      </c>
    </row>
    <row r="84" spans="1:39" x14ac:dyDescent="0.25">
      <c r="A84" s="3">
        <v>5</v>
      </c>
      <c r="B84" s="3" t="s">
        <v>95</v>
      </c>
      <c r="C84" s="3" t="s">
        <v>153</v>
      </c>
      <c r="D84" s="3"/>
      <c r="E84" s="3" t="s">
        <v>153</v>
      </c>
      <c r="F84" s="3"/>
      <c r="G84" s="3"/>
      <c r="H84" s="3"/>
      <c r="I84" s="3"/>
      <c r="J84" s="3"/>
      <c r="K84" s="3"/>
      <c r="L84" s="3" t="s">
        <v>96</v>
      </c>
      <c r="M84" s="3">
        <v>120</v>
      </c>
      <c r="N84" s="3" t="s">
        <v>26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t="s">
        <v>26</v>
      </c>
    </row>
    <row r="85" spans="1:39" x14ac:dyDescent="0.25">
      <c r="A85" s="3">
        <v>5</v>
      </c>
      <c r="B85" s="3" t="s">
        <v>95</v>
      </c>
      <c r="C85" s="3" t="s">
        <v>153</v>
      </c>
      <c r="D85" s="3"/>
      <c r="E85" s="3" t="s">
        <v>153</v>
      </c>
      <c r="F85" s="3"/>
      <c r="G85" s="3"/>
      <c r="H85" s="3"/>
      <c r="I85" s="3"/>
      <c r="J85" s="3"/>
      <c r="K85" s="3"/>
      <c r="L85" s="3" t="s">
        <v>96</v>
      </c>
      <c r="M85" s="3">
        <v>130</v>
      </c>
      <c r="N85" s="3" t="s">
        <v>27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t="s">
        <v>27</v>
      </c>
    </row>
    <row r="86" spans="1:39" x14ac:dyDescent="0.25">
      <c r="A86" s="3">
        <v>5</v>
      </c>
      <c r="B86" s="3" t="s">
        <v>95</v>
      </c>
      <c r="C86" s="3" t="s">
        <v>153</v>
      </c>
      <c r="D86" s="3"/>
      <c r="E86" s="3" t="s">
        <v>153</v>
      </c>
      <c r="F86" s="3"/>
      <c r="G86" s="3"/>
      <c r="H86" s="3"/>
      <c r="I86" s="3"/>
      <c r="J86" s="3"/>
      <c r="K86" s="3"/>
      <c r="L86" s="3" t="s">
        <v>96</v>
      </c>
      <c r="M86" s="3">
        <v>140</v>
      </c>
      <c r="N86" s="3" t="s">
        <v>28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t="s">
        <v>28</v>
      </c>
    </row>
    <row r="87" spans="1:39" x14ac:dyDescent="0.25">
      <c r="A87" s="3">
        <v>5</v>
      </c>
      <c r="B87" s="3" t="s">
        <v>95</v>
      </c>
      <c r="C87" s="3" t="s">
        <v>153</v>
      </c>
      <c r="D87" s="3"/>
      <c r="E87" s="3" t="s">
        <v>153</v>
      </c>
      <c r="F87" s="3"/>
      <c r="G87" s="3"/>
      <c r="H87" s="3"/>
      <c r="I87" s="3"/>
      <c r="J87" s="3"/>
      <c r="K87" s="3"/>
      <c r="L87" s="3" t="s">
        <v>96</v>
      </c>
      <c r="M87" s="3">
        <v>150</v>
      </c>
      <c r="N87" s="3" t="s">
        <v>115</v>
      </c>
      <c r="O87" s="3"/>
      <c r="P87" s="3"/>
      <c r="Q87" s="3">
        <v>0.33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t="s">
        <v>115</v>
      </c>
    </row>
    <row r="88" spans="1:39" x14ac:dyDescent="0.25">
      <c r="A88" s="3">
        <v>5</v>
      </c>
      <c r="B88" s="3" t="s">
        <v>95</v>
      </c>
      <c r="C88" s="3" t="s">
        <v>153</v>
      </c>
      <c r="D88" s="3"/>
      <c r="E88" s="3" t="s">
        <v>153</v>
      </c>
      <c r="F88" s="3"/>
      <c r="G88" s="3"/>
      <c r="H88" s="3"/>
      <c r="I88" s="3"/>
      <c r="J88" s="3"/>
      <c r="K88" s="3"/>
      <c r="L88" s="3" t="s">
        <v>96</v>
      </c>
      <c r="M88" s="3">
        <v>160</v>
      </c>
      <c r="N88" s="3" t="s">
        <v>125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18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t="s">
        <v>125</v>
      </c>
    </row>
    <row r="89" spans="1:39" x14ac:dyDescent="0.25">
      <c r="A89" s="3">
        <v>5</v>
      </c>
      <c r="B89" s="3" t="s">
        <v>95</v>
      </c>
      <c r="C89" s="3" t="s">
        <v>153</v>
      </c>
      <c r="D89" s="3"/>
      <c r="E89" s="3" t="s">
        <v>153</v>
      </c>
      <c r="F89" s="3"/>
      <c r="G89" s="3"/>
      <c r="H89" s="3"/>
      <c r="I89" s="3"/>
      <c r="J89" s="3"/>
      <c r="K89" s="3"/>
      <c r="L89" s="3" t="s">
        <v>96</v>
      </c>
      <c r="M89" s="3">
        <v>170</v>
      </c>
      <c r="N89" s="3" t="s">
        <v>120</v>
      </c>
      <c r="O89" s="3"/>
      <c r="P89" s="3"/>
      <c r="Q89" s="3">
        <v>0.5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t="s">
        <v>120</v>
      </c>
    </row>
    <row r="90" spans="1:39" x14ac:dyDescent="0.25">
      <c r="A90" s="3">
        <v>6</v>
      </c>
      <c r="B90" s="3" t="s">
        <v>95</v>
      </c>
      <c r="C90" s="3" t="s">
        <v>154</v>
      </c>
      <c r="D90" s="3"/>
      <c r="E90" s="3" t="s">
        <v>154</v>
      </c>
      <c r="F90" s="3"/>
      <c r="G90" s="3"/>
      <c r="H90" s="3"/>
      <c r="I90" s="3"/>
      <c r="J90" s="3"/>
      <c r="K90" s="3"/>
      <c r="L90" s="3" t="s">
        <v>96</v>
      </c>
      <c r="M90" s="3">
        <v>10</v>
      </c>
      <c r="N90" s="3" t="s">
        <v>126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t="s">
        <v>126</v>
      </c>
    </row>
    <row r="91" spans="1:39" x14ac:dyDescent="0.25">
      <c r="A91" s="3">
        <v>6</v>
      </c>
      <c r="B91" s="3" t="s">
        <v>95</v>
      </c>
      <c r="C91" s="3" t="s">
        <v>154</v>
      </c>
      <c r="D91" s="3"/>
      <c r="E91" s="3" t="s">
        <v>154</v>
      </c>
      <c r="F91" s="3"/>
      <c r="G91" s="3"/>
      <c r="H91" s="3"/>
      <c r="I91" s="3"/>
      <c r="J91" s="3"/>
      <c r="K91" s="3"/>
      <c r="L91" s="3" t="s">
        <v>96</v>
      </c>
      <c r="M91" s="3">
        <v>20</v>
      </c>
      <c r="N91" s="3" t="s">
        <v>127</v>
      </c>
      <c r="O91" s="3"/>
      <c r="P91" s="3"/>
      <c r="Q91" s="3">
        <v>4.0039999999999996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t="s">
        <v>127</v>
      </c>
    </row>
    <row r="92" spans="1:39" x14ac:dyDescent="0.25">
      <c r="A92" s="3">
        <v>6</v>
      </c>
      <c r="B92" s="3" t="s">
        <v>95</v>
      </c>
      <c r="C92" s="3" t="s">
        <v>154</v>
      </c>
      <c r="D92" s="3"/>
      <c r="E92" s="3" t="s">
        <v>154</v>
      </c>
      <c r="F92" s="3"/>
      <c r="G92" s="3"/>
      <c r="H92" s="3"/>
      <c r="I92" s="3"/>
      <c r="J92" s="3"/>
      <c r="K92" s="3"/>
      <c r="L92" s="3" t="s">
        <v>96</v>
      </c>
      <c r="M92" s="3">
        <v>30</v>
      </c>
      <c r="N92" s="3" t="s">
        <v>108</v>
      </c>
      <c r="O92" s="3"/>
      <c r="P92" s="3"/>
      <c r="Q92" s="3">
        <v>1.5489999999999999</v>
      </c>
      <c r="R92" s="3" t="s">
        <v>17</v>
      </c>
      <c r="S92" s="3"/>
      <c r="T92" s="3">
        <v>10</v>
      </c>
      <c r="U92" s="3"/>
      <c r="V92" s="3" t="s">
        <v>18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t="s">
        <v>108</v>
      </c>
    </row>
    <row r="93" spans="1:39" x14ac:dyDescent="0.25">
      <c r="A93" s="3">
        <v>6</v>
      </c>
      <c r="B93" s="3" t="s">
        <v>95</v>
      </c>
      <c r="C93" s="3" t="s">
        <v>154</v>
      </c>
      <c r="D93" s="3"/>
      <c r="E93" s="3" t="s">
        <v>154</v>
      </c>
      <c r="F93" s="3"/>
      <c r="G93" s="3"/>
      <c r="H93" s="3"/>
      <c r="I93" s="3"/>
      <c r="J93" s="3"/>
      <c r="K93" s="3"/>
      <c r="L93" s="3" t="s">
        <v>96</v>
      </c>
      <c r="M93" s="3">
        <v>40</v>
      </c>
      <c r="N93" s="3" t="s">
        <v>142</v>
      </c>
      <c r="O93" s="3"/>
      <c r="P93" s="3"/>
      <c r="Q93" s="3">
        <v>1.5489999999999999</v>
      </c>
      <c r="R93" s="3" t="s">
        <v>17</v>
      </c>
      <c r="S93" s="3"/>
      <c r="T93" s="3">
        <v>10</v>
      </c>
      <c r="U93" s="3"/>
      <c r="V93" s="3" t="s">
        <v>18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t="s">
        <v>142</v>
      </c>
    </row>
    <row r="94" spans="1:39" x14ac:dyDescent="0.25">
      <c r="A94" s="3">
        <v>6</v>
      </c>
      <c r="B94" s="3" t="s">
        <v>95</v>
      </c>
      <c r="C94" s="3" t="s">
        <v>154</v>
      </c>
      <c r="D94" s="3"/>
      <c r="E94" s="3" t="s">
        <v>154</v>
      </c>
      <c r="F94" s="3"/>
      <c r="G94" s="3"/>
      <c r="H94" s="3"/>
      <c r="I94" s="3"/>
      <c r="J94" s="3"/>
      <c r="K94" s="3"/>
      <c r="L94" s="3" t="s">
        <v>96</v>
      </c>
      <c r="M94" s="3">
        <v>50</v>
      </c>
      <c r="N94" s="3" t="s">
        <v>145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t="s">
        <v>145</v>
      </c>
    </row>
    <row r="95" spans="1:39" x14ac:dyDescent="0.25">
      <c r="A95" s="3">
        <v>6</v>
      </c>
      <c r="B95" s="3" t="s">
        <v>95</v>
      </c>
      <c r="C95" s="3" t="s">
        <v>154</v>
      </c>
      <c r="D95" s="3"/>
      <c r="E95" s="3" t="s">
        <v>154</v>
      </c>
      <c r="F95" s="3"/>
      <c r="G95" s="3"/>
      <c r="H95" s="3"/>
      <c r="I95" s="3"/>
      <c r="J95" s="3"/>
      <c r="K95" s="3"/>
      <c r="L95" s="3" t="s">
        <v>96</v>
      </c>
      <c r="M95" s="3">
        <v>60</v>
      </c>
      <c r="N95" s="3" t="s">
        <v>116</v>
      </c>
      <c r="O95" s="3"/>
      <c r="P95" s="3"/>
      <c r="Q95" s="3">
        <v>0.66300000000000003</v>
      </c>
      <c r="R95" s="3" t="s">
        <v>111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t="s">
        <v>116</v>
      </c>
    </row>
    <row r="96" spans="1:39" x14ac:dyDescent="0.25">
      <c r="A96" s="3">
        <v>6</v>
      </c>
      <c r="B96" s="3" t="s">
        <v>95</v>
      </c>
      <c r="C96" s="3" t="s">
        <v>154</v>
      </c>
      <c r="D96" s="3"/>
      <c r="E96" s="3" t="s">
        <v>154</v>
      </c>
      <c r="F96" s="3"/>
      <c r="G96" s="3"/>
      <c r="H96" s="3"/>
      <c r="I96" s="3"/>
      <c r="J96" s="3"/>
      <c r="K96" s="3"/>
      <c r="L96" s="3" t="s">
        <v>96</v>
      </c>
      <c r="M96" s="3">
        <v>70</v>
      </c>
      <c r="N96" s="3" t="s">
        <v>29</v>
      </c>
      <c r="O96" s="3"/>
      <c r="P96" s="3"/>
      <c r="Q96" s="3">
        <v>0.14799999999999999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t="s">
        <v>29</v>
      </c>
    </row>
    <row r="97" spans="1:39" x14ac:dyDescent="0.25">
      <c r="A97" s="3">
        <v>6</v>
      </c>
      <c r="B97" s="3" t="s">
        <v>95</v>
      </c>
      <c r="C97" s="3" t="s">
        <v>154</v>
      </c>
      <c r="D97" s="3"/>
      <c r="E97" s="3" t="s">
        <v>154</v>
      </c>
      <c r="F97" s="3"/>
      <c r="G97" s="3"/>
      <c r="H97" s="3"/>
      <c r="I97" s="3"/>
      <c r="J97" s="3"/>
      <c r="K97" s="3"/>
      <c r="L97" s="3" t="s">
        <v>96</v>
      </c>
      <c r="M97" s="3">
        <v>80</v>
      </c>
      <c r="N97" s="3" t="s">
        <v>21</v>
      </c>
      <c r="O97" s="3"/>
      <c r="P97" s="3"/>
      <c r="Q97" s="3">
        <v>138.684</v>
      </c>
      <c r="R97" s="3" t="s">
        <v>17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t="s">
        <v>21</v>
      </c>
    </row>
    <row r="98" spans="1:39" x14ac:dyDescent="0.25">
      <c r="A98" s="3">
        <v>6</v>
      </c>
      <c r="B98" s="3" t="s">
        <v>95</v>
      </c>
      <c r="C98" s="3" t="s">
        <v>154</v>
      </c>
      <c r="D98" s="3"/>
      <c r="E98" s="3" t="s">
        <v>154</v>
      </c>
      <c r="F98" s="3"/>
      <c r="G98" s="3"/>
      <c r="H98" s="3"/>
      <c r="I98" s="3"/>
      <c r="J98" s="3"/>
      <c r="K98" s="3"/>
      <c r="L98" s="3" t="s">
        <v>96</v>
      </c>
      <c r="M98" s="3">
        <v>90</v>
      </c>
      <c r="N98" s="3" t="s">
        <v>109</v>
      </c>
      <c r="O98" s="3"/>
      <c r="P98" s="3"/>
      <c r="Q98" s="3">
        <v>14.122</v>
      </c>
      <c r="R98" s="3" t="s">
        <v>17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t="s">
        <v>109</v>
      </c>
    </row>
    <row r="99" spans="1:39" x14ac:dyDescent="0.25">
      <c r="A99" s="3">
        <v>6</v>
      </c>
      <c r="B99" s="3" t="s">
        <v>95</v>
      </c>
      <c r="C99" s="3" t="s">
        <v>154</v>
      </c>
      <c r="D99" s="3"/>
      <c r="E99" s="3" t="s">
        <v>154</v>
      </c>
      <c r="F99" s="3"/>
      <c r="G99" s="3"/>
      <c r="H99" s="3"/>
      <c r="I99" s="3"/>
      <c r="J99" s="3"/>
      <c r="K99" s="3"/>
      <c r="L99" s="3" t="s">
        <v>96</v>
      </c>
      <c r="M99" s="3">
        <v>100</v>
      </c>
      <c r="N99" s="3" t="s">
        <v>110</v>
      </c>
      <c r="O99" s="3"/>
      <c r="P99" s="3"/>
      <c r="Q99" s="3">
        <v>86.852999999999994</v>
      </c>
      <c r="R99" s="3" t="s">
        <v>17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t="s">
        <v>110</v>
      </c>
    </row>
    <row r="100" spans="1:39" x14ac:dyDescent="0.25">
      <c r="A100" s="3">
        <v>6</v>
      </c>
      <c r="B100" s="3" t="s">
        <v>95</v>
      </c>
      <c r="C100" s="3" t="s">
        <v>154</v>
      </c>
      <c r="D100" s="3"/>
      <c r="E100" s="3" t="s">
        <v>154</v>
      </c>
      <c r="F100" s="3"/>
      <c r="G100" s="3"/>
      <c r="H100" s="3"/>
      <c r="I100" s="3"/>
      <c r="J100" s="3"/>
      <c r="K100" s="3"/>
      <c r="L100" s="3" t="s">
        <v>96</v>
      </c>
      <c r="M100" s="3">
        <v>110</v>
      </c>
      <c r="N100" s="3" t="s">
        <v>100</v>
      </c>
      <c r="O100" s="3"/>
      <c r="P100" s="3"/>
      <c r="Q100" s="3">
        <v>4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t="s">
        <v>100</v>
      </c>
    </row>
    <row r="101" spans="1:39" x14ac:dyDescent="0.25">
      <c r="A101" s="3">
        <v>6</v>
      </c>
      <c r="B101" s="3" t="s">
        <v>95</v>
      </c>
      <c r="C101" s="3" t="s">
        <v>154</v>
      </c>
      <c r="D101" s="3"/>
      <c r="E101" s="3" t="s">
        <v>154</v>
      </c>
      <c r="F101" s="3"/>
      <c r="G101" s="3"/>
      <c r="H101" s="3"/>
      <c r="I101" s="3"/>
      <c r="J101" s="3"/>
      <c r="K101" s="3"/>
      <c r="L101" s="3" t="s">
        <v>96</v>
      </c>
      <c r="M101" s="3">
        <v>120</v>
      </c>
      <c r="N101" s="3" t="s">
        <v>26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t="s">
        <v>26</v>
      </c>
    </row>
    <row r="102" spans="1:39" x14ac:dyDescent="0.25">
      <c r="A102" s="3">
        <v>6</v>
      </c>
      <c r="B102" s="3" t="s">
        <v>95</v>
      </c>
      <c r="C102" s="3" t="s">
        <v>154</v>
      </c>
      <c r="D102" s="3"/>
      <c r="E102" s="3" t="s">
        <v>154</v>
      </c>
      <c r="F102" s="3"/>
      <c r="G102" s="3"/>
      <c r="H102" s="3"/>
      <c r="I102" s="3"/>
      <c r="J102" s="3"/>
      <c r="K102" s="3"/>
      <c r="L102" s="3" t="s">
        <v>96</v>
      </c>
      <c r="M102" s="3">
        <v>130</v>
      </c>
      <c r="N102" s="3" t="s">
        <v>27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t="s">
        <v>27</v>
      </c>
    </row>
    <row r="103" spans="1:39" x14ac:dyDescent="0.25">
      <c r="A103" s="3">
        <v>6</v>
      </c>
      <c r="B103" s="3" t="s">
        <v>95</v>
      </c>
      <c r="C103" s="3" t="s">
        <v>154</v>
      </c>
      <c r="D103" s="3"/>
      <c r="E103" s="3" t="s">
        <v>154</v>
      </c>
      <c r="F103" s="3"/>
      <c r="G103" s="3"/>
      <c r="H103" s="3"/>
      <c r="I103" s="3"/>
      <c r="J103" s="3"/>
      <c r="K103" s="3"/>
      <c r="L103" s="3" t="s">
        <v>96</v>
      </c>
      <c r="M103" s="3">
        <v>140</v>
      </c>
      <c r="N103" s="3" t="s">
        <v>28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t="s">
        <v>28</v>
      </c>
    </row>
    <row r="104" spans="1:39" x14ac:dyDescent="0.25">
      <c r="A104" s="3">
        <v>6</v>
      </c>
      <c r="B104" s="3" t="s">
        <v>95</v>
      </c>
      <c r="C104" s="3" t="s">
        <v>154</v>
      </c>
      <c r="D104" s="3"/>
      <c r="E104" s="3" t="s">
        <v>154</v>
      </c>
      <c r="F104" s="3"/>
      <c r="G104" s="3"/>
      <c r="H104" s="3"/>
      <c r="I104" s="3"/>
      <c r="J104" s="3"/>
      <c r="K104" s="3"/>
      <c r="L104" s="3" t="s">
        <v>96</v>
      </c>
      <c r="M104" s="3">
        <v>150</v>
      </c>
      <c r="N104" s="3" t="s">
        <v>115</v>
      </c>
      <c r="O104" s="3"/>
      <c r="P104" s="3"/>
      <c r="Q104" s="3">
        <v>0.51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t="s">
        <v>115</v>
      </c>
    </row>
    <row r="105" spans="1:39" x14ac:dyDescent="0.25">
      <c r="A105" s="3">
        <v>6</v>
      </c>
      <c r="B105" s="3" t="s">
        <v>95</v>
      </c>
      <c r="C105" s="3" t="s">
        <v>154</v>
      </c>
      <c r="D105" s="3"/>
      <c r="E105" s="3" t="s">
        <v>154</v>
      </c>
      <c r="F105" s="3"/>
      <c r="G105" s="3"/>
      <c r="H105" s="3"/>
      <c r="I105" s="3"/>
      <c r="J105" s="3"/>
      <c r="K105" s="3"/>
      <c r="L105" s="3" t="s">
        <v>96</v>
      </c>
      <c r="M105" s="3">
        <v>160</v>
      </c>
      <c r="N105" s="3" t="s">
        <v>128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t="s">
        <v>128</v>
      </c>
    </row>
    <row r="106" spans="1:39" x14ac:dyDescent="0.25">
      <c r="A106" s="3">
        <v>6</v>
      </c>
      <c r="B106" s="3" t="s">
        <v>95</v>
      </c>
      <c r="C106" s="3" t="s">
        <v>154</v>
      </c>
      <c r="D106" s="3"/>
      <c r="E106" s="3" t="s">
        <v>154</v>
      </c>
      <c r="F106" s="3"/>
      <c r="G106" s="3"/>
      <c r="H106" s="3"/>
      <c r="I106" s="3"/>
      <c r="J106" s="3"/>
      <c r="K106" s="3"/>
      <c r="L106" s="3" t="s">
        <v>96</v>
      </c>
      <c r="M106" s="3">
        <v>170</v>
      </c>
      <c r="N106" s="3" t="s">
        <v>121</v>
      </c>
      <c r="O106" s="3"/>
      <c r="P106" s="3"/>
      <c r="Q106" s="3">
        <v>0.6</v>
      </c>
      <c r="R106" s="3" t="s">
        <v>14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t="s">
        <v>121</v>
      </c>
    </row>
    <row r="107" spans="1:39" x14ac:dyDescent="0.25">
      <c r="A107" s="3">
        <v>7</v>
      </c>
      <c r="B107" s="3" t="s">
        <v>95</v>
      </c>
      <c r="C107" s="3" t="s">
        <v>155</v>
      </c>
      <c r="D107" s="3"/>
      <c r="E107" s="3" t="s">
        <v>155</v>
      </c>
      <c r="F107" s="3"/>
      <c r="G107" s="3"/>
      <c r="H107" s="3"/>
      <c r="I107" s="3"/>
      <c r="J107" s="3"/>
      <c r="K107" s="3"/>
      <c r="L107" s="3" t="s">
        <v>96</v>
      </c>
      <c r="M107" s="3">
        <v>10</v>
      </c>
      <c r="N107" s="3" t="s">
        <v>129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18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t="s">
        <v>129</v>
      </c>
    </row>
    <row r="108" spans="1:39" x14ac:dyDescent="0.25">
      <c r="A108" s="3">
        <v>7</v>
      </c>
      <c r="B108" s="3" t="s">
        <v>95</v>
      </c>
      <c r="C108" s="3" t="s">
        <v>155</v>
      </c>
      <c r="D108" s="3"/>
      <c r="E108" s="3" t="s">
        <v>155</v>
      </c>
      <c r="F108" s="3"/>
      <c r="G108" s="3"/>
      <c r="H108" s="3"/>
      <c r="I108" s="3"/>
      <c r="J108" s="3"/>
      <c r="K108" s="3"/>
      <c r="L108" s="3" t="s">
        <v>96</v>
      </c>
      <c r="M108" s="3">
        <v>20</v>
      </c>
      <c r="N108" s="3" t="s">
        <v>130</v>
      </c>
      <c r="O108" s="3"/>
      <c r="P108" s="3"/>
      <c r="Q108" s="3">
        <v>4.8109999999999999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t="s">
        <v>130</v>
      </c>
    </row>
    <row r="109" spans="1:39" x14ac:dyDescent="0.25">
      <c r="A109" s="3">
        <v>7</v>
      </c>
      <c r="B109" s="3" t="s">
        <v>95</v>
      </c>
      <c r="C109" s="3" t="s">
        <v>155</v>
      </c>
      <c r="D109" s="3"/>
      <c r="E109" s="3" t="s">
        <v>155</v>
      </c>
      <c r="F109" s="3"/>
      <c r="G109" s="3"/>
      <c r="H109" s="3"/>
      <c r="I109" s="3"/>
      <c r="J109" s="3"/>
      <c r="K109" s="3"/>
      <c r="L109" s="3" t="s">
        <v>96</v>
      </c>
      <c r="M109" s="3">
        <v>30</v>
      </c>
      <c r="N109" s="3" t="s">
        <v>108</v>
      </c>
      <c r="O109" s="3"/>
      <c r="P109" s="3"/>
      <c r="Q109" s="3">
        <v>1.8540000000000001</v>
      </c>
      <c r="R109" s="3" t="s">
        <v>17</v>
      </c>
      <c r="S109" s="3"/>
      <c r="T109" s="3">
        <v>10</v>
      </c>
      <c r="U109" s="3"/>
      <c r="V109" s="3" t="s">
        <v>18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t="s">
        <v>108</v>
      </c>
    </row>
    <row r="110" spans="1:39" x14ac:dyDescent="0.25">
      <c r="A110" s="3">
        <v>7</v>
      </c>
      <c r="B110" s="3" t="s">
        <v>95</v>
      </c>
      <c r="C110" s="3" t="s">
        <v>155</v>
      </c>
      <c r="D110" s="3"/>
      <c r="E110" s="3" t="s">
        <v>155</v>
      </c>
      <c r="F110" s="3"/>
      <c r="G110" s="3"/>
      <c r="H110" s="3"/>
      <c r="I110" s="3"/>
      <c r="J110" s="3"/>
      <c r="K110" s="3"/>
      <c r="L110" s="3" t="s">
        <v>96</v>
      </c>
      <c r="M110" s="3">
        <v>40</v>
      </c>
      <c r="N110" s="3" t="s">
        <v>142</v>
      </c>
      <c r="O110" s="3"/>
      <c r="P110" s="3"/>
      <c r="Q110" s="3">
        <v>1.8540000000000001</v>
      </c>
      <c r="R110" s="3" t="s">
        <v>17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t="s">
        <v>142</v>
      </c>
    </row>
    <row r="111" spans="1:39" x14ac:dyDescent="0.25">
      <c r="A111" s="3">
        <v>7</v>
      </c>
      <c r="B111" s="3" t="s">
        <v>95</v>
      </c>
      <c r="C111" s="3" t="s">
        <v>155</v>
      </c>
      <c r="D111" s="3"/>
      <c r="E111" s="3" t="s">
        <v>155</v>
      </c>
      <c r="F111" s="3"/>
      <c r="G111" s="3"/>
      <c r="H111" s="3"/>
      <c r="I111" s="3"/>
      <c r="J111" s="3"/>
      <c r="K111" s="3"/>
      <c r="L111" s="3" t="s">
        <v>96</v>
      </c>
      <c r="M111" s="3">
        <v>50</v>
      </c>
      <c r="N111" s="3" t="s">
        <v>146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t="s">
        <v>146</v>
      </c>
    </row>
    <row r="112" spans="1:39" x14ac:dyDescent="0.25">
      <c r="A112" s="3">
        <v>7</v>
      </c>
      <c r="B112" s="3" t="s">
        <v>95</v>
      </c>
      <c r="C112" s="3" t="s">
        <v>155</v>
      </c>
      <c r="D112" s="3"/>
      <c r="E112" s="3" t="s">
        <v>155</v>
      </c>
      <c r="F112" s="3"/>
      <c r="G112" s="3"/>
      <c r="H112" s="3"/>
      <c r="I112" s="3"/>
      <c r="J112" s="3"/>
      <c r="K112" s="3"/>
      <c r="L112" s="3" t="s">
        <v>96</v>
      </c>
      <c r="M112" s="3">
        <v>60</v>
      </c>
      <c r="N112" s="3" t="s">
        <v>116</v>
      </c>
      <c r="O112" s="3"/>
      <c r="P112" s="3"/>
      <c r="Q112" s="3">
        <v>0.79800000000000004</v>
      </c>
      <c r="R112" s="3" t="s">
        <v>111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t="s">
        <v>116</v>
      </c>
    </row>
    <row r="113" spans="1:39" x14ac:dyDescent="0.25">
      <c r="A113" s="3">
        <v>7</v>
      </c>
      <c r="B113" s="3" t="s">
        <v>95</v>
      </c>
      <c r="C113" s="3" t="s">
        <v>155</v>
      </c>
      <c r="D113" s="3"/>
      <c r="E113" s="3" t="s">
        <v>155</v>
      </c>
      <c r="F113" s="3"/>
      <c r="G113" s="3"/>
      <c r="H113" s="3"/>
      <c r="I113" s="3"/>
      <c r="J113" s="3"/>
      <c r="K113" s="3"/>
      <c r="L113" s="3" t="s">
        <v>96</v>
      </c>
      <c r="M113" s="3">
        <v>70</v>
      </c>
      <c r="N113" s="3" t="s">
        <v>29</v>
      </c>
      <c r="O113" s="3"/>
      <c r="P113" s="3"/>
      <c r="Q113" s="3">
        <v>0.161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t="s">
        <v>29</v>
      </c>
    </row>
    <row r="114" spans="1:39" x14ac:dyDescent="0.25">
      <c r="A114" s="3">
        <v>7</v>
      </c>
      <c r="B114" s="3" t="s">
        <v>95</v>
      </c>
      <c r="C114" s="3" t="s">
        <v>155</v>
      </c>
      <c r="D114" s="3"/>
      <c r="E114" s="3" t="s">
        <v>155</v>
      </c>
      <c r="F114" s="3"/>
      <c r="G114" s="3"/>
      <c r="H114" s="3"/>
      <c r="I114" s="3"/>
      <c r="J114" s="3"/>
      <c r="K114" s="3"/>
      <c r="L114" s="3" t="s">
        <v>96</v>
      </c>
      <c r="M114" s="3">
        <v>80</v>
      </c>
      <c r="N114" s="3" t="s">
        <v>21</v>
      </c>
      <c r="O114" s="3"/>
      <c r="P114" s="3"/>
      <c r="Q114" s="3">
        <v>150.876</v>
      </c>
      <c r="R114" s="3" t="s">
        <v>17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t="s">
        <v>21</v>
      </c>
    </row>
    <row r="115" spans="1:39" x14ac:dyDescent="0.25">
      <c r="A115" s="3">
        <v>7</v>
      </c>
      <c r="B115" s="3" t="s">
        <v>95</v>
      </c>
      <c r="C115" s="3" t="s">
        <v>155</v>
      </c>
      <c r="D115" s="3"/>
      <c r="E115" s="3" t="s">
        <v>155</v>
      </c>
      <c r="F115" s="3"/>
      <c r="G115" s="3"/>
      <c r="H115" s="3"/>
      <c r="I115" s="3"/>
      <c r="J115" s="3"/>
      <c r="K115" s="3"/>
      <c r="L115" s="3" t="s">
        <v>96</v>
      </c>
      <c r="M115" s="3">
        <v>90</v>
      </c>
      <c r="N115" s="3" t="s">
        <v>109</v>
      </c>
      <c r="O115" s="3"/>
      <c r="P115" s="3"/>
      <c r="Q115" s="3">
        <v>15.342000000000001</v>
      </c>
      <c r="R115" s="3" t="s">
        <v>17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t="s">
        <v>109</v>
      </c>
    </row>
    <row r="116" spans="1:39" x14ac:dyDescent="0.25">
      <c r="A116" s="3">
        <v>7</v>
      </c>
      <c r="B116" s="3" t="s">
        <v>95</v>
      </c>
      <c r="C116" s="3" t="s">
        <v>155</v>
      </c>
      <c r="D116" s="3"/>
      <c r="E116" s="3" t="s">
        <v>155</v>
      </c>
      <c r="F116" s="3"/>
      <c r="G116" s="3"/>
      <c r="H116" s="3"/>
      <c r="I116" s="3"/>
      <c r="J116" s="3"/>
      <c r="K116" s="3"/>
      <c r="L116" s="3" t="s">
        <v>96</v>
      </c>
      <c r="M116" s="3">
        <v>100</v>
      </c>
      <c r="N116" s="3" t="s">
        <v>110</v>
      </c>
      <c r="O116" s="3"/>
      <c r="P116" s="3"/>
      <c r="Q116" s="3">
        <v>94.350999999999999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t="s">
        <v>110</v>
      </c>
    </row>
    <row r="117" spans="1:39" x14ac:dyDescent="0.25">
      <c r="A117" s="3">
        <v>7</v>
      </c>
      <c r="B117" s="3" t="s">
        <v>95</v>
      </c>
      <c r="C117" s="3" t="s">
        <v>155</v>
      </c>
      <c r="D117" s="3"/>
      <c r="E117" s="3" t="s">
        <v>155</v>
      </c>
      <c r="F117" s="3"/>
      <c r="G117" s="3"/>
      <c r="H117" s="3"/>
      <c r="I117" s="3"/>
      <c r="J117" s="3"/>
      <c r="K117" s="3"/>
      <c r="L117" s="3" t="s">
        <v>96</v>
      </c>
      <c r="M117" s="3">
        <v>110</v>
      </c>
      <c r="N117" s="3" t="s">
        <v>100</v>
      </c>
      <c r="O117" s="3"/>
      <c r="P117" s="3"/>
      <c r="Q117" s="3">
        <v>4</v>
      </c>
      <c r="R117" s="3" t="s">
        <v>11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t="s">
        <v>100</v>
      </c>
    </row>
    <row r="118" spans="1:39" x14ac:dyDescent="0.25">
      <c r="A118" s="3">
        <v>7</v>
      </c>
      <c r="B118" s="3" t="s">
        <v>95</v>
      </c>
      <c r="C118" s="3" t="s">
        <v>155</v>
      </c>
      <c r="D118" s="3"/>
      <c r="E118" s="3" t="s">
        <v>155</v>
      </c>
      <c r="F118" s="3"/>
      <c r="G118" s="3"/>
      <c r="H118" s="3"/>
      <c r="I118" s="3"/>
      <c r="J118" s="3"/>
      <c r="K118" s="3"/>
      <c r="L118" s="3" t="s">
        <v>96</v>
      </c>
      <c r="M118" s="3">
        <v>120</v>
      </c>
      <c r="N118" s="3" t="s">
        <v>26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t="s">
        <v>26</v>
      </c>
    </row>
    <row r="119" spans="1:39" x14ac:dyDescent="0.25">
      <c r="A119" s="3">
        <v>7</v>
      </c>
      <c r="B119" s="3" t="s">
        <v>95</v>
      </c>
      <c r="C119" s="3" t="s">
        <v>155</v>
      </c>
      <c r="D119" s="3"/>
      <c r="E119" s="3" t="s">
        <v>155</v>
      </c>
      <c r="F119" s="3"/>
      <c r="G119" s="3"/>
      <c r="H119" s="3"/>
      <c r="I119" s="3"/>
      <c r="J119" s="3"/>
      <c r="K119" s="3"/>
      <c r="L119" s="3" t="s">
        <v>96</v>
      </c>
      <c r="M119" s="3">
        <v>130</v>
      </c>
      <c r="N119" s="3" t="s">
        <v>27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t="s">
        <v>27</v>
      </c>
    </row>
    <row r="120" spans="1:39" x14ac:dyDescent="0.25">
      <c r="A120" s="3">
        <v>7</v>
      </c>
      <c r="B120" s="3" t="s">
        <v>95</v>
      </c>
      <c r="C120" s="3" t="s">
        <v>155</v>
      </c>
      <c r="D120" s="3"/>
      <c r="E120" s="3" t="s">
        <v>155</v>
      </c>
      <c r="F120" s="3"/>
      <c r="G120" s="3"/>
      <c r="H120" s="3"/>
      <c r="I120" s="3"/>
      <c r="J120" s="3"/>
      <c r="K120" s="3"/>
      <c r="L120" s="3" t="s">
        <v>96</v>
      </c>
      <c r="M120" s="3">
        <v>140</v>
      </c>
      <c r="N120" s="3" t="s">
        <v>28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t="s">
        <v>28</v>
      </c>
    </row>
    <row r="121" spans="1:39" x14ac:dyDescent="0.25">
      <c r="A121" s="3">
        <v>7</v>
      </c>
      <c r="B121" s="3" t="s">
        <v>95</v>
      </c>
      <c r="C121" s="3" t="s">
        <v>155</v>
      </c>
      <c r="D121" s="3"/>
      <c r="E121" s="3" t="s">
        <v>155</v>
      </c>
      <c r="F121" s="3"/>
      <c r="G121" s="3"/>
      <c r="H121" s="3"/>
      <c r="I121" s="3"/>
      <c r="J121" s="3"/>
      <c r="K121" s="3"/>
      <c r="L121" s="3" t="s">
        <v>96</v>
      </c>
      <c r="M121" s="3">
        <v>150</v>
      </c>
      <c r="N121" s="3" t="s">
        <v>115</v>
      </c>
      <c r="O121" s="3"/>
      <c r="P121" s="3"/>
      <c r="Q121" s="3">
        <v>0.60099999999999998</v>
      </c>
      <c r="R121" s="3" t="s">
        <v>14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t="s">
        <v>115</v>
      </c>
    </row>
    <row r="122" spans="1:39" x14ac:dyDescent="0.25">
      <c r="A122" s="3">
        <v>7</v>
      </c>
      <c r="B122" s="3" t="s">
        <v>95</v>
      </c>
      <c r="C122" s="3" t="s">
        <v>155</v>
      </c>
      <c r="D122" s="3"/>
      <c r="E122" s="3" t="s">
        <v>155</v>
      </c>
      <c r="F122" s="3"/>
      <c r="G122" s="3"/>
      <c r="H122" s="3"/>
      <c r="I122" s="3"/>
      <c r="J122" s="3"/>
      <c r="K122" s="3"/>
      <c r="L122" s="3" t="s">
        <v>96</v>
      </c>
      <c r="M122" s="3">
        <v>160</v>
      </c>
      <c r="N122" s="3" t="s">
        <v>131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18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t="s">
        <v>131</v>
      </c>
    </row>
    <row r="123" spans="1:39" x14ac:dyDescent="0.25">
      <c r="A123" s="3">
        <v>7</v>
      </c>
      <c r="B123" s="3" t="s">
        <v>95</v>
      </c>
      <c r="C123" s="3" t="s">
        <v>155</v>
      </c>
      <c r="D123" s="3"/>
      <c r="E123" s="3" t="s">
        <v>155</v>
      </c>
      <c r="F123" s="3"/>
      <c r="G123" s="3"/>
      <c r="H123" s="3"/>
      <c r="I123" s="3"/>
      <c r="J123" s="3"/>
      <c r="K123" s="3"/>
      <c r="L123" s="3" t="s">
        <v>96</v>
      </c>
      <c r="M123" s="3">
        <v>170</v>
      </c>
      <c r="N123" s="3" t="s">
        <v>122</v>
      </c>
      <c r="O123" s="3"/>
      <c r="P123" s="3"/>
      <c r="Q123" s="3">
        <v>0.8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t="s">
        <v>122</v>
      </c>
    </row>
    <row r="124" spans="1:39" x14ac:dyDescent="0.25">
      <c r="A124" s="3">
        <v>8</v>
      </c>
      <c r="B124" s="3" t="s">
        <v>95</v>
      </c>
      <c r="C124" s="3" t="s">
        <v>156</v>
      </c>
      <c r="D124" s="3"/>
      <c r="E124" s="3" t="s">
        <v>156</v>
      </c>
      <c r="F124" s="3"/>
      <c r="G124" s="3"/>
      <c r="H124" s="3"/>
      <c r="I124" s="3"/>
      <c r="J124" s="3"/>
      <c r="K124" s="3"/>
      <c r="L124" s="3" t="s">
        <v>96</v>
      </c>
      <c r="M124" s="3">
        <v>10</v>
      </c>
      <c r="N124" s="3" t="s">
        <v>132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t="s">
        <v>132</v>
      </c>
    </row>
    <row r="125" spans="1:39" x14ac:dyDescent="0.25">
      <c r="A125" s="3">
        <v>8</v>
      </c>
      <c r="B125" s="3" t="s">
        <v>95</v>
      </c>
      <c r="C125" s="3" t="s">
        <v>156</v>
      </c>
      <c r="D125" s="3"/>
      <c r="E125" s="3" t="s">
        <v>156</v>
      </c>
      <c r="F125" s="3"/>
      <c r="G125" s="3"/>
      <c r="H125" s="3"/>
      <c r="I125" s="3"/>
      <c r="J125" s="3"/>
      <c r="K125" s="3"/>
      <c r="L125" s="3" t="s">
        <v>96</v>
      </c>
      <c r="M125" s="3">
        <v>20</v>
      </c>
      <c r="N125" s="3" t="s">
        <v>133</v>
      </c>
      <c r="O125" s="3"/>
      <c r="P125" s="3"/>
      <c r="Q125" s="3">
        <v>4.165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t="s">
        <v>133</v>
      </c>
    </row>
    <row r="126" spans="1:39" x14ac:dyDescent="0.25">
      <c r="A126" s="3">
        <v>8</v>
      </c>
      <c r="B126" s="3" t="s">
        <v>95</v>
      </c>
      <c r="C126" s="3" t="s">
        <v>156</v>
      </c>
      <c r="D126" s="3"/>
      <c r="E126" s="3" t="s">
        <v>156</v>
      </c>
      <c r="F126" s="3"/>
      <c r="G126" s="3"/>
      <c r="H126" s="3"/>
      <c r="I126" s="3"/>
      <c r="J126" s="3"/>
      <c r="K126" s="3"/>
      <c r="L126" s="3" t="s">
        <v>96</v>
      </c>
      <c r="M126" s="3">
        <v>30</v>
      </c>
      <c r="N126" s="3" t="s">
        <v>108</v>
      </c>
      <c r="O126" s="3"/>
      <c r="P126" s="3"/>
      <c r="Q126" s="3">
        <v>1.5489999999999999</v>
      </c>
      <c r="R126" s="3" t="s">
        <v>17</v>
      </c>
      <c r="S126" s="3"/>
      <c r="T126" s="3">
        <v>10</v>
      </c>
      <c r="U126" s="3"/>
      <c r="V126" s="3" t="s">
        <v>18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t="s">
        <v>108</v>
      </c>
    </row>
    <row r="127" spans="1:39" x14ac:dyDescent="0.25">
      <c r="A127" s="3">
        <v>8</v>
      </c>
      <c r="B127" s="3" t="s">
        <v>95</v>
      </c>
      <c r="C127" s="3" t="s">
        <v>156</v>
      </c>
      <c r="D127" s="3"/>
      <c r="E127" s="3" t="s">
        <v>156</v>
      </c>
      <c r="F127" s="3"/>
      <c r="G127" s="3"/>
      <c r="H127" s="3"/>
      <c r="I127" s="3"/>
      <c r="J127" s="3"/>
      <c r="K127" s="3"/>
      <c r="L127" s="3" t="s">
        <v>96</v>
      </c>
      <c r="M127" s="3">
        <v>40</v>
      </c>
      <c r="N127" s="3" t="s">
        <v>142</v>
      </c>
      <c r="O127" s="3"/>
      <c r="P127" s="3"/>
      <c r="Q127" s="3">
        <v>1.5489999999999999</v>
      </c>
      <c r="R127" s="3" t="s">
        <v>17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t="s">
        <v>142</v>
      </c>
    </row>
    <row r="128" spans="1:39" x14ac:dyDescent="0.25">
      <c r="A128" s="3">
        <v>8</v>
      </c>
      <c r="B128" s="3" t="s">
        <v>95</v>
      </c>
      <c r="C128" s="3" t="s">
        <v>156</v>
      </c>
      <c r="D128" s="3"/>
      <c r="E128" s="3" t="s">
        <v>156</v>
      </c>
      <c r="F128" s="3"/>
      <c r="G128" s="3"/>
      <c r="H128" s="3"/>
      <c r="I128" s="3"/>
      <c r="J128" s="3"/>
      <c r="K128" s="3"/>
      <c r="L128" s="3" t="s">
        <v>96</v>
      </c>
      <c r="M128" s="3">
        <v>50</v>
      </c>
      <c r="N128" s="3" t="s">
        <v>147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t="s">
        <v>147</v>
      </c>
    </row>
    <row r="129" spans="1:39" x14ac:dyDescent="0.25">
      <c r="A129" s="3">
        <v>8</v>
      </c>
      <c r="B129" s="3" t="s">
        <v>95</v>
      </c>
      <c r="C129" s="3" t="s">
        <v>156</v>
      </c>
      <c r="D129" s="3"/>
      <c r="E129" s="3" t="s">
        <v>156</v>
      </c>
      <c r="F129" s="3"/>
      <c r="G129" s="3"/>
      <c r="H129" s="3"/>
      <c r="I129" s="3"/>
      <c r="J129" s="3"/>
      <c r="K129" s="3"/>
      <c r="L129" s="3" t="s">
        <v>96</v>
      </c>
      <c r="M129" s="3">
        <v>60</v>
      </c>
      <c r="N129" s="3" t="s">
        <v>116</v>
      </c>
      <c r="O129" s="3"/>
      <c r="P129" s="3"/>
      <c r="Q129" s="3">
        <v>0.69</v>
      </c>
      <c r="R129" s="3" t="s">
        <v>111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t="s">
        <v>116</v>
      </c>
    </row>
    <row r="130" spans="1:39" x14ac:dyDescent="0.25">
      <c r="A130" s="3">
        <v>8</v>
      </c>
      <c r="B130" s="3" t="s">
        <v>95</v>
      </c>
      <c r="C130" s="3" t="s">
        <v>156</v>
      </c>
      <c r="D130" s="3"/>
      <c r="E130" s="3" t="s">
        <v>156</v>
      </c>
      <c r="F130" s="3"/>
      <c r="G130" s="3"/>
      <c r="H130" s="3"/>
      <c r="I130" s="3"/>
      <c r="J130" s="3"/>
      <c r="K130" s="3"/>
      <c r="L130" s="3" t="s">
        <v>96</v>
      </c>
      <c r="M130" s="3">
        <v>70</v>
      </c>
      <c r="N130" s="3" t="s">
        <v>29</v>
      </c>
      <c r="O130" s="3"/>
      <c r="P130" s="3"/>
      <c r="Q130" s="3">
        <v>0.152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t="s">
        <v>29</v>
      </c>
    </row>
    <row r="131" spans="1:39" x14ac:dyDescent="0.25">
      <c r="A131" s="3">
        <v>8</v>
      </c>
      <c r="B131" s="3" t="s">
        <v>95</v>
      </c>
      <c r="C131" s="3" t="s">
        <v>156</v>
      </c>
      <c r="D131" s="3"/>
      <c r="E131" s="3" t="s">
        <v>156</v>
      </c>
      <c r="F131" s="3"/>
      <c r="G131" s="3"/>
      <c r="H131" s="3"/>
      <c r="I131" s="3"/>
      <c r="J131" s="3"/>
      <c r="K131" s="3"/>
      <c r="L131" s="3" t="s">
        <v>96</v>
      </c>
      <c r="M131" s="3">
        <v>80</v>
      </c>
      <c r="N131" s="3" t="s">
        <v>21</v>
      </c>
      <c r="O131" s="3"/>
      <c r="P131" s="3"/>
      <c r="Q131" s="3">
        <v>141.732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t="s">
        <v>21</v>
      </c>
    </row>
    <row r="132" spans="1:39" x14ac:dyDescent="0.25">
      <c r="A132" s="3">
        <v>8</v>
      </c>
      <c r="B132" s="3" t="s">
        <v>95</v>
      </c>
      <c r="C132" s="3" t="s">
        <v>156</v>
      </c>
      <c r="D132" s="3"/>
      <c r="E132" s="3" t="s">
        <v>156</v>
      </c>
      <c r="F132" s="3"/>
      <c r="G132" s="3"/>
      <c r="H132" s="3"/>
      <c r="I132" s="3"/>
      <c r="J132" s="3"/>
      <c r="K132" s="3"/>
      <c r="L132" s="3" t="s">
        <v>96</v>
      </c>
      <c r="M132" s="3">
        <v>90</v>
      </c>
      <c r="N132" s="3" t="s">
        <v>109</v>
      </c>
      <c r="O132" s="3"/>
      <c r="P132" s="3"/>
      <c r="Q132" s="3">
        <v>14.427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t="s">
        <v>109</v>
      </c>
    </row>
    <row r="133" spans="1:39" x14ac:dyDescent="0.25">
      <c r="A133" s="3">
        <v>8</v>
      </c>
      <c r="B133" s="3" t="s">
        <v>95</v>
      </c>
      <c r="C133" s="3" t="s">
        <v>156</v>
      </c>
      <c r="D133" s="3"/>
      <c r="E133" s="3" t="s">
        <v>156</v>
      </c>
      <c r="F133" s="3"/>
      <c r="G133" s="3"/>
      <c r="H133" s="3"/>
      <c r="I133" s="3"/>
      <c r="J133" s="3"/>
      <c r="K133" s="3"/>
      <c r="L133" s="3" t="s">
        <v>96</v>
      </c>
      <c r="M133" s="3">
        <v>100</v>
      </c>
      <c r="N133" s="3" t="s">
        <v>110</v>
      </c>
      <c r="O133" s="3"/>
      <c r="P133" s="3"/>
      <c r="Q133" s="3">
        <v>88.727000000000004</v>
      </c>
      <c r="R133" s="3" t="s">
        <v>17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t="s">
        <v>110</v>
      </c>
    </row>
    <row r="134" spans="1:39" x14ac:dyDescent="0.25">
      <c r="A134" s="3">
        <v>8</v>
      </c>
      <c r="B134" s="3" t="s">
        <v>95</v>
      </c>
      <c r="C134" s="3" t="s">
        <v>156</v>
      </c>
      <c r="D134" s="3"/>
      <c r="E134" s="3" t="s">
        <v>156</v>
      </c>
      <c r="F134" s="3"/>
      <c r="G134" s="3"/>
      <c r="H134" s="3"/>
      <c r="I134" s="3"/>
      <c r="J134" s="3"/>
      <c r="K134" s="3"/>
      <c r="L134" s="3" t="s">
        <v>96</v>
      </c>
      <c r="M134" s="3">
        <v>110</v>
      </c>
      <c r="N134" s="3" t="s">
        <v>100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t="s">
        <v>100</v>
      </c>
    </row>
    <row r="135" spans="1:39" x14ac:dyDescent="0.25">
      <c r="A135" s="3">
        <v>8</v>
      </c>
      <c r="B135" s="3" t="s">
        <v>95</v>
      </c>
      <c r="C135" s="3" t="s">
        <v>156</v>
      </c>
      <c r="D135" s="3"/>
      <c r="E135" s="3" t="s">
        <v>156</v>
      </c>
      <c r="F135" s="3"/>
      <c r="G135" s="3"/>
      <c r="H135" s="3"/>
      <c r="I135" s="3"/>
      <c r="J135" s="3"/>
      <c r="K135" s="3"/>
      <c r="L135" s="3" t="s">
        <v>96</v>
      </c>
      <c r="M135" s="3">
        <v>120</v>
      </c>
      <c r="N135" s="3" t="s">
        <v>26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t="s">
        <v>26</v>
      </c>
    </row>
    <row r="136" spans="1:39" x14ac:dyDescent="0.25">
      <c r="A136" s="3">
        <v>8</v>
      </c>
      <c r="B136" s="3" t="s">
        <v>95</v>
      </c>
      <c r="C136" s="3" t="s">
        <v>156</v>
      </c>
      <c r="D136" s="3"/>
      <c r="E136" s="3" t="s">
        <v>156</v>
      </c>
      <c r="F136" s="3"/>
      <c r="G136" s="3"/>
      <c r="H136" s="3"/>
      <c r="I136" s="3"/>
      <c r="J136" s="3"/>
      <c r="K136" s="3"/>
      <c r="L136" s="3" t="s">
        <v>96</v>
      </c>
      <c r="M136" s="3">
        <v>130</v>
      </c>
      <c r="N136" s="3" t="s">
        <v>27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t="s">
        <v>27</v>
      </c>
    </row>
    <row r="137" spans="1:39" x14ac:dyDescent="0.25">
      <c r="A137" s="3">
        <v>8</v>
      </c>
      <c r="B137" s="3" t="s">
        <v>95</v>
      </c>
      <c r="C137" s="3" t="s">
        <v>156</v>
      </c>
      <c r="D137" s="3"/>
      <c r="E137" s="3" t="s">
        <v>156</v>
      </c>
      <c r="F137" s="3"/>
      <c r="G137" s="3"/>
      <c r="H137" s="3"/>
      <c r="I137" s="3"/>
      <c r="J137" s="3"/>
      <c r="K137" s="3"/>
      <c r="L137" s="3" t="s">
        <v>96</v>
      </c>
      <c r="M137" s="3">
        <v>140</v>
      </c>
      <c r="N137" s="3" t="s">
        <v>28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t="s">
        <v>28</v>
      </c>
    </row>
    <row r="138" spans="1:39" x14ac:dyDescent="0.25">
      <c r="A138" s="3">
        <v>8</v>
      </c>
      <c r="B138" s="3" t="s">
        <v>95</v>
      </c>
      <c r="C138" s="3" t="s">
        <v>156</v>
      </c>
      <c r="D138" s="3"/>
      <c r="E138" s="3" t="s">
        <v>156</v>
      </c>
      <c r="F138" s="3"/>
      <c r="G138" s="3"/>
      <c r="H138" s="3"/>
      <c r="I138" s="3"/>
      <c r="J138" s="3"/>
      <c r="K138" s="3"/>
      <c r="L138" s="3" t="s">
        <v>96</v>
      </c>
      <c r="M138" s="3">
        <v>150</v>
      </c>
      <c r="N138" s="3" t="s">
        <v>115</v>
      </c>
      <c r="O138" s="3"/>
      <c r="P138" s="3"/>
      <c r="Q138" s="3">
        <v>0.51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t="s">
        <v>115</v>
      </c>
    </row>
    <row r="139" spans="1:39" x14ac:dyDescent="0.25">
      <c r="A139" s="3">
        <v>8</v>
      </c>
      <c r="B139" s="3" t="s">
        <v>95</v>
      </c>
      <c r="C139" s="3" t="s">
        <v>156</v>
      </c>
      <c r="D139" s="3"/>
      <c r="E139" s="3" t="s">
        <v>156</v>
      </c>
      <c r="F139" s="3"/>
      <c r="G139" s="3"/>
      <c r="H139" s="3"/>
      <c r="I139" s="3"/>
      <c r="J139" s="3"/>
      <c r="K139" s="3"/>
      <c r="L139" s="3" t="s">
        <v>96</v>
      </c>
      <c r="M139" s="3">
        <v>160</v>
      </c>
      <c r="N139" s="3" t="s">
        <v>134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18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t="s">
        <v>134</v>
      </c>
    </row>
    <row r="140" spans="1:39" x14ac:dyDescent="0.25">
      <c r="A140" s="3">
        <v>8</v>
      </c>
      <c r="B140" s="3" t="s">
        <v>95</v>
      </c>
      <c r="C140" s="3" t="s">
        <v>156</v>
      </c>
      <c r="D140" s="3"/>
      <c r="E140" s="3" t="s">
        <v>156</v>
      </c>
      <c r="F140" s="3"/>
      <c r="G140" s="3"/>
      <c r="H140" s="3"/>
      <c r="I140" s="3"/>
      <c r="J140" s="3"/>
      <c r="K140" s="3"/>
      <c r="L140" s="3" t="s">
        <v>96</v>
      </c>
      <c r="M140" s="3">
        <v>170</v>
      </c>
      <c r="N140" s="3" t="s">
        <v>121</v>
      </c>
      <c r="O140" s="3"/>
      <c r="P140" s="3"/>
      <c r="Q140" s="3">
        <v>0.6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t="s">
        <v>121</v>
      </c>
    </row>
    <row r="141" spans="1:39" x14ac:dyDescent="0.25">
      <c r="A141" s="3">
        <v>9</v>
      </c>
      <c r="B141" s="3" t="s">
        <v>95</v>
      </c>
      <c r="C141" s="3" t="s">
        <v>157</v>
      </c>
      <c r="D141" s="3"/>
      <c r="E141" s="3" t="s">
        <v>157</v>
      </c>
      <c r="F141" s="3"/>
      <c r="G141" s="3"/>
      <c r="H141" s="3"/>
      <c r="I141" s="3"/>
      <c r="J141" s="3"/>
      <c r="K141" s="3"/>
      <c r="L141" s="3" t="s">
        <v>96</v>
      </c>
      <c r="M141" s="3">
        <v>10</v>
      </c>
      <c r="N141" s="3" t="s">
        <v>135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t="s">
        <v>135</v>
      </c>
    </row>
    <row r="142" spans="1:39" x14ac:dyDescent="0.25">
      <c r="A142" s="3">
        <v>9</v>
      </c>
      <c r="B142" s="3" t="s">
        <v>95</v>
      </c>
      <c r="C142" s="3" t="s">
        <v>157</v>
      </c>
      <c r="D142" s="3"/>
      <c r="E142" s="3" t="s">
        <v>157</v>
      </c>
      <c r="F142" s="3"/>
      <c r="G142" s="3"/>
      <c r="H142" s="3"/>
      <c r="I142" s="3"/>
      <c r="J142" s="3"/>
      <c r="K142" s="3"/>
      <c r="L142" s="3" t="s">
        <v>96</v>
      </c>
      <c r="M142" s="3">
        <v>20</v>
      </c>
      <c r="N142" s="3" t="s">
        <v>136</v>
      </c>
      <c r="O142" s="3"/>
      <c r="P142" s="3"/>
      <c r="Q142" s="3">
        <v>5.0049999999999999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t="s">
        <v>136</v>
      </c>
    </row>
    <row r="143" spans="1:39" x14ac:dyDescent="0.25">
      <c r="A143" s="3">
        <v>9</v>
      </c>
      <c r="B143" s="3" t="s">
        <v>95</v>
      </c>
      <c r="C143" s="3" t="s">
        <v>157</v>
      </c>
      <c r="D143" s="3"/>
      <c r="E143" s="3" t="s">
        <v>157</v>
      </c>
      <c r="F143" s="3"/>
      <c r="G143" s="3"/>
      <c r="H143" s="3"/>
      <c r="I143" s="3"/>
      <c r="J143" s="3"/>
      <c r="K143" s="3"/>
      <c r="L143" s="3" t="s">
        <v>96</v>
      </c>
      <c r="M143" s="3">
        <v>30</v>
      </c>
      <c r="N143" s="3" t="s">
        <v>108</v>
      </c>
      <c r="O143" s="3"/>
      <c r="P143" s="3"/>
      <c r="Q143" s="3">
        <v>1.8540000000000001</v>
      </c>
      <c r="R143" s="3" t="s">
        <v>17</v>
      </c>
      <c r="S143" s="3"/>
      <c r="T143" s="3">
        <v>10</v>
      </c>
      <c r="U143" s="3"/>
      <c r="V143" s="3" t="s">
        <v>18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t="s">
        <v>108</v>
      </c>
    </row>
    <row r="144" spans="1:39" x14ac:dyDescent="0.25">
      <c r="A144" s="3">
        <v>9</v>
      </c>
      <c r="B144" s="3" t="s">
        <v>95</v>
      </c>
      <c r="C144" s="3" t="s">
        <v>157</v>
      </c>
      <c r="D144" s="3"/>
      <c r="E144" s="3" t="s">
        <v>157</v>
      </c>
      <c r="F144" s="3"/>
      <c r="G144" s="3"/>
      <c r="H144" s="3"/>
      <c r="I144" s="3"/>
      <c r="J144" s="3"/>
      <c r="K144" s="3"/>
      <c r="L144" s="3" t="s">
        <v>96</v>
      </c>
      <c r="M144" s="3">
        <v>40</v>
      </c>
      <c r="N144" s="3" t="s">
        <v>142</v>
      </c>
      <c r="O144" s="3"/>
      <c r="P144" s="3"/>
      <c r="Q144" s="3">
        <v>1.8540000000000001</v>
      </c>
      <c r="R144" s="3" t="s">
        <v>17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t="s">
        <v>142</v>
      </c>
    </row>
    <row r="145" spans="1:39" x14ac:dyDescent="0.25">
      <c r="A145" s="3">
        <v>9</v>
      </c>
      <c r="B145" s="3" t="s">
        <v>95</v>
      </c>
      <c r="C145" s="3" t="s">
        <v>157</v>
      </c>
      <c r="D145" s="3"/>
      <c r="E145" s="3" t="s">
        <v>157</v>
      </c>
      <c r="F145" s="3"/>
      <c r="G145" s="3"/>
      <c r="H145" s="3"/>
      <c r="I145" s="3"/>
      <c r="J145" s="3"/>
      <c r="K145" s="3"/>
      <c r="L145" s="3" t="s">
        <v>96</v>
      </c>
      <c r="M145" s="3">
        <v>50</v>
      </c>
      <c r="N145" s="3" t="s">
        <v>148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18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t="s">
        <v>148</v>
      </c>
    </row>
    <row r="146" spans="1:39" x14ac:dyDescent="0.25">
      <c r="A146" s="3">
        <v>9</v>
      </c>
      <c r="B146" s="3" t="s">
        <v>95</v>
      </c>
      <c r="C146" s="3" t="s">
        <v>157</v>
      </c>
      <c r="D146" s="3"/>
      <c r="E146" s="3" t="s">
        <v>157</v>
      </c>
      <c r="F146" s="3"/>
      <c r="G146" s="3"/>
      <c r="H146" s="3"/>
      <c r="I146" s="3"/>
      <c r="J146" s="3"/>
      <c r="K146" s="3"/>
      <c r="L146" s="3" t="s">
        <v>96</v>
      </c>
      <c r="M146" s="3">
        <v>60</v>
      </c>
      <c r="N146" s="3" t="s">
        <v>116</v>
      </c>
      <c r="O146" s="3"/>
      <c r="P146" s="3"/>
      <c r="Q146" s="3">
        <v>0.83</v>
      </c>
      <c r="R146" s="3" t="s">
        <v>111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t="s">
        <v>116</v>
      </c>
    </row>
    <row r="147" spans="1:39" x14ac:dyDescent="0.25">
      <c r="A147" s="3">
        <v>9</v>
      </c>
      <c r="B147" s="3" t="s">
        <v>95</v>
      </c>
      <c r="C147" s="3" t="s">
        <v>157</v>
      </c>
      <c r="D147" s="3"/>
      <c r="E147" s="3" t="s">
        <v>157</v>
      </c>
      <c r="F147" s="3"/>
      <c r="G147" s="3"/>
      <c r="H147" s="3"/>
      <c r="I147" s="3"/>
      <c r="J147" s="3"/>
      <c r="K147" s="3"/>
      <c r="L147" s="3" t="s">
        <v>96</v>
      </c>
      <c r="M147" s="3">
        <v>70</v>
      </c>
      <c r="N147" s="3" t="s">
        <v>29</v>
      </c>
      <c r="O147" s="3"/>
      <c r="P147" s="3"/>
      <c r="Q147" s="3">
        <v>0.16500000000000001</v>
      </c>
      <c r="R147" s="3" t="s">
        <v>14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t="s">
        <v>29</v>
      </c>
    </row>
    <row r="148" spans="1:39" x14ac:dyDescent="0.25">
      <c r="A148" s="3">
        <v>9</v>
      </c>
      <c r="B148" s="3" t="s">
        <v>95</v>
      </c>
      <c r="C148" s="3" t="s">
        <v>157</v>
      </c>
      <c r="D148" s="3"/>
      <c r="E148" s="3" t="s">
        <v>157</v>
      </c>
      <c r="F148" s="3"/>
      <c r="G148" s="3"/>
      <c r="H148" s="3"/>
      <c r="I148" s="3"/>
      <c r="J148" s="3"/>
      <c r="K148" s="3"/>
      <c r="L148" s="3" t="s">
        <v>96</v>
      </c>
      <c r="M148" s="3">
        <v>80</v>
      </c>
      <c r="N148" s="3" t="s">
        <v>21</v>
      </c>
      <c r="O148" s="3"/>
      <c r="P148" s="3"/>
      <c r="Q148" s="3">
        <v>153.92400000000001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t="s">
        <v>21</v>
      </c>
    </row>
    <row r="149" spans="1:39" x14ac:dyDescent="0.25">
      <c r="A149" s="3">
        <v>9</v>
      </c>
      <c r="B149" s="3" t="s">
        <v>95</v>
      </c>
      <c r="C149" s="3" t="s">
        <v>157</v>
      </c>
      <c r="D149" s="3"/>
      <c r="E149" s="3" t="s">
        <v>157</v>
      </c>
      <c r="F149" s="3"/>
      <c r="G149" s="3"/>
      <c r="H149" s="3"/>
      <c r="I149" s="3"/>
      <c r="J149" s="3"/>
      <c r="K149" s="3"/>
      <c r="L149" s="3" t="s">
        <v>96</v>
      </c>
      <c r="M149" s="3">
        <v>90</v>
      </c>
      <c r="N149" s="3" t="s">
        <v>109</v>
      </c>
      <c r="O149" s="3"/>
      <c r="P149" s="3"/>
      <c r="Q149" s="3">
        <v>15.646000000000001</v>
      </c>
      <c r="R149" s="3" t="s">
        <v>17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t="s">
        <v>109</v>
      </c>
    </row>
    <row r="150" spans="1:39" x14ac:dyDescent="0.25">
      <c r="A150" s="3">
        <v>9</v>
      </c>
      <c r="B150" s="3" t="s">
        <v>95</v>
      </c>
      <c r="C150" s="3" t="s">
        <v>157</v>
      </c>
      <c r="D150" s="3"/>
      <c r="E150" s="3" t="s">
        <v>157</v>
      </c>
      <c r="F150" s="3"/>
      <c r="G150" s="3"/>
      <c r="H150" s="3"/>
      <c r="I150" s="3"/>
      <c r="J150" s="3"/>
      <c r="K150" s="3"/>
      <c r="L150" s="3" t="s">
        <v>96</v>
      </c>
      <c r="M150" s="3">
        <v>100</v>
      </c>
      <c r="N150" s="3" t="s">
        <v>110</v>
      </c>
      <c r="O150" s="3"/>
      <c r="P150" s="3"/>
      <c r="Q150" s="3">
        <v>96.224999999999994</v>
      </c>
      <c r="R150" s="3" t="s">
        <v>17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t="s">
        <v>110</v>
      </c>
    </row>
    <row r="151" spans="1:39" x14ac:dyDescent="0.25">
      <c r="A151" s="3">
        <v>9</v>
      </c>
      <c r="B151" s="3" t="s">
        <v>95</v>
      </c>
      <c r="C151" s="3" t="s">
        <v>157</v>
      </c>
      <c r="D151" s="3"/>
      <c r="E151" s="3" t="s">
        <v>157</v>
      </c>
      <c r="F151" s="3"/>
      <c r="G151" s="3"/>
      <c r="H151" s="3"/>
      <c r="I151" s="3"/>
      <c r="J151" s="3"/>
      <c r="K151" s="3"/>
      <c r="L151" s="3" t="s">
        <v>96</v>
      </c>
      <c r="M151" s="3">
        <v>110</v>
      </c>
      <c r="N151" s="3" t="s">
        <v>100</v>
      </c>
      <c r="O151" s="3"/>
      <c r="P151" s="3"/>
      <c r="Q151" s="3">
        <v>4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t="s">
        <v>100</v>
      </c>
    </row>
    <row r="152" spans="1:39" x14ac:dyDescent="0.25">
      <c r="A152" s="3">
        <v>9</v>
      </c>
      <c r="B152" s="3" t="s">
        <v>95</v>
      </c>
      <c r="C152" s="3" t="s">
        <v>157</v>
      </c>
      <c r="D152" s="3"/>
      <c r="E152" s="3" t="s">
        <v>157</v>
      </c>
      <c r="F152" s="3"/>
      <c r="G152" s="3"/>
      <c r="H152" s="3"/>
      <c r="I152" s="3"/>
      <c r="J152" s="3"/>
      <c r="K152" s="3"/>
      <c r="L152" s="3" t="s">
        <v>96</v>
      </c>
      <c r="M152" s="3">
        <v>120</v>
      </c>
      <c r="N152" s="3" t="s">
        <v>26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t="s">
        <v>26</v>
      </c>
    </row>
    <row r="153" spans="1:39" x14ac:dyDescent="0.25">
      <c r="A153" s="3">
        <v>9</v>
      </c>
      <c r="B153" s="3" t="s">
        <v>95</v>
      </c>
      <c r="C153" s="3" t="s">
        <v>157</v>
      </c>
      <c r="D153" s="3"/>
      <c r="E153" s="3" t="s">
        <v>157</v>
      </c>
      <c r="F153" s="3"/>
      <c r="G153" s="3"/>
      <c r="H153" s="3"/>
      <c r="I153" s="3"/>
      <c r="J153" s="3"/>
      <c r="K153" s="3"/>
      <c r="L153" s="3" t="s">
        <v>96</v>
      </c>
      <c r="M153" s="3">
        <v>130</v>
      </c>
      <c r="N153" s="3" t="s">
        <v>27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t="s">
        <v>27</v>
      </c>
    </row>
    <row r="154" spans="1:39" x14ac:dyDescent="0.25">
      <c r="A154" s="3">
        <v>9</v>
      </c>
      <c r="B154" s="3" t="s">
        <v>95</v>
      </c>
      <c r="C154" s="3" t="s">
        <v>157</v>
      </c>
      <c r="D154" s="3"/>
      <c r="E154" s="3" t="s">
        <v>157</v>
      </c>
      <c r="F154" s="3"/>
      <c r="G154" s="3"/>
      <c r="H154" s="3"/>
      <c r="I154" s="3"/>
      <c r="J154" s="3"/>
      <c r="K154" s="3"/>
      <c r="L154" s="3" t="s">
        <v>96</v>
      </c>
      <c r="M154" s="3">
        <v>140</v>
      </c>
      <c r="N154" s="3" t="s">
        <v>28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t="s">
        <v>28</v>
      </c>
    </row>
    <row r="155" spans="1:39" x14ac:dyDescent="0.25">
      <c r="A155" s="3">
        <v>9</v>
      </c>
      <c r="B155" s="3" t="s">
        <v>95</v>
      </c>
      <c r="C155" s="3" t="s">
        <v>157</v>
      </c>
      <c r="D155" s="3"/>
      <c r="E155" s="3" t="s">
        <v>157</v>
      </c>
      <c r="F155" s="3"/>
      <c r="G155" s="3"/>
      <c r="H155" s="3"/>
      <c r="I155" s="3"/>
      <c r="J155" s="3"/>
      <c r="K155" s="3"/>
      <c r="L155" s="3" t="s">
        <v>96</v>
      </c>
      <c r="M155" s="3">
        <v>150</v>
      </c>
      <c r="N155" s="3" t="s">
        <v>115</v>
      </c>
      <c r="O155" s="3"/>
      <c r="P155" s="3"/>
      <c r="Q155" s="3">
        <v>0.60099999999999998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t="s">
        <v>115</v>
      </c>
    </row>
    <row r="156" spans="1:39" x14ac:dyDescent="0.25">
      <c r="A156" s="3">
        <v>9</v>
      </c>
      <c r="B156" s="3" t="s">
        <v>95</v>
      </c>
      <c r="C156" s="3" t="s">
        <v>157</v>
      </c>
      <c r="D156" s="3"/>
      <c r="E156" s="3" t="s">
        <v>157</v>
      </c>
      <c r="F156" s="3"/>
      <c r="G156" s="3"/>
      <c r="H156" s="3"/>
      <c r="I156" s="3"/>
      <c r="J156" s="3"/>
      <c r="K156" s="3"/>
      <c r="L156" s="3" t="s">
        <v>96</v>
      </c>
      <c r="M156" s="3">
        <v>160</v>
      </c>
      <c r="N156" s="3" t="s">
        <v>137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18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t="s">
        <v>137</v>
      </c>
    </row>
    <row r="157" spans="1:39" x14ac:dyDescent="0.25">
      <c r="A157" s="3">
        <v>9</v>
      </c>
      <c r="B157" s="3" t="s">
        <v>95</v>
      </c>
      <c r="C157" s="3" t="s">
        <v>157</v>
      </c>
      <c r="D157" s="3"/>
      <c r="E157" s="3" t="s">
        <v>157</v>
      </c>
      <c r="F157" s="3"/>
      <c r="G157" s="3"/>
      <c r="H157" s="3"/>
      <c r="I157" s="3"/>
      <c r="J157" s="3"/>
      <c r="K157" s="3"/>
      <c r="L157" s="3" t="s">
        <v>96</v>
      </c>
      <c r="M157" s="3">
        <v>170</v>
      </c>
      <c r="N157" s="3" t="s">
        <v>122</v>
      </c>
      <c r="O157" s="3"/>
      <c r="P157" s="3"/>
      <c r="Q157" s="3">
        <v>0.8</v>
      </c>
      <c r="R157" s="3" t="s">
        <v>14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t="s">
        <v>122</v>
      </c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2026-03-27T10:31:45Z</dcterms:modified>
</cp:coreProperties>
</file>