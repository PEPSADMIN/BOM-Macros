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SPK\PT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DEST!$A$4:$AL$2476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3" l="1"/>
  <c r="E7" i="13" l="1"/>
  <c r="E18" i="13"/>
  <c r="E19" i="13"/>
  <c r="E6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" i="13"/>
  <c r="G11" i="13" l="1"/>
  <c r="E11" i="13"/>
  <c r="E10" i="13"/>
  <c r="E5" i="13"/>
  <c r="H19" i="13" l="1"/>
  <c r="E17" i="13"/>
  <c r="G17" i="13" s="1"/>
  <c r="G16" i="13"/>
  <c r="H16" i="13" s="1"/>
  <c r="G5" i="13"/>
  <c r="H5" i="13" s="1"/>
  <c r="G4" i="13"/>
  <c r="G3" i="13"/>
  <c r="E3" i="13"/>
  <c r="E2" i="13" l="1"/>
  <c r="H18" i="13" l="1"/>
  <c r="H17" i="13"/>
  <c r="H15" i="13"/>
  <c r="H14" i="13"/>
  <c r="H13" i="13"/>
  <c r="H12" i="13"/>
  <c r="H11" i="13"/>
  <c r="G10" i="13"/>
  <c r="H10" i="13" s="1"/>
  <c r="G9" i="13"/>
  <c r="H9" i="13" s="1"/>
  <c r="G8" i="13"/>
  <c r="H8" i="13" s="1"/>
  <c r="H7" i="13"/>
  <c r="H6" i="13"/>
  <c r="H4" i="13"/>
  <c r="H3" i="13"/>
  <c r="H2" i="13"/>
</calcChain>
</file>

<file path=xl/sharedStrings.xml><?xml version="1.0" encoding="utf-8"?>
<sst xmlns="http://schemas.openxmlformats.org/spreadsheetml/2006/main" count="1751" uniqueCount="164">
  <si>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</si>
  <si>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</si>
  <si>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</si>
  <si>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</si>
  <si>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</si>
  <si>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</si>
  <si>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</si>
  <si>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</si>
  <si>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</si>
  <si>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</si>
  <si>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</si>
  <si>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</si>
  <si>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</si>
  <si>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</si>
  <si>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</si>
  <si>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</si>
  <si>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</si>
  <si>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</si>
  <si>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</si>
  <si>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</si>
  <si>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</si>
  <si>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</si>
  <si>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</si>
  <si>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</si>
  <si>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</si>
  <si>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</si>
  <si>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</si>
  <si>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</si>
  <si>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</si>
  <si>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</si>
  <si>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</si>
  <si>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</si>
  <si>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</si>
  <si>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</si>
  <si>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</si>
  <si>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</si>
  <si>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</si>
  <si>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</si>
  <si>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</si>
  <si>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</si>
  <si>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</si>
  <si>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</si>
  <si>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</si>
  <si>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</si>
  <si>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</si>
  <si>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</si>
  <si>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</si>
  <si>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</si>
  <si>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</si>
  <si>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</si>
  <si>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</si>
  <si>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</si>
  <si>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</si>
  <si>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</si>
  <si>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</si>
  <si>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</si>
  <si>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</si>
  <si>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</si>
  <si>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</si>
  <si>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</si>
  <si>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</si>
  <si>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</si>
  <si>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</si>
  <si>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</si>
  <si>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</si>
  <si>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</si>
  <si>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</si>
  <si>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</si>
  <si>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</si>
  <si>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</si>
  <si>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</si>
  <si>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</si>
  <si>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</si>
  <si>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</si>
  <si>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</si>
  <si>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</si>
  <si>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</si>
  <si>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</si>
  <si>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</si>
  <si>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</si>
  <si>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</si>
  <si>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</si>
  <si>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</si>
  <si>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</si>
  <si>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</si>
  <si>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</si>
  <si>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</si>
  <si>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</si>
  <si>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</si>
  <si>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</si>
  <si>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</si>
  <si>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</si>
  <si>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</si>
  <si>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</si>
  <si>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</si>
  <si>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</si>
  <si>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</si>
  <si>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</si>
  <si>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</si>
  <si>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FOAM</t>
  </si>
  <si>
    <t>Sheet Foam 1 PD</t>
  </si>
  <si>
    <t>MR</t>
  </si>
  <si>
    <t>RML-EDTAPE-MER-KNIT</t>
  </si>
  <si>
    <t>RML-THRD-TKT-40MER</t>
  </si>
  <si>
    <t>PADDING</t>
  </si>
  <si>
    <t>RML-POLY-GUM</t>
  </si>
  <si>
    <t>LTR</t>
  </si>
  <si>
    <t>06</t>
  </si>
  <si>
    <t>60</t>
  </si>
  <si>
    <t>RMI-PVC-50</t>
  </si>
  <si>
    <t>Sheet Foam 2 PD</t>
  </si>
  <si>
    <t>RML-VIR-HDPE-92X70</t>
  </si>
  <si>
    <t>RML-VIR-HDPE-92X82</t>
  </si>
  <si>
    <t>OEBOXBNSR74.50X59.50X110</t>
  </si>
  <si>
    <t>RMI-HCTNF-74.50X59.50.</t>
  </si>
  <si>
    <t>OEBOXBNSR74.50X71.50X110</t>
  </si>
  <si>
    <t>RMI-HCTNF-74.50X71.50.</t>
  </si>
  <si>
    <t>OEBOXBNSR77.50X59.50X110</t>
  </si>
  <si>
    <t>RMI-HCTNF-77.50X59.50.</t>
  </si>
  <si>
    <t>DB</t>
  </si>
  <si>
    <t>RML-CS-DRM-SILV-6</t>
  </si>
  <si>
    <t>RM-THRD-TKT40-BLACK</t>
  </si>
  <si>
    <t>SFG-SPKDB-BP</t>
  </si>
  <si>
    <t>RML-EDTAPE-BLUE</t>
  </si>
  <si>
    <t>SFG-SPKMR-BP</t>
  </si>
  <si>
    <t>36</t>
  </si>
  <si>
    <t>SKBNPTDB75X36X06-CPC</t>
  </si>
  <si>
    <t>OEBOXBNSR74.50X35.50X110</t>
  </si>
  <si>
    <t>RMI-HCTNF-74.50X35.50.</t>
  </si>
  <si>
    <t>RML-VIR-HDPE-92X46</t>
  </si>
  <si>
    <t>SKBNPTDB78X60X06-CPC</t>
  </si>
  <si>
    <t>SKBNPTMR75X36X06-CPC</t>
  </si>
  <si>
    <t>SKBNPTMR75X60X06-CPC</t>
  </si>
  <si>
    <t>SKBNPTMR75X72X06-CPC</t>
  </si>
  <si>
    <t>SKBNPTMR78X60X06-CPC</t>
  </si>
  <si>
    <t>SKBNPTMR78X72X06-CPC</t>
  </si>
  <si>
    <t>OEBOXBNSR77.50X71.50X110</t>
  </si>
  <si>
    <t>RMI-HCTNF-77.50X71.50.</t>
  </si>
  <si>
    <t>SFG-SPKPTDB-BOR-75X36X06</t>
  </si>
  <si>
    <t>SFG-SPKPTDB-BOR-78X60X06</t>
  </si>
  <si>
    <t>SFG-SPKPTMR-BOR-75X36X06</t>
  </si>
  <si>
    <t>SFG-SPKPTMR-BOR-75X60X06</t>
  </si>
  <si>
    <t>SFG-SPKPTMR-BOR-75X72X06</t>
  </si>
  <si>
    <t>SFG-SPKPTMR-BOR-78X60X06</t>
  </si>
  <si>
    <t>SFG-SPKPTMR-BOR-78X72X06</t>
  </si>
  <si>
    <t>25D-HELIXA-FOAM-71X32X25MM</t>
  </si>
  <si>
    <t>18D-PU-FOAM-70X31X10MM</t>
  </si>
  <si>
    <t>25D-HELIXA-FOAM-74X56X25MM</t>
  </si>
  <si>
    <t>18D-PU-FOAM-73X55X10MM</t>
  </si>
  <si>
    <t>25D-HELIXA-FOAM-71X56X25MM</t>
  </si>
  <si>
    <t>18D-PU-FOAM-70X55X10MM</t>
  </si>
  <si>
    <t>25D-HELIXA-FOAM-71X68X25MM</t>
  </si>
  <si>
    <t>18D-PU-FOAM-70X67X10MM</t>
  </si>
  <si>
    <t>25D-HELIXA-FOAM-74X68X25MM</t>
  </si>
  <si>
    <t>18D-PU-FOAM-73X67X10MM</t>
  </si>
  <si>
    <t>SFG-SPKDB-PT-CVR-75X36</t>
  </si>
  <si>
    <t>SFG-SPKDB-PT-CVR-78X60</t>
  </si>
  <si>
    <t>SFG-SPKMR-PT-CVR-75X36</t>
  </si>
  <si>
    <t>SFG-SPKMR-PT-CVR-75X60</t>
  </si>
  <si>
    <t>SFG-SPKMR-PT-CVR-75X72</t>
  </si>
  <si>
    <t>SFG-SPKMR-PT-CVR-78X60</t>
  </si>
  <si>
    <t>SFG-SPKMR-PT-CVR-78X72</t>
  </si>
  <si>
    <t>SFG-SPKDB-ONL-QUILT</t>
  </si>
  <si>
    <t>SFG-SPKMR-ONL-QUILT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</si>
</sst>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0" fillId="0" borderId="0" xfId="0" applyNumberFormat="1" applyFont="1" applyAlignment="1">
      <alignment horizontal="right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25" sqref="D25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28515625" style="17" bestFit="1" customWidth="1"/>
    <col min="5" max="5" width="30.4257812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91</v>
      </c>
      <c r="S1" s="39" t="s">
        <v>92</v>
      </c>
      <c r="T1" s="39" t="s">
        <v>93</v>
      </c>
      <c r="U1" s="39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"SKBNPT"&amp;IF($N$2="BW","BW",IF($N$2="CR","CR",IF($N$2="DB","DB","MR")))&amp;$K$2&amp;"X"&amp;$L$2&amp;"X06"&amp;"-"&amp;"CPC"</f>
        <v>SKBNPTMR78X72X06-CPC</v>
      </c>
      <c r="E2" s="1" t="str">
        <f>"OEBOXBNSR"&amp;(K2-0.5)&amp;"0"&amp;"X"&amp;(L2-0.5)&amp;"0"&amp;"X110"</f>
        <v>OEBOXBNSR77.50X71.50X110</v>
      </c>
      <c r="F2" s="40" t="s">
        <v>11</v>
      </c>
      <c r="G2" s="38">
        <v>1</v>
      </c>
      <c r="H2" s="38">
        <f>ROUND(G2,3)</f>
        <v>1</v>
      </c>
      <c r="I2" s="21" t="s">
        <v>18</v>
      </c>
      <c r="J2" s="5"/>
      <c r="K2" s="6">
        <v>78</v>
      </c>
      <c r="L2" s="6">
        <v>72</v>
      </c>
      <c r="M2" s="36">
        <v>6</v>
      </c>
      <c r="N2" s="6" t="s">
        <v>101</v>
      </c>
      <c r="P2" s="4">
        <v>6</v>
      </c>
      <c r="R2" s="34" t="s">
        <v>97</v>
      </c>
      <c r="S2" s="34" t="s">
        <v>125</v>
      </c>
      <c r="T2" s="34" t="s">
        <v>107</v>
      </c>
      <c r="U2" s="34" t="s">
        <v>119</v>
      </c>
    </row>
    <row r="3" spans="1:21" s="19" customFormat="1" x14ac:dyDescent="0.25">
      <c r="A3" s="7">
        <v>2</v>
      </c>
      <c r="B3" s="7" t="s">
        <v>12</v>
      </c>
      <c r="C3" s="9" t="s">
        <v>16</v>
      </c>
      <c r="D3" s="7" t="str">
        <f t="shared" ref="D3:D19" si="0">"SKBNPT"&amp;IF($N$2="BW","BW",IF($N$2="CR","CR",IF($N$2="DB","DB","MR")))&amp;$K$2&amp;"X"&amp;$L$2&amp;"X06"&amp;"-"&amp;"CPC"</f>
        <v>SKBNPTMR78X72X06-CPC</v>
      </c>
      <c r="E3" s="3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38">
        <f t="shared" ref="H3" si="1">ROUND(G3,3)</f>
        <v>5.0049999999999999</v>
      </c>
      <c r="I3" s="8" t="s">
        <v>15</v>
      </c>
      <c r="J3" s="5"/>
      <c r="K3" s="18"/>
      <c r="L3" s="18"/>
      <c r="M3" s="18"/>
      <c r="N3" s="18"/>
      <c r="O3" s="4"/>
      <c r="R3" s="34" t="s">
        <v>98</v>
      </c>
      <c r="S3" s="34" t="s">
        <v>108</v>
      </c>
      <c r="T3" s="34" t="s">
        <v>107</v>
      </c>
      <c r="U3" s="34" t="s">
        <v>119</v>
      </c>
    </row>
    <row r="4" spans="1:21" x14ac:dyDescent="0.25">
      <c r="A4" s="7">
        <v>3</v>
      </c>
      <c r="B4" s="7" t="s">
        <v>19</v>
      </c>
      <c r="C4" s="9" t="s">
        <v>20</v>
      </c>
      <c r="D4" s="7" t="str">
        <f t="shared" si="0"/>
        <v>SKBNPTMR78X72X06-CPC</v>
      </c>
      <c r="E4" s="20" t="str">
        <f>IF(N2="MR","SFG-SPKMR-ONL-QUILT",IF(N2="CR","SFG-SPKCR-ONL-QUILT",IF(N2="BW","SFG-SPKBW-ONL-QUILT",IF(N2="DB","SFG-SPKDB-ONL-QUILT",0))))</f>
        <v>SFG-SPKMR-ONL-QUILT</v>
      </c>
      <c r="F4" s="11" t="s">
        <v>17</v>
      </c>
      <c r="G4" s="10">
        <f>IF(K2&lt;79,(L2+1),IF(L2&lt;37,(K2+1),(K2+1)))*0.0254</f>
        <v>1.8541999999999998</v>
      </c>
      <c r="H4" s="38">
        <f t="shared" ref="H4:H16" si="2">ROUND(G4,3)</f>
        <v>1.8540000000000001</v>
      </c>
      <c r="I4" s="21" t="s">
        <v>18</v>
      </c>
      <c r="J4" s="12"/>
      <c r="O4" s="19"/>
      <c r="R4" s="34" t="s">
        <v>97</v>
      </c>
      <c r="S4" s="34" t="s">
        <v>125</v>
      </c>
      <c r="T4" s="34" t="s">
        <v>107</v>
      </c>
      <c r="U4" s="34" t="s">
        <v>101</v>
      </c>
    </row>
    <row r="5" spans="1:21" x14ac:dyDescent="0.25">
      <c r="A5" s="7">
        <v>4</v>
      </c>
      <c r="B5" s="7" t="s">
        <v>19</v>
      </c>
      <c r="C5" s="9" t="s">
        <v>20</v>
      </c>
      <c r="D5" s="7" t="str">
        <f t="shared" si="0"/>
        <v>SKBNPTMR78X72X06-CPC</v>
      </c>
      <c r="E5" s="20" t="str">
        <f>IF(N2="MR","SFG-SPKMR-BP",IF(N2="BW","SFG-SPKBW-BP",IF(N2="CR","SFG-SPKCR-BP",IF(N2="DB","SFG-SPKDB-BP",0))))</f>
        <v>SFG-SPKMR-BP</v>
      </c>
      <c r="F5" s="11" t="s">
        <v>17</v>
      </c>
      <c r="G5" s="10">
        <f>IF(K2&lt;79,(L2+1),IF(L2&lt;37,(K2+1),(K2+1)))*0.0254</f>
        <v>1.8541999999999998</v>
      </c>
      <c r="H5" s="38">
        <f t="shared" si="2"/>
        <v>1.8540000000000001</v>
      </c>
      <c r="I5" s="21" t="s">
        <v>18</v>
      </c>
      <c r="J5" s="12"/>
      <c r="O5" s="19"/>
      <c r="R5" s="34" t="s">
        <v>97</v>
      </c>
      <c r="S5" s="34" t="s">
        <v>108</v>
      </c>
      <c r="T5" s="34" t="s">
        <v>107</v>
      </c>
      <c r="U5" s="34" t="s">
        <v>101</v>
      </c>
    </row>
    <row r="6" spans="1:21" x14ac:dyDescent="0.25">
      <c r="A6" s="7">
        <v>5</v>
      </c>
      <c r="B6" s="7" t="s">
        <v>19</v>
      </c>
      <c r="C6" s="9" t="s">
        <v>20</v>
      </c>
      <c r="D6" s="7" t="str">
        <f t="shared" si="0"/>
        <v>SKBNPTMR78X72X06-CPC</v>
      </c>
      <c r="E6" s="20" t="str">
        <f>"SFG-SPKPT"&amp;IF(N2="MR","MR",IF(N2="DB","DB",IF(N2="GR","GR",0)))&amp;"-BOR-"&amp;K2&amp;"X"&amp;L2&amp;"X06"</f>
        <v>SFG-SPKPTMR-BOR-78X72X06</v>
      </c>
      <c r="F6" s="11" t="s">
        <v>11</v>
      </c>
      <c r="G6" s="10">
        <v>1</v>
      </c>
      <c r="H6" s="38">
        <f t="shared" si="2"/>
        <v>1</v>
      </c>
      <c r="I6" s="21" t="s">
        <v>18</v>
      </c>
      <c r="J6" s="12"/>
      <c r="R6" s="34" t="s">
        <v>97</v>
      </c>
      <c r="S6" s="34" t="s">
        <v>96</v>
      </c>
      <c r="T6" s="34" t="s">
        <v>107</v>
      </c>
      <c r="U6" s="34" t="s">
        <v>101</v>
      </c>
    </row>
    <row r="7" spans="1:21" x14ac:dyDescent="0.25">
      <c r="A7" s="7">
        <v>6</v>
      </c>
      <c r="B7" s="7" t="s">
        <v>19</v>
      </c>
      <c r="C7" s="9" t="s">
        <v>20</v>
      </c>
      <c r="D7" s="7" t="str">
        <f t="shared" si="0"/>
        <v>SKBNPTMR78X72X06-CPC</v>
      </c>
      <c r="E7" s="20" t="str">
        <f>"SFG-SPK"&amp;IF(N2="MR","MR",IF(N2="DB","DB",IF(N2="GR","GR",0)))&amp;"-PT-CVR-"&amp;K2&amp;"X"&amp;L2</f>
        <v>SFG-SPKMR-PT-CVR-78X72</v>
      </c>
      <c r="F7" s="11" t="s">
        <v>11</v>
      </c>
      <c r="G7" s="10">
        <v>1</v>
      </c>
      <c r="H7" s="38">
        <f t="shared" si="2"/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s="34" t="s">
        <v>98</v>
      </c>
      <c r="S7" s="34" t="s">
        <v>108</v>
      </c>
      <c r="T7" s="34" t="s">
        <v>107</v>
      </c>
      <c r="U7" s="34" t="s">
        <v>101</v>
      </c>
    </row>
    <row r="8" spans="1:21" x14ac:dyDescent="0.25">
      <c r="A8" s="7">
        <v>7</v>
      </c>
      <c r="B8" s="7" t="s">
        <v>104</v>
      </c>
      <c r="C8" s="9" t="s">
        <v>16</v>
      </c>
      <c r="D8" s="7" t="str">
        <f t="shared" si="0"/>
        <v>SKBNPTMR78X72X06-CPC</v>
      </c>
      <c r="E8" s="9" t="s">
        <v>105</v>
      </c>
      <c r="F8" s="11" t="s">
        <v>106</v>
      </c>
      <c r="G8" s="10">
        <f>((K2-5)*(L2-5)/144)*0.00729*4</f>
        <v>0.99042750000000002</v>
      </c>
      <c r="H8" s="38">
        <f t="shared" si="2"/>
        <v>0.99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4" t="s">
        <v>98</v>
      </c>
      <c r="S8" s="34" t="s">
        <v>96</v>
      </c>
      <c r="T8" s="34" t="s">
        <v>107</v>
      </c>
      <c r="U8" s="34" t="s">
        <v>101</v>
      </c>
    </row>
    <row r="9" spans="1:21" x14ac:dyDescent="0.25">
      <c r="A9" s="7">
        <v>8</v>
      </c>
      <c r="B9" s="7" t="s">
        <v>19</v>
      </c>
      <c r="C9" s="15" t="s">
        <v>22</v>
      </c>
      <c r="D9" s="7" t="str">
        <f t="shared" si="0"/>
        <v>SKBNPTMR78X72X06-CPC</v>
      </c>
      <c r="E9" s="15" t="s">
        <v>21</v>
      </c>
      <c r="F9" s="16" t="s">
        <v>17</v>
      </c>
      <c r="G9" s="10">
        <f>(K2+L2+1.5)*4*0.0254*8</f>
        <v>123.13919999999999</v>
      </c>
      <c r="H9" s="38">
        <f t="shared" si="2"/>
        <v>123.139</v>
      </c>
      <c r="I9" s="8" t="s">
        <v>15</v>
      </c>
      <c r="J9" s="12"/>
      <c r="K9" s="19"/>
      <c r="L9" s="19"/>
      <c r="M9" s="19"/>
      <c r="N9" s="19"/>
      <c r="O9" s="19"/>
      <c r="P9" s="23"/>
      <c r="Q9" s="19"/>
      <c r="R9" s="34"/>
      <c r="S9" s="34"/>
      <c r="T9" s="34"/>
      <c r="U9" s="34"/>
    </row>
    <row r="10" spans="1:21" x14ac:dyDescent="0.25">
      <c r="A10" s="7">
        <v>9</v>
      </c>
      <c r="B10" s="7" t="s">
        <v>23</v>
      </c>
      <c r="C10" s="15" t="s">
        <v>24</v>
      </c>
      <c r="D10" s="7" t="str">
        <f t="shared" si="0"/>
        <v>SKBNPTMR78X72X06-CPC</v>
      </c>
      <c r="E10" s="15" t="str">
        <f>IF(N2="BW","RML-EDTAPE-BRN",IF(N2="CR","RML-EDTAPE-BRN",IF(N2="DB","RML-EDTAPE-BLUE",IF(N2="LG","RML-EDTAPE-BLUE",IF(N2="BG","RML-EDTAPE-YEL-FDY",IF(N2="MR","RML-EDTAPE-MER-KNIT",0))))))</f>
        <v>RML-EDTAPE-MER-KNIT</v>
      </c>
      <c r="F10" s="16" t="s">
        <v>17</v>
      </c>
      <c r="G10" s="10">
        <f>(K2+L2+4)*2*0.0254*4</f>
        <v>31.2928</v>
      </c>
      <c r="H10" s="38">
        <f t="shared" si="2"/>
        <v>31.292999999999999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4"/>
      <c r="S10" s="34"/>
      <c r="T10" s="34"/>
      <c r="U10" s="34"/>
    </row>
    <row r="11" spans="1:21" x14ac:dyDescent="0.25">
      <c r="A11" s="7">
        <v>10</v>
      </c>
      <c r="B11" s="7" t="s">
        <v>23</v>
      </c>
      <c r="C11" s="15" t="s">
        <v>24</v>
      </c>
      <c r="D11" s="7" t="str">
        <f t="shared" si="0"/>
        <v>SKBNPTMR78X72X06-CPC</v>
      </c>
      <c r="E11" s="15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11" s="16" t="s">
        <v>17</v>
      </c>
      <c r="G11" s="10">
        <f>(K2+L2+4)*2*0.0254*(4.73+1.42)*3</f>
        <v>144.33804000000001</v>
      </c>
      <c r="H11" s="38">
        <f t="shared" si="2"/>
        <v>144.33799999999999</v>
      </c>
      <c r="I11" s="8" t="s">
        <v>15</v>
      </c>
      <c r="J11" s="12"/>
      <c r="K11" s="24"/>
      <c r="L11" s="24"/>
      <c r="M11" s="19"/>
      <c r="N11" s="23"/>
      <c r="O11" s="19"/>
      <c r="P11" s="19"/>
      <c r="Q11" s="19"/>
      <c r="R11" s="34"/>
      <c r="S11" s="34"/>
      <c r="T11" s="34"/>
      <c r="U11" s="34"/>
    </row>
    <row r="12" spans="1:21" x14ac:dyDescent="0.25">
      <c r="A12" s="7">
        <v>11</v>
      </c>
      <c r="B12" s="7" t="s">
        <v>25</v>
      </c>
      <c r="C12" s="15" t="s">
        <v>25</v>
      </c>
      <c r="D12" s="7" t="str">
        <f t="shared" si="0"/>
        <v>SKBNPTMR78X72X06-CPC</v>
      </c>
      <c r="E12" s="43" t="s">
        <v>120</v>
      </c>
      <c r="F12" s="16" t="s">
        <v>11</v>
      </c>
      <c r="G12" s="10">
        <v>4</v>
      </c>
      <c r="H12" s="38">
        <f t="shared" si="2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4"/>
      <c r="S12" s="34"/>
      <c r="T12" s="34"/>
      <c r="U12" s="34"/>
    </row>
    <row r="13" spans="1:21" x14ac:dyDescent="0.25">
      <c r="A13" s="7">
        <v>12</v>
      </c>
      <c r="B13" s="7" t="s">
        <v>25</v>
      </c>
      <c r="C13" s="15" t="s">
        <v>25</v>
      </c>
      <c r="D13" s="7" t="str">
        <f t="shared" si="0"/>
        <v>SKBNPTMR78X72X06-CPC</v>
      </c>
      <c r="E13" s="15" t="s">
        <v>26</v>
      </c>
      <c r="F13" s="16" t="s">
        <v>11</v>
      </c>
      <c r="G13" s="10">
        <v>1</v>
      </c>
      <c r="H13" s="38">
        <f t="shared" si="2"/>
        <v>1</v>
      </c>
      <c r="I13" s="8" t="s">
        <v>15</v>
      </c>
      <c r="J13" s="12"/>
      <c r="K13" s="22"/>
      <c r="R13" s="34"/>
      <c r="S13" s="34"/>
      <c r="T13" s="34"/>
      <c r="U13" s="35"/>
    </row>
    <row r="14" spans="1:21" x14ac:dyDescent="0.25">
      <c r="A14" s="7">
        <v>13</v>
      </c>
      <c r="B14" s="7" t="s">
        <v>25</v>
      </c>
      <c r="C14" s="15" t="s">
        <v>25</v>
      </c>
      <c r="D14" s="7" t="str">
        <f t="shared" si="0"/>
        <v>SKBNPTMR78X72X06-CPC</v>
      </c>
      <c r="E14" s="15" t="s">
        <v>27</v>
      </c>
      <c r="F14" s="16" t="s">
        <v>11</v>
      </c>
      <c r="G14" s="14">
        <v>1</v>
      </c>
      <c r="H14" s="38">
        <f t="shared" si="2"/>
        <v>1</v>
      </c>
      <c r="I14" s="8" t="s">
        <v>15</v>
      </c>
      <c r="J14" s="12"/>
      <c r="M14" s="22"/>
      <c r="O14" s="22"/>
      <c r="R14" s="34"/>
      <c r="S14" s="34"/>
      <c r="T14" s="34"/>
      <c r="U14" s="35"/>
    </row>
    <row r="15" spans="1:21" x14ac:dyDescent="0.25">
      <c r="A15" s="7">
        <v>14</v>
      </c>
      <c r="B15" s="7" t="s">
        <v>25</v>
      </c>
      <c r="C15" s="9" t="s">
        <v>25</v>
      </c>
      <c r="D15" s="7" t="str">
        <f t="shared" si="0"/>
        <v>SKBNPTMR78X72X06-CPC</v>
      </c>
      <c r="E15" s="9" t="s">
        <v>28</v>
      </c>
      <c r="F15" s="11" t="s">
        <v>11</v>
      </c>
      <c r="G15" s="14">
        <v>1</v>
      </c>
      <c r="H15" s="38">
        <f t="shared" si="2"/>
        <v>1</v>
      </c>
      <c r="I15" s="8" t="s">
        <v>15</v>
      </c>
      <c r="J15" s="12"/>
      <c r="N15"/>
      <c r="O15"/>
      <c r="R15" s="34"/>
      <c r="S15" s="34"/>
      <c r="T15" s="34"/>
      <c r="U15" s="35"/>
    </row>
    <row r="16" spans="1:21" x14ac:dyDescent="0.25">
      <c r="A16" s="7">
        <v>15</v>
      </c>
      <c r="B16" s="7" t="s">
        <v>25</v>
      </c>
      <c r="C16" s="9" t="s">
        <v>25</v>
      </c>
      <c r="D16" s="7" t="str">
        <f t="shared" si="0"/>
        <v>SKBNPTMR78X72X06-CPC</v>
      </c>
      <c r="E16" s="9" t="s">
        <v>109</v>
      </c>
      <c r="F16" s="11" t="s">
        <v>14</v>
      </c>
      <c r="G16" s="10">
        <f>IF(K2&lt;79,((L2*2)+(M2*2)+4),((K2*2)+(M2*2)+4))*0.0254*89.5*0.0254*0.00005*1300</f>
        <v>0.60051492800000006</v>
      </c>
      <c r="H16" s="38">
        <f t="shared" si="2"/>
        <v>0.60099999999999998</v>
      </c>
      <c r="I16" s="8" t="s">
        <v>15</v>
      </c>
      <c r="J16" s="12"/>
      <c r="M16" s="22"/>
      <c r="N16"/>
      <c r="O16"/>
      <c r="R16" s="34"/>
      <c r="S16" s="34"/>
      <c r="T16" s="34"/>
      <c r="U16" s="35"/>
    </row>
    <row r="17" spans="1:21" x14ac:dyDescent="0.25">
      <c r="A17" s="7">
        <v>16</v>
      </c>
      <c r="B17" s="7" t="s">
        <v>25</v>
      </c>
      <c r="C17" s="9" t="s">
        <v>25</v>
      </c>
      <c r="D17" s="7" t="str">
        <f t="shared" si="0"/>
        <v>SKBNPTMR78X72X06-CPC</v>
      </c>
      <c r="E17" s="17" t="str">
        <f>IF(L2=36,"RML-VIR-HDPE-92X46",IF(L2=48,"RML-VIR-HDPE-92X56",IF(L2=60,"RML-VIR-HDPE-92X70",IF(L2=72,"RML-VIR-HDPE-92X82"))))</f>
        <v>RML-VIR-HDPE-92X82</v>
      </c>
      <c r="F17" s="11" t="s">
        <v>14</v>
      </c>
      <c r="G17" s="42" t="str">
        <f>IF(E17="RML-VIR-HDPE-92X46","0.5",IF(E17="RML-VIR-HDPE-92X56","0.6",IF(E17="RML-VIR-HDPE-92X70","0.6",IF(E17="RML-VIR-HDPE-92X82","0.8",0))))</f>
        <v>0.8</v>
      </c>
      <c r="H17" s="38">
        <f>ROUND(G16,3)</f>
        <v>0.60099999999999998</v>
      </c>
      <c r="I17" s="8" t="s">
        <v>15</v>
      </c>
      <c r="J17" s="12"/>
      <c r="N17"/>
      <c r="O17"/>
      <c r="R17" s="34"/>
      <c r="S17" s="34"/>
      <c r="T17" s="34"/>
      <c r="U17" s="35"/>
    </row>
    <row r="18" spans="1:21" x14ac:dyDescent="0.25">
      <c r="A18" s="7">
        <v>17</v>
      </c>
      <c r="B18" s="7" t="s">
        <v>99</v>
      </c>
      <c r="C18" s="9" t="s">
        <v>100</v>
      </c>
      <c r="D18" s="7" t="str">
        <f t="shared" si="0"/>
        <v>SKBNPTMR78X72X06-CPC</v>
      </c>
      <c r="E18" s="41" t="str">
        <f>"25D-HELIXA-FOAM-"&amp;(K2-4)&amp;"X"&amp;(L2-4)&amp;"X25MM"</f>
        <v>25D-HELIXA-FOAM-74X68X25MM</v>
      </c>
      <c r="F18" s="8" t="s">
        <v>11</v>
      </c>
      <c r="G18" s="14">
        <v>1</v>
      </c>
      <c r="H18" s="38">
        <f>ROUND(G18,3)</f>
        <v>1</v>
      </c>
      <c r="I18" s="21" t="s">
        <v>18</v>
      </c>
      <c r="J18" s="12"/>
      <c r="N18"/>
      <c r="O18"/>
      <c r="R18" s="34"/>
      <c r="S18" s="34"/>
      <c r="T18" s="34"/>
      <c r="U18" s="35"/>
    </row>
    <row r="19" spans="1:21" x14ac:dyDescent="0.25">
      <c r="A19" s="7">
        <v>18</v>
      </c>
      <c r="B19" s="7" t="s">
        <v>99</v>
      </c>
      <c r="C19" s="9" t="s">
        <v>110</v>
      </c>
      <c r="D19" s="7" t="str">
        <f t="shared" si="0"/>
        <v>SKBNPTMR78X72X06-CPC</v>
      </c>
      <c r="E19" s="41" t="str">
        <f>"18D-PU-FOAM-"&amp;(K2-5)&amp;"X"&amp;(L2-5)&amp;"X10MM"</f>
        <v>18D-PU-FOAM-73X67X10MM</v>
      </c>
      <c r="F19" s="8" t="s">
        <v>11</v>
      </c>
      <c r="G19" s="14">
        <v>1</v>
      </c>
      <c r="H19" s="38">
        <f>ROUND(G19,3)</f>
        <v>1</v>
      </c>
      <c r="I19" s="21" t="s">
        <v>18</v>
      </c>
      <c r="J19" s="12"/>
      <c r="N19"/>
      <c r="O19"/>
      <c r="R19" s="34"/>
      <c r="S19" s="34"/>
      <c r="T19" s="34"/>
      <c r="U19" s="35"/>
    </row>
    <row r="20" spans="1:21" x14ac:dyDescent="0.25">
      <c r="J20" s="12"/>
      <c r="N20" s="31"/>
      <c r="O20"/>
      <c r="R20" s="34"/>
      <c r="S20" s="34"/>
      <c r="T20" s="34"/>
      <c r="U20" s="35"/>
    </row>
    <row r="21" spans="1:21" x14ac:dyDescent="0.25">
      <c r="J21" s="12"/>
      <c r="N21"/>
      <c r="O21"/>
      <c r="R21" s="34"/>
      <c r="S21" s="34"/>
      <c r="T21" s="34"/>
      <c r="U21" s="35"/>
    </row>
    <row r="22" spans="1:21" x14ac:dyDescent="0.25">
      <c r="J22" s="12"/>
      <c r="N22"/>
      <c r="O22"/>
      <c r="R22" s="34"/>
      <c r="S22" s="34"/>
      <c r="T22" s="34"/>
      <c r="U22" s="35"/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4"/>
      <c r="S23" s="34"/>
      <c r="T23" s="34"/>
      <c r="U23" s="35"/>
    </row>
    <row r="24" spans="1:21" x14ac:dyDescent="0.25">
      <c r="J24" s="13"/>
      <c r="K24" s="19"/>
      <c r="L24" s="19"/>
      <c r="M24" s="19"/>
      <c r="N24" s="31"/>
      <c r="O24"/>
      <c r="P24" s="19"/>
      <c r="Q24" s="19"/>
      <c r="R24" s="34"/>
      <c r="S24" s="34"/>
      <c r="T24" s="34"/>
      <c r="U24" s="35"/>
    </row>
    <row r="25" spans="1:21" x14ac:dyDescent="0.25">
      <c r="G25" s="22"/>
      <c r="H25" s="32"/>
      <c r="I25" s="33"/>
      <c r="N25"/>
      <c r="O25"/>
      <c r="R25" s="34"/>
      <c r="S25" s="34"/>
      <c r="T25" s="34"/>
      <c r="U25" s="35"/>
    </row>
    <row r="26" spans="1:21" x14ac:dyDescent="0.25">
      <c r="G26" s="22"/>
      <c r="N26"/>
      <c r="O26"/>
      <c r="R26" s="34"/>
      <c r="S26" s="34"/>
      <c r="T26" s="34"/>
      <c r="U26" s="35"/>
    </row>
    <row r="27" spans="1:21" x14ac:dyDescent="0.25">
      <c r="G27" s="22"/>
      <c r="I27" s="22"/>
      <c r="N27"/>
      <c r="O27"/>
      <c r="R27" s="34"/>
      <c r="S27" s="34"/>
      <c r="T27" s="34"/>
      <c r="U27" s="35"/>
    </row>
    <row r="28" spans="1:21" x14ac:dyDescent="0.25">
      <c r="E28" s="22"/>
      <c r="I28" s="22"/>
      <c r="M28" s="22"/>
      <c r="N28"/>
      <c r="O28"/>
      <c r="R28" s="34"/>
      <c r="S28" s="34"/>
      <c r="T28" s="34"/>
      <c r="U28" s="35"/>
    </row>
    <row r="29" spans="1:21" x14ac:dyDescent="0.25">
      <c r="E29" s="22"/>
      <c r="N29"/>
      <c r="O29"/>
      <c r="R29" s="34"/>
      <c r="S29" s="34"/>
      <c r="T29" s="34"/>
      <c r="U29" s="35"/>
    </row>
    <row r="30" spans="1:21" x14ac:dyDescent="0.25">
      <c r="H30" s="22"/>
      <c r="N30"/>
      <c r="O30"/>
      <c r="R30" s="34"/>
      <c r="S30" s="34"/>
      <c r="T30" s="34"/>
      <c r="U30" s="35"/>
    </row>
    <row r="31" spans="1:21" x14ac:dyDescent="0.25">
      <c r="N31"/>
      <c r="O31"/>
      <c r="R31" s="34"/>
      <c r="S31" s="34"/>
      <c r="T31" s="34"/>
      <c r="U31" s="35"/>
    </row>
    <row r="32" spans="1:21" x14ac:dyDescent="0.25">
      <c r="N32"/>
      <c r="O32"/>
      <c r="R32" s="34"/>
      <c r="S32" s="34"/>
      <c r="T32" s="34"/>
      <c r="U32" s="35"/>
    </row>
    <row r="33" spans="14:21" x14ac:dyDescent="0.25">
      <c r="N33"/>
      <c r="O33"/>
      <c r="R33" s="34"/>
      <c r="S33" s="34"/>
      <c r="T33" s="34"/>
      <c r="U33" s="35"/>
    </row>
    <row r="34" spans="14:21" x14ac:dyDescent="0.25">
      <c r="N34"/>
      <c r="O34"/>
      <c r="R34" s="34"/>
      <c r="S34" s="34"/>
      <c r="T34" s="34"/>
      <c r="U34" s="35"/>
    </row>
    <row r="35" spans="14:21" x14ac:dyDescent="0.25">
      <c r="N35"/>
      <c r="O35"/>
      <c r="R35" s="34"/>
      <c r="S35" s="34"/>
      <c r="T35" s="34"/>
      <c r="U35" s="35"/>
    </row>
    <row r="36" spans="14:21" x14ac:dyDescent="0.25">
      <c r="N36"/>
      <c r="O36"/>
      <c r="R36" s="34"/>
      <c r="S36" s="34"/>
      <c r="T36" s="34"/>
      <c r="U36" s="35"/>
    </row>
    <row r="37" spans="14:21" x14ac:dyDescent="0.25">
      <c r="N37"/>
      <c r="O37"/>
      <c r="R37" s="34"/>
      <c r="S37" s="34"/>
      <c r="T37" s="34"/>
      <c r="U37" s="35"/>
    </row>
    <row r="38" spans="14:21" x14ac:dyDescent="0.25">
      <c r="N38"/>
      <c r="O38"/>
      <c r="R38" s="34"/>
      <c r="S38" s="34"/>
      <c r="T38" s="34"/>
      <c r="U38" s="35"/>
    </row>
    <row r="39" spans="14:21" x14ac:dyDescent="0.25">
      <c r="N39"/>
      <c r="O39"/>
      <c r="R39" s="34"/>
      <c r="S39" s="34"/>
      <c r="T39" s="34"/>
      <c r="U39" s="35"/>
    </row>
    <row r="40" spans="14:21" x14ac:dyDescent="0.25">
      <c r="N40"/>
      <c r="O40"/>
      <c r="R40" s="34"/>
      <c r="S40" s="34"/>
      <c r="T40" s="34"/>
      <c r="U40" s="35"/>
    </row>
    <row r="41" spans="14:21" x14ac:dyDescent="0.25">
      <c r="N41"/>
      <c r="O41"/>
      <c r="R41" s="34"/>
      <c r="S41" s="34"/>
      <c r="T41" s="34"/>
      <c r="U41" s="35"/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4"/>
      <c r="U112" s="35"/>
    </row>
    <row r="113" spans="18:21" x14ac:dyDescent="0.25">
      <c r="R113" s="34"/>
      <c r="S113" s="34"/>
      <c r="T113" s="34"/>
      <c r="U113" s="35"/>
    </row>
    <row r="114" spans="18:21" x14ac:dyDescent="0.25">
      <c r="R114" s="34"/>
      <c r="S114" s="34"/>
      <c r="T114" s="34"/>
      <c r="U114" s="35"/>
    </row>
    <row r="115" spans="18:21" x14ac:dyDescent="0.25">
      <c r="R115" s="34"/>
      <c r="S115" s="34"/>
      <c r="T115" s="34"/>
      <c r="U115" s="35"/>
    </row>
    <row r="116" spans="18:21" x14ac:dyDescent="0.25">
      <c r="R116" s="34"/>
      <c r="S116" s="34"/>
      <c r="T116" s="34"/>
      <c r="U116" s="35"/>
    </row>
    <row r="117" spans="18:21" x14ac:dyDescent="0.25">
      <c r="R117" s="34"/>
      <c r="S117" s="34"/>
      <c r="T117" s="34"/>
      <c r="U117" s="35"/>
    </row>
    <row r="118" spans="18:21" x14ac:dyDescent="0.25">
      <c r="R118" s="34"/>
      <c r="S118" s="34"/>
      <c r="T118" s="34"/>
      <c r="U118" s="35"/>
    </row>
    <row r="119" spans="18:21" x14ac:dyDescent="0.25">
      <c r="R119" s="34"/>
      <c r="S119" s="34"/>
      <c r="T119" s="34"/>
      <c r="U119" s="35"/>
    </row>
    <row r="120" spans="18:21" x14ac:dyDescent="0.25">
      <c r="R120" s="34"/>
      <c r="S120" s="34"/>
      <c r="T120" s="34"/>
      <c r="U120" s="35"/>
    </row>
    <row r="121" spans="18:21" x14ac:dyDescent="0.25">
      <c r="R121" s="34"/>
      <c r="S121" s="34"/>
      <c r="T121" s="34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85</v>
      </c>
      <c r="B1" s="29" t="s">
        <v>86</v>
      </c>
      <c r="C1" s="30" t="s">
        <v>87</v>
      </c>
      <c r="D1" s="29" t="s">
        <v>88</v>
      </c>
      <c r="E1" s="29" t="s">
        <v>4</v>
      </c>
      <c r="F1" s="29" t="s">
        <v>89</v>
      </c>
      <c r="G1" s="30" t="s">
        <v>90</v>
      </c>
    </row>
    <row r="2" spans="1:7" x14ac:dyDescent="0.25">
      <c r="A2">
        <v>1</v>
      </c>
      <c r="B2" t="s">
        <v>126</v>
      </c>
      <c r="C2">
        <v>10</v>
      </c>
      <c r="D2" t="s">
        <v>127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126</v>
      </c>
      <c r="C3">
        <v>20</v>
      </c>
      <c r="D3" t="s">
        <v>128</v>
      </c>
      <c r="E3" t="s">
        <v>14</v>
      </c>
      <c r="F3">
        <v>2.3889999999999998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162</v>
      </c>
      <c r="E4" t="s">
        <v>17</v>
      </c>
      <c r="F4">
        <v>0.94</v>
      </c>
      <c r="G4" t="s">
        <v>18</v>
      </c>
    </row>
    <row r="5" spans="1:7" x14ac:dyDescent="0.25">
      <c r="A5">
        <v>1</v>
      </c>
      <c r="B5" t="s">
        <v>126</v>
      </c>
      <c r="C5">
        <v>40</v>
      </c>
      <c r="D5" t="s">
        <v>122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126</v>
      </c>
      <c r="C6">
        <v>50</v>
      </c>
      <c r="D6" t="s">
        <v>138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126</v>
      </c>
      <c r="C7">
        <v>60</v>
      </c>
      <c r="D7" t="s">
        <v>155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126</v>
      </c>
      <c r="C8">
        <v>70</v>
      </c>
      <c r="D8" t="s">
        <v>105</v>
      </c>
      <c r="E8" t="s">
        <v>106</v>
      </c>
      <c r="F8">
        <v>0.439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21</v>
      </c>
      <c r="E9" t="s">
        <v>17</v>
      </c>
      <c r="F9">
        <v>91.44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123</v>
      </c>
      <c r="E10" t="s">
        <v>17</v>
      </c>
      <c r="F10">
        <v>23.367999999999999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121</v>
      </c>
      <c r="E11" t="s">
        <v>17</v>
      </c>
      <c r="F11">
        <v>107.785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120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109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126</v>
      </c>
      <c r="C17">
        <v>160</v>
      </c>
      <c r="D17" t="s">
        <v>129</v>
      </c>
      <c r="E17" t="s">
        <v>14</v>
      </c>
      <c r="F17">
        <v>0.33</v>
      </c>
      <c r="G17" t="s">
        <v>15</v>
      </c>
    </row>
    <row r="18" spans="1:7" x14ac:dyDescent="0.25">
      <c r="A18">
        <v>1</v>
      </c>
      <c r="B18" t="s">
        <v>126</v>
      </c>
      <c r="C18">
        <v>170</v>
      </c>
      <c r="D18" t="s">
        <v>145</v>
      </c>
      <c r="E18" t="s">
        <v>11</v>
      </c>
      <c r="F18">
        <v>1</v>
      </c>
      <c r="G18" t="s">
        <v>18</v>
      </c>
    </row>
    <row r="19" spans="1:7" x14ac:dyDescent="0.25">
      <c r="A19">
        <v>1</v>
      </c>
      <c r="B19" t="s">
        <v>126</v>
      </c>
      <c r="C19">
        <v>180</v>
      </c>
      <c r="D19" t="s">
        <v>146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130</v>
      </c>
      <c r="C20">
        <v>10</v>
      </c>
      <c r="D20" t="s">
        <v>117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130</v>
      </c>
      <c r="C21">
        <v>20</v>
      </c>
      <c r="D21" t="s">
        <v>118</v>
      </c>
      <c r="E21" t="s">
        <v>14</v>
      </c>
      <c r="F21">
        <v>4.165</v>
      </c>
      <c r="G21" t="s">
        <v>15</v>
      </c>
    </row>
    <row r="22" spans="1:7" x14ac:dyDescent="0.25">
      <c r="A22">
        <v>2</v>
      </c>
      <c r="B22" t="s">
        <v>130</v>
      </c>
      <c r="C22">
        <v>30</v>
      </c>
      <c r="D22" t="s">
        <v>162</v>
      </c>
      <c r="E22" t="s">
        <v>17</v>
      </c>
      <c r="F22">
        <v>1.5489999999999999</v>
      </c>
      <c r="G22" t="s">
        <v>18</v>
      </c>
    </row>
    <row r="23" spans="1:7" x14ac:dyDescent="0.25">
      <c r="A23">
        <v>2</v>
      </c>
      <c r="B23" t="s">
        <v>130</v>
      </c>
      <c r="C23">
        <v>40</v>
      </c>
      <c r="D23" t="s">
        <v>122</v>
      </c>
      <c r="E23" t="s">
        <v>17</v>
      </c>
      <c r="F23">
        <v>1.5489999999999999</v>
      </c>
      <c r="G23" t="s">
        <v>18</v>
      </c>
    </row>
    <row r="24" spans="1:7" x14ac:dyDescent="0.25">
      <c r="A24">
        <v>2</v>
      </c>
      <c r="B24" t="s">
        <v>130</v>
      </c>
      <c r="C24">
        <v>50</v>
      </c>
      <c r="D24" t="s">
        <v>139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130</v>
      </c>
      <c r="C25">
        <v>60</v>
      </c>
      <c r="D25" t="s">
        <v>156</v>
      </c>
      <c r="E25" t="s">
        <v>11</v>
      </c>
      <c r="F25">
        <v>1</v>
      </c>
      <c r="G25" t="s">
        <v>18</v>
      </c>
    </row>
    <row r="26" spans="1:7" x14ac:dyDescent="0.25">
      <c r="A26">
        <v>2</v>
      </c>
      <c r="B26" t="s">
        <v>130</v>
      </c>
      <c r="C26">
        <v>70</v>
      </c>
      <c r="D26" t="s">
        <v>105</v>
      </c>
      <c r="E26" t="s">
        <v>106</v>
      </c>
      <c r="F26">
        <v>0.81299999999999994</v>
      </c>
      <c r="G26" t="s">
        <v>15</v>
      </c>
    </row>
    <row r="27" spans="1:7" x14ac:dyDescent="0.25">
      <c r="A27">
        <v>2</v>
      </c>
      <c r="B27" t="s">
        <v>130</v>
      </c>
      <c r="C27">
        <v>80</v>
      </c>
      <c r="D27" t="s">
        <v>21</v>
      </c>
      <c r="E27" t="s">
        <v>17</v>
      </c>
      <c r="F27">
        <v>113.386</v>
      </c>
      <c r="G27" t="s">
        <v>15</v>
      </c>
    </row>
    <row r="28" spans="1:7" x14ac:dyDescent="0.25">
      <c r="A28">
        <v>2</v>
      </c>
      <c r="B28" t="s">
        <v>130</v>
      </c>
      <c r="C28">
        <v>90</v>
      </c>
      <c r="D28" t="s">
        <v>123</v>
      </c>
      <c r="E28" t="s">
        <v>17</v>
      </c>
      <c r="F28">
        <v>28.853999999999999</v>
      </c>
      <c r="G28" t="s">
        <v>15</v>
      </c>
    </row>
    <row r="29" spans="1:7" x14ac:dyDescent="0.25">
      <c r="A29">
        <v>2</v>
      </c>
      <c r="B29" t="s">
        <v>130</v>
      </c>
      <c r="C29">
        <v>100</v>
      </c>
      <c r="D29" t="s">
        <v>121</v>
      </c>
      <c r="E29" t="s">
        <v>17</v>
      </c>
      <c r="F29">
        <v>133.09100000000001</v>
      </c>
      <c r="G29" t="s">
        <v>15</v>
      </c>
    </row>
    <row r="30" spans="1:7" x14ac:dyDescent="0.25">
      <c r="A30">
        <v>2</v>
      </c>
      <c r="B30" t="s">
        <v>130</v>
      </c>
      <c r="C30">
        <v>110</v>
      </c>
      <c r="D30" t="s">
        <v>120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130</v>
      </c>
      <c r="C31">
        <v>120</v>
      </c>
      <c r="D31" t="s">
        <v>26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130</v>
      </c>
      <c r="C32">
        <v>130</v>
      </c>
      <c r="D32" t="s">
        <v>27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130</v>
      </c>
      <c r="C33">
        <v>140</v>
      </c>
      <c r="D33" t="s">
        <v>28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130</v>
      </c>
      <c r="C34">
        <v>150</v>
      </c>
      <c r="D34" t="s">
        <v>109</v>
      </c>
      <c r="E34" t="s">
        <v>14</v>
      </c>
      <c r="F34">
        <v>0.51</v>
      </c>
      <c r="G34" t="s">
        <v>15</v>
      </c>
    </row>
    <row r="35" spans="1:7" x14ac:dyDescent="0.25">
      <c r="A35">
        <v>2</v>
      </c>
      <c r="B35" t="s">
        <v>130</v>
      </c>
      <c r="C35">
        <v>160</v>
      </c>
      <c r="D35" t="s">
        <v>111</v>
      </c>
      <c r="E35" t="s">
        <v>14</v>
      </c>
      <c r="F35">
        <v>0.51</v>
      </c>
      <c r="G35" t="s">
        <v>15</v>
      </c>
    </row>
    <row r="36" spans="1:7" x14ac:dyDescent="0.25">
      <c r="A36">
        <v>2</v>
      </c>
      <c r="B36" t="s">
        <v>130</v>
      </c>
      <c r="C36">
        <v>170</v>
      </c>
      <c r="D36" t="s">
        <v>147</v>
      </c>
      <c r="E36" t="s">
        <v>11</v>
      </c>
      <c r="F36">
        <v>1</v>
      </c>
      <c r="G36" t="s">
        <v>18</v>
      </c>
    </row>
    <row r="37" spans="1:7" x14ac:dyDescent="0.25">
      <c r="A37">
        <v>2</v>
      </c>
      <c r="B37" t="s">
        <v>130</v>
      </c>
      <c r="C37">
        <v>180</v>
      </c>
      <c r="D37" t="s">
        <v>148</v>
      </c>
      <c r="E37" t="s">
        <v>11</v>
      </c>
      <c r="F37">
        <v>1</v>
      </c>
      <c r="G37" t="s">
        <v>18</v>
      </c>
    </row>
    <row r="38" spans="1:7" x14ac:dyDescent="0.25">
      <c r="A38">
        <v>3</v>
      </c>
      <c r="B38" t="s">
        <v>131</v>
      </c>
      <c r="C38">
        <v>10</v>
      </c>
      <c r="D38" t="s">
        <v>127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131</v>
      </c>
      <c r="C39">
        <v>20</v>
      </c>
      <c r="D39" t="s">
        <v>128</v>
      </c>
      <c r="E39" t="s">
        <v>14</v>
      </c>
      <c r="F39">
        <v>2.3889999999999998</v>
      </c>
      <c r="G39" t="s">
        <v>15</v>
      </c>
    </row>
    <row r="40" spans="1:7" x14ac:dyDescent="0.25">
      <c r="A40">
        <v>3</v>
      </c>
      <c r="B40" t="s">
        <v>131</v>
      </c>
      <c r="C40">
        <v>30</v>
      </c>
      <c r="D40" t="s">
        <v>163</v>
      </c>
      <c r="E40" t="s">
        <v>17</v>
      </c>
      <c r="F40">
        <v>0.94</v>
      </c>
      <c r="G40" t="s">
        <v>18</v>
      </c>
    </row>
    <row r="41" spans="1:7" x14ac:dyDescent="0.25">
      <c r="A41">
        <v>3</v>
      </c>
      <c r="B41" t="s">
        <v>131</v>
      </c>
      <c r="C41">
        <v>40</v>
      </c>
      <c r="D41" t="s">
        <v>124</v>
      </c>
      <c r="E41" t="s">
        <v>17</v>
      </c>
      <c r="F41">
        <v>0.94</v>
      </c>
      <c r="G41" t="s">
        <v>18</v>
      </c>
    </row>
    <row r="42" spans="1:7" x14ac:dyDescent="0.25">
      <c r="A42">
        <v>3</v>
      </c>
      <c r="B42" t="s">
        <v>131</v>
      </c>
      <c r="C42">
        <v>50</v>
      </c>
      <c r="D42" t="s">
        <v>140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131</v>
      </c>
      <c r="C43">
        <v>60</v>
      </c>
      <c r="D43" t="s">
        <v>157</v>
      </c>
      <c r="E43" t="s">
        <v>11</v>
      </c>
      <c r="F43">
        <v>1</v>
      </c>
      <c r="G43" t="s">
        <v>18</v>
      </c>
    </row>
    <row r="44" spans="1:7" x14ac:dyDescent="0.25">
      <c r="A44">
        <v>3</v>
      </c>
      <c r="B44" t="s">
        <v>131</v>
      </c>
      <c r="C44">
        <v>70</v>
      </c>
      <c r="D44" t="s">
        <v>105</v>
      </c>
      <c r="E44" t="s">
        <v>106</v>
      </c>
      <c r="F44">
        <v>0.439</v>
      </c>
      <c r="G44" t="s">
        <v>15</v>
      </c>
    </row>
    <row r="45" spans="1:7" x14ac:dyDescent="0.25">
      <c r="A45">
        <v>3</v>
      </c>
      <c r="B45" t="s">
        <v>131</v>
      </c>
      <c r="C45">
        <v>80</v>
      </c>
      <c r="D45" t="s">
        <v>21</v>
      </c>
      <c r="E45" t="s">
        <v>17</v>
      </c>
      <c r="F45">
        <v>91.44</v>
      </c>
      <c r="G45" t="s">
        <v>15</v>
      </c>
    </row>
    <row r="46" spans="1:7" x14ac:dyDescent="0.25">
      <c r="A46">
        <v>3</v>
      </c>
      <c r="B46" t="s">
        <v>131</v>
      </c>
      <c r="C46">
        <v>90</v>
      </c>
      <c r="D46" t="s">
        <v>102</v>
      </c>
      <c r="E46" t="s">
        <v>17</v>
      </c>
      <c r="F46">
        <v>23.367999999999999</v>
      </c>
      <c r="G46" t="s">
        <v>15</v>
      </c>
    </row>
    <row r="47" spans="1:7" x14ac:dyDescent="0.25">
      <c r="A47">
        <v>3</v>
      </c>
      <c r="B47" t="s">
        <v>131</v>
      </c>
      <c r="C47">
        <v>100</v>
      </c>
      <c r="D47" t="s">
        <v>103</v>
      </c>
      <c r="E47" t="s">
        <v>17</v>
      </c>
      <c r="F47">
        <v>107.785</v>
      </c>
      <c r="G47" t="s">
        <v>15</v>
      </c>
    </row>
    <row r="48" spans="1:7" x14ac:dyDescent="0.25">
      <c r="A48">
        <v>3</v>
      </c>
      <c r="B48" t="s">
        <v>131</v>
      </c>
      <c r="C48">
        <v>110</v>
      </c>
      <c r="D48" t="s">
        <v>120</v>
      </c>
      <c r="E48" t="s">
        <v>11</v>
      </c>
      <c r="F48">
        <v>4</v>
      </c>
      <c r="G48" t="s">
        <v>15</v>
      </c>
    </row>
    <row r="49" spans="1:7" x14ac:dyDescent="0.25">
      <c r="A49">
        <v>3</v>
      </c>
      <c r="B49" t="s">
        <v>131</v>
      </c>
      <c r="C49">
        <v>120</v>
      </c>
      <c r="D49" t="s">
        <v>26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131</v>
      </c>
      <c r="C50">
        <v>130</v>
      </c>
      <c r="D50" t="s">
        <v>27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131</v>
      </c>
      <c r="C51">
        <v>140</v>
      </c>
      <c r="D51" t="s">
        <v>28</v>
      </c>
      <c r="E51" t="s">
        <v>11</v>
      </c>
      <c r="F51">
        <v>1</v>
      </c>
      <c r="G51" t="s">
        <v>15</v>
      </c>
    </row>
    <row r="52" spans="1:7" x14ac:dyDescent="0.25">
      <c r="A52">
        <v>3</v>
      </c>
      <c r="B52" t="s">
        <v>131</v>
      </c>
      <c r="C52">
        <v>150</v>
      </c>
      <c r="D52" t="s">
        <v>109</v>
      </c>
      <c r="E52" t="s">
        <v>14</v>
      </c>
      <c r="F52">
        <v>0.33</v>
      </c>
      <c r="G52" t="s">
        <v>15</v>
      </c>
    </row>
    <row r="53" spans="1:7" x14ac:dyDescent="0.25">
      <c r="A53">
        <v>3</v>
      </c>
      <c r="B53" t="s">
        <v>131</v>
      </c>
      <c r="C53">
        <v>160</v>
      </c>
      <c r="D53" t="s">
        <v>129</v>
      </c>
      <c r="E53" t="s">
        <v>14</v>
      </c>
      <c r="F53">
        <v>0.33</v>
      </c>
      <c r="G53" t="s">
        <v>15</v>
      </c>
    </row>
    <row r="54" spans="1:7" x14ac:dyDescent="0.25">
      <c r="A54">
        <v>3</v>
      </c>
      <c r="B54" t="s">
        <v>131</v>
      </c>
      <c r="C54">
        <v>170</v>
      </c>
      <c r="D54" t="s">
        <v>145</v>
      </c>
      <c r="E54" t="s">
        <v>11</v>
      </c>
      <c r="F54">
        <v>1</v>
      </c>
      <c r="G54" t="s">
        <v>18</v>
      </c>
    </row>
    <row r="55" spans="1:7" x14ac:dyDescent="0.25">
      <c r="A55">
        <v>3</v>
      </c>
      <c r="B55" t="s">
        <v>131</v>
      </c>
      <c r="C55">
        <v>180</v>
      </c>
      <c r="D55" t="s">
        <v>146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132</v>
      </c>
      <c r="C56">
        <v>10</v>
      </c>
      <c r="D56" t="s">
        <v>113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132</v>
      </c>
      <c r="C57">
        <v>20</v>
      </c>
      <c r="D57" t="s">
        <v>114</v>
      </c>
      <c r="E57" t="s">
        <v>14</v>
      </c>
      <c r="F57">
        <v>4.0039999999999996</v>
      </c>
      <c r="G57" t="s">
        <v>15</v>
      </c>
    </row>
    <row r="58" spans="1:7" x14ac:dyDescent="0.25">
      <c r="A58">
        <v>4</v>
      </c>
      <c r="B58" t="s">
        <v>132</v>
      </c>
      <c r="C58">
        <v>30</v>
      </c>
      <c r="D58" t="s">
        <v>163</v>
      </c>
      <c r="E58" t="s">
        <v>17</v>
      </c>
      <c r="F58">
        <v>1.5489999999999999</v>
      </c>
      <c r="G58" t="s">
        <v>18</v>
      </c>
    </row>
    <row r="59" spans="1:7" x14ac:dyDescent="0.25">
      <c r="A59">
        <v>4</v>
      </c>
      <c r="B59" t="s">
        <v>132</v>
      </c>
      <c r="C59">
        <v>40</v>
      </c>
      <c r="D59" t="s">
        <v>124</v>
      </c>
      <c r="E59" t="s">
        <v>17</v>
      </c>
      <c r="F59">
        <v>1.5489999999999999</v>
      </c>
      <c r="G59" t="s">
        <v>18</v>
      </c>
    </row>
    <row r="60" spans="1:7" x14ac:dyDescent="0.25">
      <c r="A60">
        <v>4</v>
      </c>
      <c r="B60" t="s">
        <v>132</v>
      </c>
      <c r="C60">
        <v>50</v>
      </c>
      <c r="D60" t="s">
        <v>141</v>
      </c>
      <c r="E60" t="s">
        <v>11</v>
      </c>
      <c r="F60">
        <v>1</v>
      </c>
      <c r="G60" t="s">
        <v>18</v>
      </c>
    </row>
    <row r="61" spans="1:7" x14ac:dyDescent="0.25">
      <c r="A61">
        <v>4</v>
      </c>
      <c r="B61" t="s">
        <v>132</v>
      </c>
      <c r="C61">
        <v>60</v>
      </c>
      <c r="D61" t="s">
        <v>158</v>
      </c>
      <c r="E61" t="s">
        <v>11</v>
      </c>
      <c r="F61">
        <v>1</v>
      </c>
      <c r="G61" t="s">
        <v>18</v>
      </c>
    </row>
    <row r="62" spans="1:7" x14ac:dyDescent="0.25">
      <c r="A62">
        <v>4</v>
      </c>
      <c r="B62" t="s">
        <v>132</v>
      </c>
      <c r="C62">
        <v>70</v>
      </c>
      <c r="D62" t="s">
        <v>105</v>
      </c>
      <c r="E62" t="s">
        <v>106</v>
      </c>
      <c r="F62">
        <v>0.78</v>
      </c>
      <c r="G62" t="s">
        <v>15</v>
      </c>
    </row>
    <row r="63" spans="1:7" x14ac:dyDescent="0.25">
      <c r="A63">
        <v>4</v>
      </c>
      <c r="B63" t="s">
        <v>132</v>
      </c>
      <c r="C63">
        <v>80</v>
      </c>
      <c r="D63" t="s">
        <v>21</v>
      </c>
      <c r="E63" t="s">
        <v>17</v>
      </c>
      <c r="F63">
        <v>110.947</v>
      </c>
      <c r="G63" t="s">
        <v>15</v>
      </c>
    </row>
    <row r="64" spans="1:7" x14ac:dyDescent="0.25">
      <c r="A64">
        <v>4</v>
      </c>
      <c r="B64" t="s">
        <v>132</v>
      </c>
      <c r="C64">
        <v>90</v>
      </c>
      <c r="D64" t="s">
        <v>102</v>
      </c>
      <c r="E64" t="s">
        <v>17</v>
      </c>
      <c r="F64">
        <v>28.245000000000001</v>
      </c>
      <c r="G64" t="s">
        <v>15</v>
      </c>
    </row>
    <row r="65" spans="1:7" x14ac:dyDescent="0.25">
      <c r="A65">
        <v>4</v>
      </c>
      <c r="B65" t="s">
        <v>132</v>
      </c>
      <c r="C65">
        <v>100</v>
      </c>
      <c r="D65" t="s">
        <v>103</v>
      </c>
      <c r="E65" t="s">
        <v>17</v>
      </c>
      <c r="F65">
        <v>130.279</v>
      </c>
      <c r="G65" t="s">
        <v>15</v>
      </c>
    </row>
    <row r="66" spans="1:7" x14ac:dyDescent="0.25">
      <c r="A66">
        <v>4</v>
      </c>
      <c r="B66" t="s">
        <v>132</v>
      </c>
      <c r="C66">
        <v>110</v>
      </c>
      <c r="D66" t="s">
        <v>120</v>
      </c>
      <c r="E66" t="s">
        <v>11</v>
      </c>
      <c r="F66">
        <v>4</v>
      </c>
      <c r="G66" t="s">
        <v>15</v>
      </c>
    </row>
    <row r="67" spans="1:7" x14ac:dyDescent="0.25">
      <c r="A67">
        <v>4</v>
      </c>
      <c r="B67" t="s">
        <v>132</v>
      </c>
      <c r="C67">
        <v>120</v>
      </c>
      <c r="D67" t="s">
        <v>26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132</v>
      </c>
      <c r="C68">
        <v>130</v>
      </c>
      <c r="D68" t="s">
        <v>27</v>
      </c>
      <c r="E68" t="s">
        <v>11</v>
      </c>
      <c r="F68">
        <v>1</v>
      </c>
      <c r="G68" t="s">
        <v>15</v>
      </c>
    </row>
    <row r="69" spans="1:7" x14ac:dyDescent="0.25">
      <c r="A69">
        <v>4</v>
      </c>
      <c r="B69" t="s">
        <v>132</v>
      </c>
      <c r="C69">
        <v>140</v>
      </c>
      <c r="D69" t="s">
        <v>28</v>
      </c>
      <c r="E69" t="s">
        <v>11</v>
      </c>
      <c r="F69">
        <v>1</v>
      </c>
      <c r="G69" t="s">
        <v>15</v>
      </c>
    </row>
    <row r="70" spans="1:7" x14ac:dyDescent="0.25">
      <c r="A70">
        <v>4</v>
      </c>
      <c r="B70" t="s">
        <v>132</v>
      </c>
      <c r="C70">
        <v>150</v>
      </c>
      <c r="D70" t="s">
        <v>109</v>
      </c>
      <c r="E70" t="s">
        <v>14</v>
      </c>
      <c r="F70">
        <v>0.51</v>
      </c>
      <c r="G70" t="s">
        <v>15</v>
      </c>
    </row>
    <row r="71" spans="1:7" x14ac:dyDescent="0.25">
      <c r="A71">
        <v>4</v>
      </c>
      <c r="B71" t="s">
        <v>132</v>
      </c>
      <c r="C71">
        <v>160</v>
      </c>
      <c r="D71" t="s">
        <v>111</v>
      </c>
      <c r="E71" t="s">
        <v>14</v>
      </c>
      <c r="F71">
        <v>0.51</v>
      </c>
      <c r="G71" t="s">
        <v>15</v>
      </c>
    </row>
    <row r="72" spans="1:7" x14ac:dyDescent="0.25">
      <c r="A72">
        <v>4</v>
      </c>
      <c r="B72" t="s">
        <v>132</v>
      </c>
      <c r="C72">
        <v>170</v>
      </c>
      <c r="D72" t="s">
        <v>149</v>
      </c>
      <c r="E72" t="s">
        <v>11</v>
      </c>
      <c r="F72">
        <v>1</v>
      </c>
      <c r="G72" t="s">
        <v>18</v>
      </c>
    </row>
    <row r="73" spans="1:7" x14ac:dyDescent="0.25">
      <c r="A73">
        <v>4</v>
      </c>
      <c r="B73" t="s">
        <v>132</v>
      </c>
      <c r="C73">
        <v>180</v>
      </c>
      <c r="D73" t="s">
        <v>150</v>
      </c>
      <c r="E73" t="s">
        <v>11</v>
      </c>
      <c r="F73">
        <v>1</v>
      </c>
      <c r="G73" t="s">
        <v>18</v>
      </c>
    </row>
    <row r="74" spans="1:7" x14ac:dyDescent="0.25">
      <c r="A74">
        <v>5</v>
      </c>
      <c r="B74" t="s">
        <v>133</v>
      </c>
      <c r="C74">
        <v>10</v>
      </c>
      <c r="D74" t="s">
        <v>115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133</v>
      </c>
      <c r="C75">
        <v>20</v>
      </c>
      <c r="D75" t="s">
        <v>116</v>
      </c>
      <c r="E75" t="s">
        <v>14</v>
      </c>
      <c r="F75">
        <v>4.8109999999999999</v>
      </c>
      <c r="G75" t="s">
        <v>15</v>
      </c>
    </row>
    <row r="76" spans="1:7" x14ac:dyDescent="0.25">
      <c r="A76">
        <v>5</v>
      </c>
      <c r="B76" t="s">
        <v>133</v>
      </c>
      <c r="C76">
        <v>30</v>
      </c>
      <c r="D76" t="s">
        <v>163</v>
      </c>
      <c r="E76" t="s">
        <v>17</v>
      </c>
      <c r="F76">
        <v>1.8540000000000001</v>
      </c>
      <c r="G76" t="s">
        <v>18</v>
      </c>
    </row>
    <row r="77" spans="1:7" x14ac:dyDescent="0.25">
      <c r="A77">
        <v>5</v>
      </c>
      <c r="B77" t="s">
        <v>133</v>
      </c>
      <c r="C77">
        <v>40</v>
      </c>
      <c r="D77" t="s">
        <v>124</v>
      </c>
      <c r="E77" t="s">
        <v>17</v>
      </c>
      <c r="F77">
        <v>1.8540000000000001</v>
      </c>
      <c r="G77" t="s">
        <v>18</v>
      </c>
    </row>
    <row r="78" spans="1:7" x14ac:dyDescent="0.25">
      <c r="A78">
        <v>5</v>
      </c>
      <c r="B78" t="s">
        <v>133</v>
      </c>
      <c r="C78">
        <v>50</v>
      </c>
      <c r="D78" t="s">
        <v>142</v>
      </c>
      <c r="E78" t="s">
        <v>11</v>
      </c>
      <c r="F78">
        <v>1</v>
      </c>
      <c r="G78" t="s">
        <v>18</v>
      </c>
    </row>
    <row r="79" spans="1:7" x14ac:dyDescent="0.25">
      <c r="A79">
        <v>5</v>
      </c>
      <c r="B79" t="s">
        <v>133</v>
      </c>
      <c r="C79">
        <v>60</v>
      </c>
      <c r="D79" t="s">
        <v>159</v>
      </c>
      <c r="E79" t="s">
        <v>11</v>
      </c>
      <c r="F79">
        <v>1</v>
      </c>
      <c r="G79" t="s">
        <v>18</v>
      </c>
    </row>
    <row r="80" spans="1:7" x14ac:dyDescent="0.25">
      <c r="A80">
        <v>5</v>
      </c>
      <c r="B80" t="s">
        <v>133</v>
      </c>
      <c r="C80">
        <v>70</v>
      </c>
      <c r="D80" t="s">
        <v>105</v>
      </c>
      <c r="E80" t="s">
        <v>106</v>
      </c>
      <c r="F80">
        <v>0.95</v>
      </c>
      <c r="G80" t="s">
        <v>15</v>
      </c>
    </row>
    <row r="81" spans="1:7" x14ac:dyDescent="0.25">
      <c r="A81">
        <v>5</v>
      </c>
      <c r="B81" t="s">
        <v>133</v>
      </c>
      <c r="C81">
        <v>80</v>
      </c>
      <c r="D81" t="s">
        <v>21</v>
      </c>
      <c r="E81" t="s">
        <v>17</v>
      </c>
      <c r="F81">
        <v>120.70099999999999</v>
      </c>
      <c r="G81" t="s">
        <v>15</v>
      </c>
    </row>
    <row r="82" spans="1:7" x14ac:dyDescent="0.25">
      <c r="A82">
        <v>5</v>
      </c>
      <c r="B82" t="s">
        <v>133</v>
      </c>
      <c r="C82">
        <v>90</v>
      </c>
      <c r="D82" t="s">
        <v>102</v>
      </c>
      <c r="E82" t="s">
        <v>17</v>
      </c>
      <c r="F82">
        <v>30.683</v>
      </c>
      <c r="G82" t="s">
        <v>15</v>
      </c>
    </row>
    <row r="83" spans="1:7" x14ac:dyDescent="0.25">
      <c r="A83">
        <v>5</v>
      </c>
      <c r="B83" t="s">
        <v>133</v>
      </c>
      <c r="C83">
        <v>100</v>
      </c>
      <c r="D83" t="s">
        <v>103</v>
      </c>
      <c r="E83" t="s">
        <v>17</v>
      </c>
      <c r="F83">
        <v>141.52600000000001</v>
      </c>
      <c r="G83" t="s">
        <v>15</v>
      </c>
    </row>
    <row r="84" spans="1:7" x14ac:dyDescent="0.25">
      <c r="A84">
        <v>5</v>
      </c>
      <c r="B84" t="s">
        <v>133</v>
      </c>
      <c r="C84">
        <v>110</v>
      </c>
      <c r="D84" t="s">
        <v>120</v>
      </c>
      <c r="E84" t="s">
        <v>11</v>
      </c>
      <c r="F84">
        <v>4</v>
      </c>
      <c r="G84" t="s">
        <v>15</v>
      </c>
    </row>
    <row r="85" spans="1:7" x14ac:dyDescent="0.25">
      <c r="A85">
        <v>5</v>
      </c>
      <c r="B85" t="s">
        <v>133</v>
      </c>
      <c r="C85">
        <v>120</v>
      </c>
      <c r="D85" t="s">
        <v>26</v>
      </c>
      <c r="E85" t="s">
        <v>11</v>
      </c>
      <c r="F85">
        <v>1</v>
      </c>
      <c r="G85" t="s">
        <v>15</v>
      </c>
    </row>
    <row r="86" spans="1:7" x14ac:dyDescent="0.25">
      <c r="A86">
        <v>5</v>
      </c>
      <c r="B86" t="s">
        <v>133</v>
      </c>
      <c r="C86">
        <v>130</v>
      </c>
      <c r="D86" t="s">
        <v>27</v>
      </c>
      <c r="E86" t="s">
        <v>11</v>
      </c>
      <c r="F86">
        <v>1</v>
      </c>
      <c r="G86" t="s">
        <v>15</v>
      </c>
    </row>
    <row r="87" spans="1:7" x14ac:dyDescent="0.25">
      <c r="A87">
        <v>5</v>
      </c>
      <c r="B87" t="s">
        <v>133</v>
      </c>
      <c r="C87">
        <v>140</v>
      </c>
      <c r="D87" t="s">
        <v>28</v>
      </c>
      <c r="E87" t="s">
        <v>11</v>
      </c>
      <c r="F87">
        <v>1</v>
      </c>
      <c r="G87" t="s">
        <v>15</v>
      </c>
    </row>
    <row r="88" spans="1:7" x14ac:dyDescent="0.25">
      <c r="A88">
        <v>5</v>
      </c>
      <c r="B88" t="s">
        <v>133</v>
      </c>
      <c r="C88">
        <v>150</v>
      </c>
      <c r="D88" t="s">
        <v>109</v>
      </c>
      <c r="E88" t="s">
        <v>14</v>
      </c>
      <c r="F88">
        <v>0.60099999999999998</v>
      </c>
      <c r="G88" t="s">
        <v>15</v>
      </c>
    </row>
    <row r="89" spans="1:7" x14ac:dyDescent="0.25">
      <c r="A89">
        <v>5</v>
      </c>
      <c r="B89" t="s">
        <v>133</v>
      </c>
      <c r="C89">
        <v>160</v>
      </c>
      <c r="D89" t="s">
        <v>112</v>
      </c>
      <c r="E89" t="s">
        <v>14</v>
      </c>
      <c r="F89">
        <v>0.60099999999999998</v>
      </c>
      <c r="G89" t="s">
        <v>15</v>
      </c>
    </row>
    <row r="90" spans="1:7" x14ac:dyDescent="0.25">
      <c r="A90">
        <v>5</v>
      </c>
      <c r="B90" t="s">
        <v>133</v>
      </c>
      <c r="C90">
        <v>170</v>
      </c>
      <c r="D90" t="s">
        <v>151</v>
      </c>
      <c r="E90" t="s">
        <v>11</v>
      </c>
      <c r="F90">
        <v>1</v>
      </c>
      <c r="G90" t="s">
        <v>18</v>
      </c>
    </row>
    <row r="91" spans="1:7" x14ac:dyDescent="0.25">
      <c r="A91">
        <v>5</v>
      </c>
      <c r="B91" t="s">
        <v>133</v>
      </c>
      <c r="C91">
        <v>180</v>
      </c>
      <c r="D91" t="s">
        <v>152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134</v>
      </c>
      <c r="C92">
        <v>10</v>
      </c>
      <c r="D92" t="s">
        <v>117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134</v>
      </c>
      <c r="C93">
        <v>20</v>
      </c>
      <c r="D93" t="s">
        <v>118</v>
      </c>
      <c r="E93" t="s">
        <v>14</v>
      </c>
      <c r="F93">
        <v>4.165</v>
      </c>
      <c r="G93" t="s">
        <v>15</v>
      </c>
    </row>
    <row r="94" spans="1:7" x14ac:dyDescent="0.25">
      <c r="A94">
        <v>6</v>
      </c>
      <c r="B94" t="s">
        <v>134</v>
      </c>
      <c r="C94">
        <v>30</v>
      </c>
      <c r="D94" t="s">
        <v>163</v>
      </c>
      <c r="E94" t="s">
        <v>17</v>
      </c>
      <c r="F94">
        <v>1.5489999999999999</v>
      </c>
      <c r="G94" t="s">
        <v>18</v>
      </c>
    </row>
    <row r="95" spans="1:7" x14ac:dyDescent="0.25">
      <c r="A95">
        <v>6</v>
      </c>
      <c r="B95" t="s">
        <v>134</v>
      </c>
      <c r="C95">
        <v>40</v>
      </c>
      <c r="D95" t="s">
        <v>124</v>
      </c>
      <c r="E95" t="s">
        <v>17</v>
      </c>
      <c r="F95">
        <v>1.5489999999999999</v>
      </c>
      <c r="G95" t="s">
        <v>18</v>
      </c>
    </row>
    <row r="96" spans="1:7" x14ac:dyDescent="0.25">
      <c r="A96">
        <v>6</v>
      </c>
      <c r="B96" t="s">
        <v>134</v>
      </c>
      <c r="C96">
        <v>50</v>
      </c>
      <c r="D96" t="s">
        <v>143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134</v>
      </c>
      <c r="C97">
        <v>60</v>
      </c>
      <c r="D97" t="s">
        <v>160</v>
      </c>
      <c r="E97" t="s">
        <v>11</v>
      </c>
      <c r="F97">
        <v>1</v>
      </c>
      <c r="G97" t="s">
        <v>18</v>
      </c>
    </row>
    <row r="98" spans="1:7" x14ac:dyDescent="0.25">
      <c r="A98">
        <v>6</v>
      </c>
      <c r="B98" t="s">
        <v>134</v>
      </c>
      <c r="C98">
        <v>70</v>
      </c>
      <c r="D98" t="s">
        <v>105</v>
      </c>
      <c r="E98" t="s">
        <v>106</v>
      </c>
      <c r="F98">
        <v>0.81299999999999994</v>
      </c>
      <c r="G98" t="s">
        <v>15</v>
      </c>
    </row>
    <row r="99" spans="1:7" x14ac:dyDescent="0.25">
      <c r="A99">
        <v>6</v>
      </c>
      <c r="B99" t="s">
        <v>134</v>
      </c>
      <c r="C99">
        <v>80</v>
      </c>
      <c r="D99" t="s">
        <v>21</v>
      </c>
      <c r="E99" t="s">
        <v>17</v>
      </c>
      <c r="F99">
        <v>113.386</v>
      </c>
      <c r="G99" t="s">
        <v>15</v>
      </c>
    </row>
    <row r="100" spans="1:7" x14ac:dyDescent="0.25">
      <c r="A100">
        <v>6</v>
      </c>
      <c r="B100" t="s">
        <v>134</v>
      </c>
      <c r="C100">
        <v>90</v>
      </c>
      <c r="D100" t="s">
        <v>102</v>
      </c>
      <c r="E100" t="s">
        <v>17</v>
      </c>
      <c r="F100">
        <v>28.853999999999999</v>
      </c>
      <c r="G100" t="s">
        <v>15</v>
      </c>
    </row>
    <row r="101" spans="1:7" x14ac:dyDescent="0.25">
      <c r="A101">
        <v>6</v>
      </c>
      <c r="B101" t="s">
        <v>134</v>
      </c>
      <c r="C101">
        <v>100</v>
      </c>
      <c r="D101" t="s">
        <v>103</v>
      </c>
      <c r="E101" t="s">
        <v>17</v>
      </c>
      <c r="F101">
        <v>133.09100000000001</v>
      </c>
      <c r="G101" t="s">
        <v>15</v>
      </c>
    </row>
    <row r="102" spans="1:7" x14ac:dyDescent="0.25">
      <c r="A102">
        <v>6</v>
      </c>
      <c r="B102" t="s">
        <v>134</v>
      </c>
      <c r="C102">
        <v>110</v>
      </c>
      <c r="D102" t="s">
        <v>120</v>
      </c>
      <c r="E102" t="s">
        <v>11</v>
      </c>
      <c r="F102">
        <v>4</v>
      </c>
      <c r="G102" t="s">
        <v>15</v>
      </c>
    </row>
    <row r="103" spans="1:7" x14ac:dyDescent="0.25">
      <c r="A103">
        <v>6</v>
      </c>
      <c r="B103" t="s">
        <v>134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6</v>
      </c>
      <c r="B104" t="s">
        <v>134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6</v>
      </c>
      <c r="B105" t="s">
        <v>134</v>
      </c>
      <c r="C105">
        <v>140</v>
      </c>
      <c r="D105" t="s">
        <v>28</v>
      </c>
      <c r="E105" t="s">
        <v>11</v>
      </c>
      <c r="F105">
        <v>1</v>
      </c>
      <c r="G105" t="s">
        <v>15</v>
      </c>
    </row>
    <row r="106" spans="1:7" x14ac:dyDescent="0.25">
      <c r="A106">
        <v>6</v>
      </c>
      <c r="B106" t="s">
        <v>134</v>
      </c>
      <c r="C106">
        <v>150</v>
      </c>
      <c r="D106" t="s">
        <v>109</v>
      </c>
      <c r="E106" t="s">
        <v>14</v>
      </c>
      <c r="F106">
        <v>0.51</v>
      </c>
      <c r="G106" t="s">
        <v>15</v>
      </c>
    </row>
    <row r="107" spans="1:7" x14ac:dyDescent="0.25">
      <c r="A107">
        <v>6</v>
      </c>
      <c r="B107" t="s">
        <v>134</v>
      </c>
      <c r="C107">
        <v>160</v>
      </c>
      <c r="D107" t="s">
        <v>111</v>
      </c>
      <c r="E107" t="s">
        <v>14</v>
      </c>
      <c r="F107">
        <v>0.51</v>
      </c>
      <c r="G107" t="s">
        <v>15</v>
      </c>
    </row>
    <row r="108" spans="1:7" x14ac:dyDescent="0.25">
      <c r="A108">
        <v>6</v>
      </c>
      <c r="B108" t="s">
        <v>134</v>
      </c>
      <c r="C108">
        <v>170</v>
      </c>
      <c r="D108" t="s">
        <v>147</v>
      </c>
      <c r="E108" t="s">
        <v>11</v>
      </c>
      <c r="F108">
        <v>1</v>
      </c>
      <c r="G108" t="s">
        <v>18</v>
      </c>
    </row>
    <row r="109" spans="1:7" x14ac:dyDescent="0.25">
      <c r="A109">
        <v>6</v>
      </c>
      <c r="B109" t="s">
        <v>134</v>
      </c>
      <c r="C109">
        <v>180</v>
      </c>
      <c r="D109" t="s">
        <v>148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135</v>
      </c>
      <c r="C110">
        <v>10</v>
      </c>
      <c r="D110" t="s">
        <v>136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135</v>
      </c>
      <c r="C111">
        <v>20</v>
      </c>
      <c r="D111" t="s">
        <v>137</v>
      </c>
      <c r="E111" t="s">
        <v>14</v>
      </c>
      <c r="F111">
        <v>5.0049999999999999</v>
      </c>
      <c r="G111" t="s">
        <v>15</v>
      </c>
    </row>
    <row r="112" spans="1:7" x14ac:dyDescent="0.25">
      <c r="A112">
        <v>7</v>
      </c>
      <c r="B112" t="s">
        <v>135</v>
      </c>
      <c r="C112">
        <v>30</v>
      </c>
      <c r="D112" t="s">
        <v>163</v>
      </c>
      <c r="E112" t="s">
        <v>17</v>
      </c>
      <c r="F112">
        <v>1.8540000000000001</v>
      </c>
      <c r="G112" t="s">
        <v>18</v>
      </c>
    </row>
    <row r="113" spans="1:7" x14ac:dyDescent="0.25">
      <c r="A113">
        <v>7</v>
      </c>
      <c r="B113" t="s">
        <v>135</v>
      </c>
      <c r="C113">
        <v>40</v>
      </c>
      <c r="D113" t="s">
        <v>124</v>
      </c>
      <c r="E113" t="s">
        <v>17</v>
      </c>
      <c r="F113">
        <v>1.8540000000000001</v>
      </c>
      <c r="G113" t="s">
        <v>18</v>
      </c>
    </row>
    <row r="114" spans="1:7" x14ac:dyDescent="0.25">
      <c r="A114">
        <v>7</v>
      </c>
      <c r="B114" t="s">
        <v>135</v>
      </c>
      <c r="C114">
        <v>50</v>
      </c>
      <c r="D114" t="s">
        <v>144</v>
      </c>
      <c r="E114" t="s">
        <v>11</v>
      </c>
      <c r="F114">
        <v>1</v>
      </c>
      <c r="G114" t="s">
        <v>18</v>
      </c>
    </row>
    <row r="115" spans="1:7" x14ac:dyDescent="0.25">
      <c r="A115">
        <v>7</v>
      </c>
      <c r="B115" t="s">
        <v>135</v>
      </c>
      <c r="C115">
        <v>60</v>
      </c>
      <c r="D115" t="s">
        <v>161</v>
      </c>
      <c r="E115" t="s">
        <v>11</v>
      </c>
      <c r="F115">
        <v>1</v>
      </c>
      <c r="G115" t="s">
        <v>18</v>
      </c>
    </row>
    <row r="116" spans="1:7" x14ac:dyDescent="0.25">
      <c r="A116">
        <v>7</v>
      </c>
      <c r="B116" t="s">
        <v>135</v>
      </c>
      <c r="C116">
        <v>70</v>
      </c>
      <c r="D116" t="s">
        <v>105</v>
      </c>
      <c r="E116" t="s">
        <v>106</v>
      </c>
      <c r="F116">
        <v>0.99</v>
      </c>
      <c r="G116" t="s">
        <v>15</v>
      </c>
    </row>
    <row r="117" spans="1:7" x14ac:dyDescent="0.25">
      <c r="A117">
        <v>7</v>
      </c>
      <c r="B117" t="s">
        <v>135</v>
      </c>
      <c r="C117">
        <v>80</v>
      </c>
      <c r="D117" t="s">
        <v>21</v>
      </c>
      <c r="E117" t="s">
        <v>17</v>
      </c>
      <c r="F117">
        <v>123.139</v>
      </c>
      <c r="G117" t="s">
        <v>15</v>
      </c>
    </row>
    <row r="118" spans="1:7" x14ac:dyDescent="0.25">
      <c r="A118">
        <v>7</v>
      </c>
      <c r="B118" t="s">
        <v>135</v>
      </c>
      <c r="C118">
        <v>90</v>
      </c>
      <c r="D118" t="s">
        <v>102</v>
      </c>
      <c r="E118" t="s">
        <v>17</v>
      </c>
      <c r="F118">
        <v>31.292999999999999</v>
      </c>
      <c r="G118" t="s">
        <v>15</v>
      </c>
    </row>
    <row r="119" spans="1:7" x14ac:dyDescent="0.25">
      <c r="A119">
        <v>7</v>
      </c>
      <c r="B119" t="s">
        <v>135</v>
      </c>
      <c r="C119">
        <v>100</v>
      </c>
      <c r="D119" t="s">
        <v>103</v>
      </c>
      <c r="E119" t="s">
        <v>17</v>
      </c>
      <c r="F119">
        <v>144.33799999999999</v>
      </c>
      <c r="G119" t="s">
        <v>15</v>
      </c>
    </row>
    <row r="120" spans="1:7" x14ac:dyDescent="0.25">
      <c r="A120">
        <v>7</v>
      </c>
      <c r="B120" t="s">
        <v>135</v>
      </c>
      <c r="C120">
        <v>110</v>
      </c>
      <c r="D120" t="s">
        <v>120</v>
      </c>
      <c r="E120" t="s">
        <v>11</v>
      </c>
      <c r="F120">
        <v>4</v>
      </c>
      <c r="G120" t="s">
        <v>15</v>
      </c>
    </row>
    <row r="121" spans="1:7" x14ac:dyDescent="0.25">
      <c r="A121">
        <v>7</v>
      </c>
      <c r="B121" t="s">
        <v>135</v>
      </c>
      <c r="C121">
        <v>120</v>
      </c>
      <c r="D121" t="s">
        <v>26</v>
      </c>
      <c r="E121" t="s">
        <v>11</v>
      </c>
      <c r="F121">
        <v>1</v>
      </c>
      <c r="G121" t="s">
        <v>15</v>
      </c>
    </row>
    <row r="122" spans="1:7" x14ac:dyDescent="0.25">
      <c r="A122">
        <v>7</v>
      </c>
      <c r="B122" t="s">
        <v>135</v>
      </c>
      <c r="C122">
        <v>130</v>
      </c>
      <c r="D122" t="s">
        <v>27</v>
      </c>
      <c r="E122" t="s">
        <v>11</v>
      </c>
      <c r="F122">
        <v>1</v>
      </c>
      <c r="G122" t="s">
        <v>15</v>
      </c>
    </row>
    <row r="123" spans="1:7" x14ac:dyDescent="0.25">
      <c r="A123">
        <v>7</v>
      </c>
      <c r="B123" t="s">
        <v>135</v>
      </c>
      <c r="C123">
        <v>140</v>
      </c>
      <c r="D123" t="s">
        <v>28</v>
      </c>
      <c r="E123" t="s">
        <v>11</v>
      </c>
      <c r="F123">
        <v>1</v>
      </c>
      <c r="G123" t="s">
        <v>15</v>
      </c>
    </row>
    <row r="124" spans="1:7" x14ac:dyDescent="0.25">
      <c r="A124">
        <v>7</v>
      </c>
      <c r="B124" t="s">
        <v>135</v>
      </c>
      <c r="C124">
        <v>150</v>
      </c>
      <c r="D124" t="s">
        <v>109</v>
      </c>
      <c r="E124" t="s">
        <v>14</v>
      </c>
      <c r="F124">
        <v>0.60099999999999998</v>
      </c>
      <c r="G124" t="s">
        <v>15</v>
      </c>
    </row>
    <row r="125" spans="1:7" x14ac:dyDescent="0.25">
      <c r="A125">
        <v>7</v>
      </c>
      <c r="B125" t="s">
        <v>135</v>
      </c>
      <c r="C125">
        <v>160</v>
      </c>
      <c r="D125" t="s">
        <v>112</v>
      </c>
      <c r="E125" t="s">
        <v>14</v>
      </c>
      <c r="F125">
        <v>0.60099999999999998</v>
      </c>
      <c r="G125" t="s">
        <v>15</v>
      </c>
    </row>
    <row r="126" spans="1:7" x14ac:dyDescent="0.25">
      <c r="A126">
        <v>7</v>
      </c>
      <c r="B126" t="s">
        <v>135</v>
      </c>
      <c r="C126">
        <v>170</v>
      </c>
      <c r="D126" t="s">
        <v>153</v>
      </c>
      <c r="E126" t="s">
        <v>11</v>
      </c>
      <c r="F126">
        <v>1</v>
      </c>
      <c r="G126" t="s">
        <v>18</v>
      </c>
    </row>
    <row r="127" spans="1:7" x14ac:dyDescent="0.25">
      <c r="A127">
        <v>7</v>
      </c>
      <c r="B127" t="s">
        <v>135</v>
      </c>
      <c r="C127">
        <v>180</v>
      </c>
      <c r="D127" t="s">
        <v>154</v>
      </c>
      <c r="E127" t="s">
        <v>11</v>
      </c>
      <c r="F127">
        <v>1</v>
      </c>
      <c r="G127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30"/>
  <sheetViews>
    <sheetView topLeftCell="A102" zoomScale="85" zoomScaleNormal="85" workbookViewId="0">
      <selection activeCell="E130" sqref="E13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46" t="s">
        <v>31</v>
      </c>
      <c r="B1" s="47" t="s">
        <v>32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33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9" x14ac:dyDescent="0.25">
      <c r="A2" s="46"/>
      <c r="B2" s="44" t="s">
        <v>34</v>
      </c>
      <c r="C2" s="44" t="s">
        <v>35</v>
      </c>
      <c r="D2" s="44" t="s">
        <v>36</v>
      </c>
      <c r="E2" s="44" t="s">
        <v>35</v>
      </c>
      <c r="F2" s="44" t="s">
        <v>36</v>
      </c>
      <c r="G2" s="44" t="s">
        <v>34</v>
      </c>
      <c r="H2" s="44" t="s">
        <v>36</v>
      </c>
      <c r="I2" s="44" t="s">
        <v>36</v>
      </c>
      <c r="J2" s="44" t="s">
        <v>36</v>
      </c>
      <c r="K2" s="44" t="s">
        <v>36</v>
      </c>
      <c r="L2" s="44" t="s">
        <v>34</v>
      </c>
      <c r="M2" s="45" t="s">
        <v>37</v>
      </c>
      <c r="N2" s="25" t="s">
        <v>37</v>
      </c>
      <c r="O2" s="45" t="s">
        <v>37</v>
      </c>
      <c r="P2" s="45" t="s">
        <v>38</v>
      </c>
      <c r="Q2" s="45" t="s">
        <v>37</v>
      </c>
      <c r="R2" s="45" t="s">
        <v>38</v>
      </c>
      <c r="S2" s="45" t="s">
        <v>37</v>
      </c>
      <c r="T2" s="45" t="s">
        <v>37</v>
      </c>
      <c r="U2" s="45" t="s">
        <v>38</v>
      </c>
      <c r="V2" s="45" t="s">
        <v>37</v>
      </c>
      <c r="W2" s="45" t="s">
        <v>37</v>
      </c>
      <c r="X2" s="45" t="s">
        <v>37</v>
      </c>
      <c r="Y2" s="45" t="s">
        <v>38</v>
      </c>
      <c r="Z2" s="45" t="s">
        <v>39</v>
      </c>
      <c r="AA2" s="45" t="s">
        <v>37</v>
      </c>
      <c r="AB2" s="45" t="s">
        <v>37</v>
      </c>
      <c r="AC2" s="45" t="s">
        <v>37</v>
      </c>
      <c r="AD2" s="45" t="s">
        <v>37</v>
      </c>
      <c r="AE2" s="45" t="s">
        <v>37</v>
      </c>
      <c r="AF2" s="45" t="s">
        <v>37</v>
      </c>
      <c r="AG2" s="45" t="s">
        <v>39</v>
      </c>
      <c r="AH2" s="45" t="s">
        <v>39</v>
      </c>
      <c r="AI2" s="45" t="s">
        <v>39</v>
      </c>
      <c r="AJ2" s="45" t="s">
        <v>37</v>
      </c>
      <c r="AK2" s="45" t="s">
        <v>37</v>
      </c>
      <c r="AL2" s="45" t="s">
        <v>37</v>
      </c>
    </row>
    <row r="3" spans="1:39" x14ac:dyDescent="0.25">
      <c r="A3" s="46"/>
      <c r="B3" s="44" t="s">
        <v>40</v>
      </c>
      <c r="C3" s="44" t="s">
        <v>41</v>
      </c>
      <c r="D3" s="44" t="s">
        <v>42</v>
      </c>
      <c r="E3" s="44" t="s">
        <v>41</v>
      </c>
      <c r="F3" s="44" t="s">
        <v>43</v>
      </c>
      <c r="G3" s="44" t="s">
        <v>44</v>
      </c>
      <c r="H3" s="44" t="s">
        <v>45</v>
      </c>
      <c r="I3" s="44" t="s">
        <v>46</v>
      </c>
      <c r="J3" s="44" t="s">
        <v>41</v>
      </c>
      <c r="K3" s="44" t="s">
        <v>41</v>
      </c>
      <c r="L3" s="44" t="s">
        <v>47</v>
      </c>
      <c r="M3" s="45" t="s">
        <v>48</v>
      </c>
      <c r="N3" s="25" t="s">
        <v>41</v>
      </c>
      <c r="O3" s="45" t="s">
        <v>43</v>
      </c>
      <c r="P3" s="45" t="s">
        <v>49</v>
      </c>
      <c r="Q3" s="45" t="s">
        <v>46</v>
      </c>
      <c r="R3" s="45" t="s">
        <v>45</v>
      </c>
      <c r="S3" s="45" t="s">
        <v>50</v>
      </c>
      <c r="T3" s="45" t="s">
        <v>48</v>
      </c>
      <c r="U3" s="45" t="s">
        <v>51</v>
      </c>
      <c r="V3" s="45" t="s">
        <v>45</v>
      </c>
      <c r="W3" s="45" t="s">
        <v>46</v>
      </c>
      <c r="X3" s="45" t="s">
        <v>46</v>
      </c>
      <c r="Y3" s="45" t="s">
        <v>40</v>
      </c>
      <c r="Z3" s="45" t="s">
        <v>47</v>
      </c>
      <c r="AA3" s="45" t="s">
        <v>52</v>
      </c>
      <c r="AB3" s="45" t="s">
        <v>52</v>
      </c>
      <c r="AC3" s="45" t="s">
        <v>46</v>
      </c>
      <c r="AD3" s="45" t="s">
        <v>46</v>
      </c>
      <c r="AE3" s="45" t="s">
        <v>51</v>
      </c>
      <c r="AF3" s="45" t="s">
        <v>50</v>
      </c>
      <c r="AG3" s="45" t="s">
        <v>40</v>
      </c>
      <c r="AH3" s="45" t="s">
        <v>47</v>
      </c>
      <c r="AI3" s="45" t="s">
        <v>47</v>
      </c>
      <c r="AJ3" s="45" t="s">
        <v>41</v>
      </c>
      <c r="AK3" s="45" t="s">
        <v>43</v>
      </c>
      <c r="AL3" s="45" t="s">
        <v>53</v>
      </c>
    </row>
    <row r="4" spans="1:39" x14ac:dyDescent="0.25">
      <c r="A4" s="46"/>
      <c r="B4" s="26" t="s">
        <v>54</v>
      </c>
      <c r="C4" s="26" t="s">
        <v>55</v>
      </c>
      <c r="D4" s="44" t="s">
        <v>56</v>
      </c>
      <c r="E4" s="26" t="s">
        <v>3</v>
      </c>
      <c r="F4" s="44" t="s">
        <v>57</v>
      </c>
      <c r="G4" s="26" t="s">
        <v>58</v>
      </c>
      <c r="H4" s="26" t="s">
        <v>6</v>
      </c>
      <c r="I4" s="26" t="s">
        <v>59</v>
      </c>
      <c r="J4" s="44" t="s">
        <v>60</v>
      </c>
      <c r="K4" s="44" t="s">
        <v>61</v>
      </c>
      <c r="L4" s="44" t="s">
        <v>62</v>
      </c>
      <c r="M4" s="27" t="s">
        <v>63</v>
      </c>
      <c r="N4" s="28" t="s">
        <v>3</v>
      </c>
      <c r="O4" s="45" t="s">
        <v>57</v>
      </c>
      <c r="P4" s="45" t="s">
        <v>64</v>
      </c>
      <c r="Q4" s="45" t="s">
        <v>65</v>
      </c>
      <c r="R4" s="45" t="s">
        <v>4</v>
      </c>
      <c r="S4" s="45" t="s">
        <v>66</v>
      </c>
      <c r="T4" s="45" t="s">
        <v>67</v>
      </c>
      <c r="U4" s="45" t="s">
        <v>68</v>
      </c>
      <c r="V4" s="45" t="s">
        <v>6</v>
      </c>
      <c r="W4" s="45" t="s">
        <v>69</v>
      </c>
      <c r="X4" s="45" t="s">
        <v>70</v>
      </c>
      <c r="Y4" s="45" t="s">
        <v>71</v>
      </c>
      <c r="Z4" s="45" t="s">
        <v>72</v>
      </c>
      <c r="AA4" s="45" t="s">
        <v>73</v>
      </c>
      <c r="AB4" s="45" t="s">
        <v>74</v>
      </c>
      <c r="AC4" s="45" t="s">
        <v>75</v>
      </c>
      <c r="AD4" s="45" t="s">
        <v>76</v>
      </c>
      <c r="AE4" s="45" t="s">
        <v>77</v>
      </c>
      <c r="AF4" s="45" t="s">
        <v>78</v>
      </c>
      <c r="AG4" s="45" t="s">
        <v>79</v>
      </c>
      <c r="AH4" s="45" t="s">
        <v>80</v>
      </c>
      <c r="AI4" s="45" t="s">
        <v>81</v>
      </c>
      <c r="AJ4" s="45" t="s">
        <v>82</v>
      </c>
      <c r="AK4" s="45" t="s">
        <v>83</v>
      </c>
      <c r="AL4" s="45" t="s">
        <v>84</v>
      </c>
    </row>
    <row r="5" spans="1:39" x14ac:dyDescent="0.25">
      <c r="A5" s="3">
        <v>1</v>
      </c>
      <c r="B5" s="3" t="s">
        <v>94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127</v>
      </c>
    </row>
    <row r="6" spans="1:39" x14ac:dyDescent="0.25">
      <c r="A6" s="3">
        <v>1</v>
      </c>
      <c r="B6" s="3" t="s">
        <v>94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128</v>
      </c>
      <c r="O6" s="3"/>
      <c r="P6" s="3"/>
      <c r="Q6" s="3">
        <v>2.3889999999999998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128</v>
      </c>
    </row>
    <row r="7" spans="1:39" x14ac:dyDescent="0.25">
      <c r="A7" s="3">
        <v>1</v>
      </c>
      <c r="B7" s="3" t="s">
        <v>94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162</v>
      </c>
      <c r="O7" s="3"/>
      <c r="P7" s="3"/>
      <c r="Q7" s="3">
        <v>0.94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e">
        <v>#N/A</v>
      </c>
    </row>
    <row r="8" spans="1:39" x14ac:dyDescent="0.25">
      <c r="A8" s="3">
        <v>1</v>
      </c>
      <c r="B8" s="3" t="s">
        <v>94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122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122</v>
      </c>
    </row>
    <row r="9" spans="1:39" x14ac:dyDescent="0.25">
      <c r="A9" s="3">
        <v>1</v>
      </c>
      <c r="B9" s="3" t="s">
        <v>94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138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138</v>
      </c>
    </row>
    <row r="10" spans="1:39" x14ac:dyDescent="0.25">
      <c r="A10" s="3">
        <v>1</v>
      </c>
      <c r="B10" s="3" t="s">
        <v>94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155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155</v>
      </c>
    </row>
    <row r="11" spans="1:39" x14ac:dyDescent="0.25">
      <c r="A11" s="3">
        <v>1</v>
      </c>
      <c r="B11" s="3" t="s">
        <v>94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105</v>
      </c>
      <c r="O11" s="3"/>
      <c r="P11" s="3"/>
      <c r="Q11" s="3">
        <v>0.439</v>
      </c>
      <c r="R11" s="3" t="s">
        <v>106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105</v>
      </c>
    </row>
    <row r="12" spans="1:39" x14ac:dyDescent="0.25">
      <c r="A12" s="3">
        <v>1</v>
      </c>
      <c r="B12" s="3" t="s">
        <v>94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91.44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21</v>
      </c>
    </row>
    <row r="13" spans="1:39" x14ac:dyDescent="0.25">
      <c r="A13" s="3">
        <v>1</v>
      </c>
      <c r="B13" s="3" t="s">
        <v>94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123</v>
      </c>
      <c r="O13" s="3"/>
      <c r="P13" s="3"/>
      <c r="Q13" s="3">
        <v>23.367999999999999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123</v>
      </c>
    </row>
    <row r="14" spans="1:39" x14ac:dyDescent="0.25">
      <c r="A14" s="3">
        <v>1</v>
      </c>
      <c r="B14" s="3" t="s">
        <v>94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121</v>
      </c>
      <c r="O14" s="3"/>
      <c r="P14" s="3"/>
      <c r="Q14" s="3">
        <v>107.785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121</v>
      </c>
    </row>
    <row r="15" spans="1:39" x14ac:dyDescent="0.25">
      <c r="A15" s="3">
        <v>1</v>
      </c>
      <c r="B15" s="3" t="s">
        <v>94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120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120</v>
      </c>
    </row>
    <row r="16" spans="1:39" x14ac:dyDescent="0.25">
      <c r="A16" s="3">
        <v>1</v>
      </c>
      <c r="B16" s="3" t="s">
        <v>94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26</v>
      </c>
    </row>
    <row r="17" spans="1:39" x14ac:dyDescent="0.25">
      <c r="A17" s="3">
        <v>1</v>
      </c>
      <c r="B17" s="3" t="s">
        <v>94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27</v>
      </c>
    </row>
    <row r="18" spans="1:39" x14ac:dyDescent="0.25">
      <c r="A18" s="3">
        <v>1</v>
      </c>
      <c r="B18" s="3" t="s">
        <v>94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28</v>
      </c>
    </row>
    <row r="19" spans="1:39" x14ac:dyDescent="0.25">
      <c r="A19" s="3">
        <v>1</v>
      </c>
      <c r="B19" s="3" t="s">
        <v>94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109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109</v>
      </c>
    </row>
    <row r="20" spans="1:39" x14ac:dyDescent="0.25">
      <c r="A20" s="3">
        <v>1</v>
      </c>
      <c r="B20" s="3" t="s">
        <v>94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95</v>
      </c>
      <c r="M20" s="3">
        <v>160</v>
      </c>
      <c r="N20" s="3" t="s">
        <v>129</v>
      </c>
      <c r="O20" s="3"/>
      <c r="P20" s="3"/>
      <c r="Q20" s="3">
        <v>0.33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129</v>
      </c>
    </row>
    <row r="21" spans="1:39" x14ac:dyDescent="0.25">
      <c r="A21" s="3">
        <v>1</v>
      </c>
      <c r="B21" s="3" t="s">
        <v>94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95</v>
      </c>
      <c r="M21" s="3">
        <v>170</v>
      </c>
      <c r="N21" s="3" t="s">
        <v>145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145</v>
      </c>
    </row>
    <row r="22" spans="1:39" x14ac:dyDescent="0.25">
      <c r="A22" s="3">
        <v>1</v>
      </c>
      <c r="B22" s="3" t="s">
        <v>94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95</v>
      </c>
      <c r="M22" s="3">
        <v>180</v>
      </c>
      <c r="N22" s="3" t="s">
        <v>146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146</v>
      </c>
    </row>
    <row r="23" spans="1:39" x14ac:dyDescent="0.25">
      <c r="A23" s="3">
        <v>2</v>
      </c>
      <c r="B23" s="3" t="s">
        <v>94</v>
      </c>
      <c r="C23" s="3" t="s">
        <v>130</v>
      </c>
      <c r="D23" s="3"/>
      <c r="E23" s="3" t="s">
        <v>130</v>
      </c>
      <c r="F23" s="3"/>
      <c r="G23" s="3"/>
      <c r="H23" s="3"/>
      <c r="I23" s="3"/>
      <c r="J23" s="3"/>
      <c r="K23" s="3"/>
      <c r="L23" s="3" t="s">
        <v>95</v>
      </c>
      <c r="M23" s="3">
        <v>10</v>
      </c>
      <c r="N23" s="3" t="s">
        <v>117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117</v>
      </c>
    </row>
    <row r="24" spans="1:39" x14ac:dyDescent="0.25">
      <c r="A24" s="3">
        <v>2</v>
      </c>
      <c r="B24" s="3" t="s">
        <v>94</v>
      </c>
      <c r="C24" s="3" t="s">
        <v>130</v>
      </c>
      <c r="D24" s="3"/>
      <c r="E24" s="3" t="s">
        <v>130</v>
      </c>
      <c r="F24" s="3"/>
      <c r="G24" s="3"/>
      <c r="H24" s="3"/>
      <c r="I24" s="3"/>
      <c r="J24" s="3"/>
      <c r="K24" s="3"/>
      <c r="L24" s="3" t="s">
        <v>95</v>
      </c>
      <c r="M24" s="3">
        <v>20</v>
      </c>
      <c r="N24" s="3" t="s">
        <v>118</v>
      </c>
      <c r="O24" s="3"/>
      <c r="P24" s="3"/>
      <c r="Q24" s="3">
        <v>4.165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118</v>
      </c>
    </row>
    <row r="25" spans="1:39" x14ac:dyDescent="0.25">
      <c r="A25" s="3">
        <v>2</v>
      </c>
      <c r="B25" s="3" t="s">
        <v>94</v>
      </c>
      <c r="C25" s="3" t="s">
        <v>130</v>
      </c>
      <c r="D25" s="3"/>
      <c r="E25" s="3" t="s">
        <v>130</v>
      </c>
      <c r="F25" s="3"/>
      <c r="G25" s="3"/>
      <c r="H25" s="3"/>
      <c r="I25" s="3"/>
      <c r="J25" s="3"/>
      <c r="K25" s="3"/>
      <c r="L25" s="3" t="s">
        <v>95</v>
      </c>
      <c r="M25" s="3">
        <v>30</v>
      </c>
      <c r="N25" s="3" t="s">
        <v>162</v>
      </c>
      <c r="O25" s="3"/>
      <c r="P25" s="3"/>
      <c r="Q25" s="3">
        <v>1.5489999999999999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e">
        <v>#N/A</v>
      </c>
    </row>
    <row r="26" spans="1:39" x14ac:dyDescent="0.25">
      <c r="A26" s="3">
        <v>2</v>
      </c>
      <c r="B26" s="3" t="s">
        <v>94</v>
      </c>
      <c r="C26" s="3" t="s">
        <v>130</v>
      </c>
      <c r="D26" s="3"/>
      <c r="E26" s="3" t="s">
        <v>130</v>
      </c>
      <c r="F26" s="3"/>
      <c r="G26" s="3"/>
      <c r="H26" s="3"/>
      <c r="I26" s="3"/>
      <c r="J26" s="3"/>
      <c r="K26" s="3"/>
      <c r="L26" s="3" t="s">
        <v>95</v>
      </c>
      <c r="M26" s="3">
        <v>40</v>
      </c>
      <c r="N26" s="3" t="s">
        <v>122</v>
      </c>
      <c r="O26" s="3"/>
      <c r="P26" s="3"/>
      <c r="Q26" s="3">
        <v>1.5489999999999999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122</v>
      </c>
    </row>
    <row r="27" spans="1:39" x14ac:dyDescent="0.25">
      <c r="A27" s="3">
        <v>2</v>
      </c>
      <c r="B27" s="3" t="s">
        <v>94</v>
      </c>
      <c r="C27" s="3" t="s">
        <v>130</v>
      </c>
      <c r="D27" s="3"/>
      <c r="E27" s="3" t="s">
        <v>130</v>
      </c>
      <c r="F27" s="3"/>
      <c r="G27" s="3"/>
      <c r="H27" s="3"/>
      <c r="I27" s="3"/>
      <c r="J27" s="3"/>
      <c r="K27" s="3"/>
      <c r="L27" s="3" t="s">
        <v>95</v>
      </c>
      <c r="M27" s="3">
        <v>50</v>
      </c>
      <c r="N27" s="3" t="s">
        <v>139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139</v>
      </c>
    </row>
    <row r="28" spans="1:39" x14ac:dyDescent="0.25">
      <c r="A28" s="3">
        <v>2</v>
      </c>
      <c r="B28" s="3" t="s">
        <v>94</v>
      </c>
      <c r="C28" s="3" t="s">
        <v>130</v>
      </c>
      <c r="D28" s="3"/>
      <c r="E28" s="3" t="s">
        <v>130</v>
      </c>
      <c r="F28" s="3"/>
      <c r="G28" s="3"/>
      <c r="H28" s="3"/>
      <c r="I28" s="3"/>
      <c r="J28" s="3"/>
      <c r="K28" s="3"/>
      <c r="L28" s="3" t="s">
        <v>95</v>
      </c>
      <c r="M28" s="3">
        <v>60</v>
      </c>
      <c r="N28" s="3" t="s">
        <v>156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156</v>
      </c>
    </row>
    <row r="29" spans="1:39" x14ac:dyDescent="0.25">
      <c r="A29" s="3">
        <v>2</v>
      </c>
      <c r="B29" s="3" t="s">
        <v>94</v>
      </c>
      <c r="C29" s="3" t="s">
        <v>130</v>
      </c>
      <c r="D29" s="3"/>
      <c r="E29" s="3" t="s">
        <v>130</v>
      </c>
      <c r="F29" s="3"/>
      <c r="G29" s="3"/>
      <c r="H29" s="3"/>
      <c r="I29" s="3"/>
      <c r="J29" s="3"/>
      <c r="K29" s="3"/>
      <c r="L29" s="3" t="s">
        <v>95</v>
      </c>
      <c r="M29" s="3">
        <v>70</v>
      </c>
      <c r="N29" s="3" t="s">
        <v>105</v>
      </c>
      <c r="O29" s="3"/>
      <c r="P29" s="3"/>
      <c r="Q29" s="3">
        <v>0.81299999999999994</v>
      </c>
      <c r="R29" s="3" t="s">
        <v>106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105</v>
      </c>
    </row>
    <row r="30" spans="1:39" x14ac:dyDescent="0.25">
      <c r="A30" s="3">
        <v>2</v>
      </c>
      <c r="B30" s="3" t="s">
        <v>94</v>
      </c>
      <c r="C30" s="3" t="s">
        <v>130</v>
      </c>
      <c r="D30" s="3"/>
      <c r="E30" s="3" t="s">
        <v>130</v>
      </c>
      <c r="F30" s="3"/>
      <c r="G30" s="3"/>
      <c r="H30" s="3"/>
      <c r="I30" s="3"/>
      <c r="J30" s="3"/>
      <c r="K30" s="3"/>
      <c r="L30" s="3" t="s">
        <v>95</v>
      </c>
      <c r="M30" s="3">
        <v>80</v>
      </c>
      <c r="N30" s="3" t="s">
        <v>21</v>
      </c>
      <c r="O30" s="3"/>
      <c r="P30" s="3"/>
      <c r="Q30" s="3">
        <v>113.386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21</v>
      </c>
    </row>
    <row r="31" spans="1:39" x14ac:dyDescent="0.25">
      <c r="A31" s="3">
        <v>2</v>
      </c>
      <c r="B31" s="3" t="s">
        <v>94</v>
      </c>
      <c r="C31" s="3" t="s">
        <v>130</v>
      </c>
      <c r="D31" s="3"/>
      <c r="E31" s="3" t="s">
        <v>130</v>
      </c>
      <c r="F31" s="3"/>
      <c r="G31" s="3"/>
      <c r="H31" s="3"/>
      <c r="I31" s="3"/>
      <c r="J31" s="3"/>
      <c r="K31" s="3"/>
      <c r="L31" s="3" t="s">
        <v>95</v>
      </c>
      <c r="M31" s="3">
        <v>90</v>
      </c>
      <c r="N31" s="3" t="s">
        <v>123</v>
      </c>
      <c r="O31" s="3"/>
      <c r="P31" s="3"/>
      <c r="Q31" s="3">
        <v>28.853999999999999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123</v>
      </c>
    </row>
    <row r="32" spans="1:39" x14ac:dyDescent="0.25">
      <c r="A32" s="3">
        <v>2</v>
      </c>
      <c r="B32" s="3" t="s">
        <v>94</v>
      </c>
      <c r="C32" s="3" t="s">
        <v>130</v>
      </c>
      <c r="D32" s="3"/>
      <c r="E32" s="3" t="s">
        <v>130</v>
      </c>
      <c r="F32" s="3"/>
      <c r="G32" s="3"/>
      <c r="H32" s="3"/>
      <c r="I32" s="3"/>
      <c r="J32" s="3"/>
      <c r="K32" s="3"/>
      <c r="L32" s="3" t="s">
        <v>95</v>
      </c>
      <c r="M32" s="3">
        <v>100</v>
      </c>
      <c r="N32" s="3" t="s">
        <v>121</v>
      </c>
      <c r="O32" s="3"/>
      <c r="P32" s="3"/>
      <c r="Q32" s="3">
        <v>133.09100000000001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121</v>
      </c>
    </row>
    <row r="33" spans="1:39" x14ac:dyDescent="0.25">
      <c r="A33" s="3">
        <v>2</v>
      </c>
      <c r="B33" s="3" t="s">
        <v>94</v>
      </c>
      <c r="C33" s="3" t="s">
        <v>130</v>
      </c>
      <c r="D33" s="3"/>
      <c r="E33" s="3" t="s">
        <v>130</v>
      </c>
      <c r="F33" s="3"/>
      <c r="G33" s="3"/>
      <c r="H33" s="3"/>
      <c r="I33" s="3"/>
      <c r="J33" s="3"/>
      <c r="K33" s="3"/>
      <c r="L33" s="3" t="s">
        <v>95</v>
      </c>
      <c r="M33" s="3">
        <v>110</v>
      </c>
      <c r="N33" s="3" t="s">
        <v>120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120</v>
      </c>
    </row>
    <row r="34" spans="1:39" x14ac:dyDescent="0.25">
      <c r="A34" s="3">
        <v>2</v>
      </c>
      <c r="B34" s="3" t="s">
        <v>94</v>
      </c>
      <c r="C34" s="3" t="s">
        <v>130</v>
      </c>
      <c r="D34" s="3"/>
      <c r="E34" s="3" t="s">
        <v>130</v>
      </c>
      <c r="F34" s="3"/>
      <c r="G34" s="3"/>
      <c r="H34" s="3"/>
      <c r="I34" s="3"/>
      <c r="J34" s="3"/>
      <c r="K34" s="3"/>
      <c r="L34" s="3" t="s">
        <v>95</v>
      </c>
      <c r="M34" s="3">
        <v>120</v>
      </c>
      <c r="N34" s="3" t="s">
        <v>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26</v>
      </c>
    </row>
    <row r="35" spans="1:39" x14ac:dyDescent="0.25">
      <c r="A35" s="3">
        <v>2</v>
      </c>
      <c r="B35" s="3" t="s">
        <v>94</v>
      </c>
      <c r="C35" s="3" t="s">
        <v>130</v>
      </c>
      <c r="D35" s="3"/>
      <c r="E35" s="3" t="s">
        <v>130</v>
      </c>
      <c r="F35" s="3"/>
      <c r="G35" s="3"/>
      <c r="H35" s="3"/>
      <c r="I35" s="3"/>
      <c r="J35" s="3"/>
      <c r="K35" s="3"/>
      <c r="L35" s="3" t="s">
        <v>95</v>
      </c>
      <c r="M35" s="3">
        <v>130</v>
      </c>
      <c r="N35" s="3" t="s">
        <v>27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27</v>
      </c>
    </row>
    <row r="36" spans="1:39" x14ac:dyDescent="0.25">
      <c r="A36" s="3">
        <v>2</v>
      </c>
      <c r="B36" s="3" t="s">
        <v>94</v>
      </c>
      <c r="C36" s="3" t="s">
        <v>130</v>
      </c>
      <c r="D36" s="3"/>
      <c r="E36" s="3" t="s">
        <v>130</v>
      </c>
      <c r="F36" s="3"/>
      <c r="G36" s="3"/>
      <c r="H36" s="3"/>
      <c r="I36" s="3"/>
      <c r="J36" s="3"/>
      <c r="K36" s="3"/>
      <c r="L36" s="3" t="s">
        <v>95</v>
      </c>
      <c r="M36" s="3">
        <v>140</v>
      </c>
      <c r="N36" s="3" t="s">
        <v>28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28</v>
      </c>
    </row>
    <row r="37" spans="1:39" x14ac:dyDescent="0.25">
      <c r="A37" s="3">
        <v>2</v>
      </c>
      <c r="B37" s="3" t="s">
        <v>94</v>
      </c>
      <c r="C37" s="3" t="s">
        <v>130</v>
      </c>
      <c r="D37" s="3"/>
      <c r="E37" s="3" t="s">
        <v>130</v>
      </c>
      <c r="F37" s="3"/>
      <c r="G37" s="3"/>
      <c r="H37" s="3"/>
      <c r="I37" s="3"/>
      <c r="J37" s="3"/>
      <c r="K37" s="3"/>
      <c r="L37" s="3" t="s">
        <v>95</v>
      </c>
      <c r="M37" s="3">
        <v>150</v>
      </c>
      <c r="N37" s="3" t="s">
        <v>109</v>
      </c>
      <c r="O37" s="3"/>
      <c r="P37" s="3"/>
      <c r="Q37" s="3">
        <v>0.51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109</v>
      </c>
    </row>
    <row r="38" spans="1:39" x14ac:dyDescent="0.25">
      <c r="A38" s="3">
        <v>2</v>
      </c>
      <c r="B38" s="3" t="s">
        <v>94</v>
      </c>
      <c r="C38" s="3" t="s">
        <v>130</v>
      </c>
      <c r="D38" s="3"/>
      <c r="E38" s="3" t="s">
        <v>130</v>
      </c>
      <c r="F38" s="3"/>
      <c r="G38" s="3"/>
      <c r="H38" s="3"/>
      <c r="I38" s="3"/>
      <c r="J38" s="3"/>
      <c r="K38" s="3"/>
      <c r="L38" s="3" t="s">
        <v>95</v>
      </c>
      <c r="M38" s="3">
        <v>160</v>
      </c>
      <c r="N38" s="3" t="s">
        <v>111</v>
      </c>
      <c r="O38" s="3"/>
      <c r="P38" s="3"/>
      <c r="Q38" s="3">
        <v>0.51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111</v>
      </c>
    </row>
    <row r="39" spans="1:39" x14ac:dyDescent="0.25">
      <c r="A39" s="3">
        <v>2</v>
      </c>
      <c r="B39" s="3" t="s">
        <v>94</v>
      </c>
      <c r="C39" s="3" t="s">
        <v>130</v>
      </c>
      <c r="D39" s="3"/>
      <c r="E39" s="3" t="s">
        <v>130</v>
      </c>
      <c r="F39" s="3"/>
      <c r="G39" s="3"/>
      <c r="H39" s="3"/>
      <c r="I39" s="3"/>
      <c r="J39" s="3"/>
      <c r="K39" s="3"/>
      <c r="L39" s="3" t="s">
        <v>95</v>
      </c>
      <c r="M39" s="3">
        <v>170</v>
      </c>
      <c r="N39" s="3" t="s">
        <v>147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147</v>
      </c>
    </row>
    <row r="40" spans="1:39" x14ac:dyDescent="0.25">
      <c r="A40" s="3">
        <v>2</v>
      </c>
      <c r="B40" s="3" t="s">
        <v>94</v>
      </c>
      <c r="C40" s="3" t="s">
        <v>130</v>
      </c>
      <c r="D40" s="3"/>
      <c r="E40" s="3" t="s">
        <v>130</v>
      </c>
      <c r="F40" s="3"/>
      <c r="G40" s="3"/>
      <c r="H40" s="3"/>
      <c r="I40" s="3"/>
      <c r="J40" s="3"/>
      <c r="K40" s="3"/>
      <c r="L40" s="3" t="s">
        <v>95</v>
      </c>
      <c r="M40" s="3">
        <v>180</v>
      </c>
      <c r="N40" s="3" t="s">
        <v>148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148</v>
      </c>
    </row>
    <row r="41" spans="1:39" x14ac:dyDescent="0.25">
      <c r="A41" s="3">
        <v>3</v>
      </c>
      <c r="B41" s="3" t="s">
        <v>94</v>
      </c>
      <c r="C41" s="3" t="s">
        <v>131</v>
      </c>
      <c r="D41" s="3"/>
      <c r="E41" s="3" t="s">
        <v>131</v>
      </c>
      <c r="F41" s="3"/>
      <c r="G41" s="3"/>
      <c r="H41" s="3"/>
      <c r="I41" s="3"/>
      <c r="J41" s="3"/>
      <c r="K41" s="3"/>
      <c r="L41" s="3" t="s">
        <v>95</v>
      </c>
      <c r="M41" s="3">
        <v>10</v>
      </c>
      <c r="N41" s="3" t="s">
        <v>127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127</v>
      </c>
    </row>
    <row r="42" spans="1:39" x14ac:dyDescent="0.25">
      <c r="A42" s="3">
        <v>3</v>
      </c>
      <c r="B42" s="3" t="s">
        <v>94</v>
      </c>
      <c r="C42" s="3" t="s">
        <v>131</v>
      </c>
      <c r="D42" s="3"/>
      <c r="E42" s="3" t="s">
        <v>131</v>
      </c>
      <c r="F42" s="3"/>
      <c r="G42" s="3"/>
      <c r="H42" s="3"/>
      <c r="I42" s="3"/>
      <c r="J42" s="3"/>
      <c r="K42" s="3"/>
      <c r="L42" s="3" t="s">
        <v>95</v>
      </c>
      <c r="M42" s="3">
        <v>20</v>
      </c>
      <c r="N42" s="3" t="s">
        <v>128</v>
      </c>
      <c r="O42" s="3"/>
      <c r="P42" s="3"/>
      <c r="Q42" s="3">
        <v>2.3889999999999998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128</v>
      </c>
    </row>
    <row r="43" spans="1:39" x14ac:dyDescent="0.25">
      <c r="A43" s="3">
        <v>3</v>
      </c>
      <c r="B43" s="3" t="s">
        <v>94</v>
      </c>
      <c r="C43" s="3" t="s">
        <v>131</v>
      </c>
      <c r="D43" s="3"/>
      <c r="E43" s="3" t="s">
        <v>131</v>
      </c>
      <c r="F43" s="3"/>
      <c r="G43" s="3"/>
      <c r="H43" s="3"/>
      <c r="I43" s="3"/>
      <c r="J43" s="3"/>
      <c r="K43" s="3"/>
      <c r="L43" s="3" t="s">
        <v>95</v>
      </c>
      <c r="M43" s="3">
        <v>30</v>
      </c>
      <c r="N43" s="3" t="s">
        <v>163</v>
      </c>
      <c r="O43" s="3"/>
      <c r="P43" s="3"/>
      <c r="Q43" s="3">
        <v>0.94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e">
        <v>#N/A</v>
      </c>
    </row>
    <row r="44" spans="1:39" x14ac:dyDescent="0.25">
      <c r="A44" s="3">
        <v>3</v>
      </c>
      <c r="B44" s="3" t="s">
        <v>94</v>
      </c>
      <c r="C44" s="3" t="s">
        <v>131</v>
      </c>
      <c r="D44" s="3"/>
      <c r="E44" s="3" t="s">
        <v>131</v>
      </c>
      <c r="F44" s="3"/>
      <c r="G44" s="3"/>
      <c r="H44" s="3"/>
      <c r="I44" s="3"/>
      <c r="J44" s="3"/>
      <c r="K44" s="3"/>
      <c r="L44" s="3" t="s">
        <v>95</v>
      </c>
      <c r="M44" s="3">
        <v>40</v>
      </c>
      <c r="N44" s="3" t="s">
        <v>124</v>
      </c>
      <c r="O44" s="3"/>
      <c r="P44" s="3"/>
      <c r="Q44" s="3">
        <v>0.94</v>
      </c>
      <c r="R44" s="3" t="s">
        <v>17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124</v>
      </c>
    </row>
    <row r="45" spans="1:39" x14ac:dyDescent="0.25">
      <c r="A45" s="3">
        <v>3</v>
      </c>
      <c r="B45" s="3" t="s">
        <v>94</v>
      </c>
      <c r="C45" s="3" t="s">
        <v>131</v>
      </c>
      <c r="D45" s="3"/>
      <c r="E45" s="3" t="s">
        <v>131</v>
      </c>
      <c r="F45" s="3"/>
      <c r="G45" s="3"/>
      <c r="H45" s="3"/>
      <c r="I45" s="3"/>
      <c r="J45" s="3"/>
      <c r="K45" s="3"/>
      <c r="L45" s="3" t="s">
        <v>95</v>
      </c>
      <c r="M45" s="3">
        <v>50</v>
      </c>
      <c r="N45" s="3" t="s">
        <v>140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140</v>
      </c>
    </row>
    <row r="46" spans="1:39" x14ac:dyDescent="0.25">
      <c r="A46" s="3">
        <v>3</v>
      </c>
      <c r="B46" s="3" t="s">
        <v>94</v>
      </c>
      <c r="C46" s="3" t="s">
        <v>131</v>
      </c>
      <c r="D46" s="3"/>
      <c r="E46" s="3" t="s">
        <v>131</v>
      </c>
      <c r="F46" s="3"/>
      <c r="G46" s="3"/>
      <c r="H46" s="3"/>
      <c r="I46" s="3"/>
      <c r="J46" s="3"/>
      <c r="K46" s="3"/>
      <c r="L46" s="3" t="s">
        <v>95</v>
      </c>
      <c r="M46" s="3">
        <v>60</v>
      </c>
      <c r="N46" s="3" t="s">
        <v>157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157</v>
      </c>
    </row>
    <row r="47" spans="1:39" x14ac:dyDescent="0.25">
      <c r="A47" s="3">
        <v>3</v>
      </c>
      <c r="B47" s="3" t="s">
        <v>94</v>
      </c>
      <c r="C47" s="3" t="s">
        <v>131</v>
      </c>
      <c r="D47" s="3"/>
      <c r="E47" s="3" t="s">
        <v>131</v>
      </c>
      <c r="F47" s="3"/>
      <c r="G47" s="3"/>
      <c r="H47" s="3"/>
      <c r="I47" s="3"/>
      <c r="J47" s="3"/>
      <c r="K47" s="3"/>
      <c r="L47" s="3" t="s">
        <v>95</v>
      </c>
      <c r="M47" s="3">
        <v>70</v>
      </c>
      <c r="N47" s="3" t="s">
        <v>105</v>
      </c>
      <c r="O47" s="3"/>
      <c r="P47" s="3"/>
      <c r="Q47" s="3">
        <v>0.439</v>
      </c>
      <c r="R47" s="3" t="s">
        <v>106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105</v>
      </c>
    </row>
    <row r="48" spans="1:39" x14ac:dyDescent="0.25">
      <c r="A48" s="3">
        <v>3</v>
      </c>
      <c r="B48" s="3" t="s">
        <v>94</v>
      </c>
      <c r="C48" s="3" t="s">
        <v>131</v>
      </c>
      <c r="D48" s="3"/>
      <c r="E48" s="3" t="s">
        <v>131</v>
      </c>
      <c r="F48" s="3"/>
      <c r="G48" s="3"/>
      <c r="H48" s="3"/>
      <c r="I48" s="3"/>
      <c r="J48" s="3"/>
      <c r="K48" s="3"/>
      <c r="L48" s="3" t="s">
        <v>95</v>
      </c>
      <c r="M48" s="3">
        <v>80</v>
      </c>
      <c r="N48" s="3" t="s">
        <v>21</v>
      </c>
      <c r="O48" s="3"/>
      <c r="P48" s="3"/>
      <c r="Q48" s="3">
        <v>91.44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21</v>
      </c>
    </row>
    <row r="49" spans="1:39" x14ac:dyDescent="0.25">
      <c r="A49" s="3">
        <v>3</v>
      </c>
      <c r="B49" s="3" t="s">
        <v>94</v>
      </c>
      <c r="C49" s="3" t="s">
        <v>131</v>
      </c>
      <c r="D49" s="3"/>
      <c r="E49" s="3" t="s">
        <v>131</v>
      </c>
      <c r="F49" s="3"/>
      <c r="G49" s="3"/>
      <c r="H49" s="3"/>
      <c r="I49" s="3"/>
      <c r="J49" s="3"/>
      <c r="K49" s="3"/>
      <c r="L49" s="3" t="s">
        <v>95</v>
      </c>
      <c r="M49" s="3">
        <v>90</v>
      </c>
      <c r="N49" s="3" t="s">
        <v>102</v>
      </c>
      <c r="O49" s="3"/>
      <c r="P49" s="3"/>
      <c r="Q49" s="3">
        <v>23.367999999999999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102</v>
      </c>
    </row>
    <row r="50" spans="1:39" x14ac:dyDescent="0.25">
      <c r="A50" s="3">
        <v>3</v>
      </c>
      <c r="B50" s="3" t="s">
        <v>94</v>
      </c>
      <c r="C50" s="3" t="s">
        <v>131</v>
      </c>
      <c r="D50" s="3"/>
      <c r="E50" s="3" t="s">
        <v>131</v>
      </c>
      <c r="F50" s="3"/>
      <c r="G50" s="3"/>
      <c r="H50" s="3"/>
      <c r="I50" s="3"/>
      <c r="J50" s="3"/>
      <c r="K50" s="3"/>
      <c r="L50" s="3" t="s">
        <v>95</v>
      </c>
      <c r="M50" s="3">
        <v>100</v>
      </c>
      <c r="N50" s="3" t="s">
        <v>103</v>
      </c>
      <c r="O50" s="3"/>
      <c r="P50" s="3"/>
      <c r="Q50" s="3">
        <v>107.785</v>
      </c>
      <c r="R50" s="3" t="s">
        <v>17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103</v>
      </c>
    </row>
    <row r="51" spans="1:39" x14ac:dyDescent="0.25">
      <c r="A51" s="3">
        <v>3</v>
      </c>
      <c r="B51" s="3" t="s">
        <v>94</v>
      </c>
      <c r="C51" s="3" t="s">
        <v>131</v>
      </c>
      <c r="D51" s="3"/>
      <c r="E51" s="3" t="s">
        <v>131</v>
      </c>
      <c r="F51" s="3"/>
      <c r="G51" s="3"/>
      <c r="H51" s="3"/>
      <c r="I51" s="3"/>
      <c r="J51" s="3"/>
      <c r="K51" s="3"/>
      <c r="L51" s="3" t="s">
        <v>95</v>
      </c>
      <c r="M51" s="3">
        <v>110</v>
      </c>
      <c r="N51" s="3" t="s">
        <v>120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120</v>
      </c>
    </row>
    <row r="52" spans="1:39" x14ac:dyDescent="0.25">
      <c r="A52" s="3">
        <v>3</v>
      </c>
      <c r="B52" s="3" t="s">
        <v>94</v>
      </c>
      <c r="C52" s="3" t="s">
        <v>131</v>
      </c>
      <c r="D52" s="3"/>
      <c r="E52" s="3" t="s">
        <v>131</v>
      </c>
      <c r="F52" s="3"/>
      <c r="G52" s="3"/>
      <c r="H52" s="3"/>
      <c r="I52" s="3"/>
      <c r="J52" s="3"/>
      <c r="K52" s="3"/>
      <c r="L52" s="3" t="s">
        <v>95</v>
      </c>
      <c r="M52" s="3">
        <v>120</v>
      </c>
      <c r="N52" s="3" t="s">
        <v>26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26</v>
      </c>
    </row>
    <row r="53" spans="1:39" x14ac:dyDescent="0.25">
      <c r="A53" s="3">
        <v>3</v>
      </c>
      <c r="B53" s="3" t="s">
        <v>94</v>
      </c>
      <c r="C53" s="3" t="s">
        <v>131</v>
      </c>
      <c r="D53" s="3"/>
      <c r="E53" s="3" t="s">
        <v>131</v>
      </c>
      <c r="F53" s="3"/>
      <c r="G53" s="3"/>
      <c r="H53" s="3"/>
      <c r="I53" s="3"/>
      <c r="J53" s="3"/>
      <c r="K53" s="3"/>
      <c r="L53" s="3" t="s">
        <v>95</v>
      </c>
      <c r="M53" s="3">
        <v>130</v>
      </c>
      <c r="N53" s="3" t="s">
        <v>27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27</v>
      </c>
    </row>
    <row r="54" spans="1:39" x14ac:dyDescent="0.25">
      <c r="A54" s="3">
        <v>3</v>
      </c>
      <c r="B54" s="3" t="s">
        <v>94</v>
      </c>
      <c r="C54" s="3" t="s">
        <v>131</v>
      </c>
      <c r="D54" s="3"/>
      <c r="E54" s="3" t="s">
        <v>131</v>
      </c>
      <c r="F54" s="3"/>
      <c r="G54" s="3"/>
      <c r="H54" s="3"/>
      <c r="I54" s="3"/>
      <c r="J54" s="3"/>
      <c r="K54" s="3"/>
      <c r="L54" s="3" t="s">
        <v>95</v>
      </c>
      <c r="M54" s="3">
        <v>140</v>
      </c>
      <c r="N54" s="3" t="s">
        <v>28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28</v>
      </c>
    </row>
    <row r="55" spans="1:39" x14ac:dyDescent="0.25">
      <c r="A55" s="3">
        <v>3</v>
      </c>
      <c r="B55" s="3" t="s">
        <v>94</v>
      </c>
      <c r="C55" s="3" t="s">
        <v>131</v>
      </c>
      <c r="D55" s="3"/>
      <c r="E55" s="3" t="s">
        <v>131</v>
      </c>
      <c r="F55" s="3"/>
      <c r="G55" s="3"/>
      <c r="H55" s="3"/>
      <c r="I55" s="3"/>
      <c r="J55" s="3"/>
      <c r="K55" s="3"/>
      <c r="L55" s="3" t="s">
        <v>95</v>
      </c>
      <c r="M55" s="3">
        <v>150</v>
      </c>
      <c r="N55" s="3" t="s">
        <v>109</v>
      </c>
      <c r="O55" s="3"/>
      <c r="P55" s="3"/>
      <c r="Q55" s="3">
        <v>0.33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109</v>
      </c>
    </row>
    <row r="56" spans="1:39" x14ac:dyDescent="0.25">
      <c r="A56" s="3">
        <v>3</v>
      </c>
      <c r="B56" s="3" t="s">
        <v>94</v>
      </c>
      <c r="C56" s="3" t="s">
        <v>131</v>
      </c>
      <c r="D56" s="3"/>
      <c r="E56" s="3" t="s">
        <v>131</v>
      </c>
      <c r="F56" s="3"/>
      <c r="G56" s="3"/>
      <c r="H56" s="3"/>
      <c r="I56" s="3"/>
      <c r="J56" s="3"/>
      <c r="K56" s="3"/>
      <c r="L56" s="3" t="s">
        <v>95</v>
      </c>
      <c r="M56" s="3">
        <v>160</v>
      </c>
      <c r="N56" s="3" t="s">
        <v>129</v>
      </c>
      <c r="O56" s="3"/>
      <c r="P56" s="3"/>
      <c r="Q56" s="3">
        <v>0.33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129</v>
      </c>
    </row>
    <row r="57" spans="1:39" x14ac:dyDescent="0.25">
      <c r="A57" s="3">
        <v>3</v>
      </c>
      <c r="B57" s="3" t="s">
        <v>94</v>
      </c>
      <c r="C57" s="3" t="s">
        <v>131</v>
      </c>
      <c r="D57" s="3"/>
      <c r="E57" s="3" t="s">
        <v>131</v>
      </c>
      <c r="F57" s="3"/>
      <c r="G57" s="3"/>
      <c r="H57" s="3"/>
      <c r="I57" s="3"/>
      <c r="J57" s="3"/>
      <c r="K57" s="3"/>
      <c r="L57" s="3" t="s">
        <v>95</v>
      </c>
      <c r="M57" s="3">
        <v>170</v>
      </c>
      <c r="N57" s="3" t="s">
        <v>145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145</v>
      </c>
    </row>
    <row r="58" spans="1:39" x14ac:dyDescent="0.25">
      <c r="A58" s="3">
        <v>3</v>
      </c>
      <c r="B58" s="3" t="s">
        <v>94</v>
      </c>
      <c r="C58" s="3" t="s">
        <v>131</v>
      </c>
      <c r="D58" s="3"/>
      <c r="E58" s="3" t="s">
        <v>131</v>
      </c>
      <c r="F58" s="3"/>
      <c r="G58" s="3"/>
      <c r="H58" s="3"/>
      <c r="I58" s="3"/>
      <c r="J58" s="3"/>
      <c r="K58" s="3"/>
      <c r="L58" s="3" t="s">
        <v>95</v>
      </c>
      <c r="M58" s="3">
        <v>180</v>
      </c>
      <c r="N58" s="3" t="s">
        <v>146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146</v>
      </c>
    </row>
    <row r="59" spans="1:39" x14ac:dyDescent="0.25">
      <c r="A59" s="3">
        <v>4</v>
      </c>
      <c r="B59" s="3" t="s">
        <v>94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95</v>
      </c>
      <c r="M59" s="3">
        <v>10</v>
      </c>
      <c r="N59" s="3" t="s">
        <v>113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113</v>
      </c>
    </row>
    <row r="60" spans="1:39" x14ac:dyDescent="0.25">
      <c r="A60" s="3">
        <v>4</v>
      </c>
      <c r="B60" s="3" t="s">
        <v>94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95</v>
      </c>
      <c r="M60" s="3">
        <v>20</v>
      </c>
      <c r="N60" s="3" t="s">
        <v>114</v>
      </c>
      <c r="O60" s="3"/>
      <c r="P60" s="3"/>
      <c r="Q60" s="3">
        <v>4.0039999999999996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114</v>
      </c>
    </row>
    <row r="61" spans="1:39" x14ac:dyDescent="0.25">
      <c r="A61" s="3">
        <v>4</v>
      </c>
      <c r="B61" s="3" t="s">
        <v>94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95</v>
      </c>
      <c r="M61" s="3">
        <v>30</v>
      </c>
      <c r="N61" s="3" t="s">
        <v>163</v>
      </c>
      <c r="O61" s="3"/>
      <c r="P61" s="3"/>
      <c r="Q61" s="3">
        <v>1.5489999999999999</v>
      </c>
      <c r="R61" s="3" t="s">
        <v>17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e">
        <v>#N/A</v>
      </c>
    </row>
    <row r="62" spans="1:39" x14ac:dyDescent="0.25">
      <c r="A62" s="3">
        <v>4</v>
      </c>
      <c r="B62" s="3" t="s">
        <v>94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95</v>
      </c>
      <c r="M62" s="3">
        <v>40</v>
      </c>
      <c r="N62" s="3" t="s">
        <v>124</v>
      </c>
      <c r="O62" s="3"/>
      <c r="P62" s="3"/>
      <c r="Q62" s="3">
        <v>1.5489999999999999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124</v>
      </c>
    </row>
    <row r="63" spans="1:39" x14ac:dyDescent="0.25">
      <c r="A63" s="3">
        <v>4</v>
      </c>
      <c r="B63" s="3" t="s">
        <v>94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95</v>
      </c>
      <c r="M63" s="3">
        <v>50</v>
      </c>
      <c r="N63" s="3" t="s">
        <v>141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141</v>
      </c>
    </row>
    <row r="64" spans="1:39" x14ac:dyDescent="0.25">
      <c r="A64" s="3">
        <v>4</v>
      </c>
      <c r="B64" s="3" t="s">
        <v>94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95</v>
      </c>
      <c r="M64" s="3">
        <v>60</v>
      </c>
      <c r="N64" s="3" t="s">
        <v>158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158</v>
      </c>
    </row>
    <row r="65" spans="1:39" x14ac:dyDescent="0.25">
      <c r="A65" s="3">
        <v>4</v>
      </c>
      <c r="B65" s="3" t="s">
        <v>94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95</v>
      </c>
      <c r="M65" s="3">
        <v>70</v>
      </c>
      <c r="N65" s="3" t="s">
        <v>105</v>
      </c>
      <c r="O65" s="3"/>
      <c r="P65" s="3"/>
      <c r="Q65" s="3">
        <v>0.78</v>
      </c>
      <c r="R65" s="3" t="s">
        <v>106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105</v>
      </c>
    </row>
    <row r="66" spans="1:39" x14ac:dyDescent="0.25">
      <c r="A66" s="3">
        <v>4</v>
      </c>
      <c r="B66" s="3" t="s">
        <v>94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95</v>
      </c>
      <c r="M66" s="3">
        <v>80</v>
      </c>
      <c r="N66" s="3" t="s">
        <v>21</v>
      </c>
      <c r="O66" s="3"/>
      <c r="P66" s="3"/>
      <c r="Q66" s="3">
        <v>110.947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21</v>
      </c>
    </row>
    <row r="67" spans="1:39" x14ac:dyDescent="0.25">
      <c r="A67" s="3">
        <v>4</v>
      </c>
      <c r="B67" s="3" t="s">
        <v>94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95</v>
      </c>
      <c r="M67" s="3">
        <v>90</v>
      </c>
      <c r="N67" s="3" t="s">
        <v>102</v>
      </c>
      <c r="O67" s="3"/>
      <c r="P67" s="3"/>
      <c r="Q67" s="3">
        <v>28.245000000000001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102</v>
      </c>
    </row>
    <row r="68" spans="1:39" x14ac:dyDescent="0.25">
      <c r="A68" s="3">
        <v>4</v>
      </c>
      <c r="B68" s="3" t="s">
        <v>94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95</v>
      </c>
      <c r="M68" s="3">
        <v>100</v>
      </c>
      <c r="N68" s="3" t="s">
        <v>103</v>
      </c>
      <c r="O68" s="3"/>
      <c r="P68" s="3"/>
      <c r="Q68" s="3">
        <v>130.279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103</v>
      </c>
    </row>
    <row r="69" spans="1:39" x14ac:dyDescent="0.25">
      <c r="A69" s="3">
        <v>4</v>
      </c>
      <c r="B69" s="3" t="s">
        <v>94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95</v>
      </c>
      <c r="M69" s="3">
        <v>110</v>
      </c>
      <c r="N69" s="3" t="s">
        <v>120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120</v>
      </c>
    </row>
    <row r="70" spans="1:39" x14ac:dyDescent="0.25">
      <c r="A70" s="3">
        <v>4</v>
      </c>
      <c r="B70" s="3" t="s">
        <v>94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95</v>
      </c>
      <c r="M70" s="3">
        <v>120</v>
      </c>
      <c r="N70" s="3" t="s">
        <v>26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26</v>
      </c>
    </row>
    <row r="71" spans="1:39" x14ac:dyDescent="0.25">
      <c r="A71" s="3">
        <v>4</v>
      </c>
      <c r="B71" s="3" t="s">
        <v>94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95</v>
      </c>
      <c r="M71" s="3">
        <v>130</v>
      </c>
      <c r="N71" s="3" t="s">
        <v>27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27</v>
      </c>
    </row>
    <row r="72" spans="1:39" x14ac:dyDescent="0.25">
      <c r="A72" s="3">
        <v>4</v>
      </c>
      <c r="B72" s="3" t="s">
        <v>94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95</v>
      </c>
      <c r="M72" s="3">
        <v>140</v>
      </c>
      <c r="N72" s="3" t="s">
        <v>28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28</v>
      </c>
    </row>
    <row r="73" spans="1:39" x14ac:dyDescent="0.25">
      <c r="A73" s="3">
        <v>4</v>
      </c>
      <c r="B73" s="3" t="s">
        <v>94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95</v>
      </c>
      <c r="M73" s="3">
        <v>150</v>
      </c>
      <c r="N73" s="3" t="s">
        <v>109</v>
      </c>
      <c r="O73" s="3"/>
      <c r="P73" s="3"/>
      <c r="Q73" s="3">
        <v>0.51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109</v>
      </c>
    </row>
    <row r="74" spans="1:39" x14ac:dyDescent="0.25">
      <c r="A74" s="3">
        <v>4</v>
      </c>
      <c r="B74" s="3" t="s">
        <v>94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95</v>
      </c>
      <c r="M74" s="3">
        <v>160</v>
      </c>
      <c r="N74" s="3" t="s">
        <v>111</v>
      </c>
      <c r="O74" s="3"/>
      <c r="P74" s="3"/>
      <c r="Q74" s="3">
        <v>0.51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111</v>
      </c>
    </row>
    <row r="75" spans="1:39" x14ac:dyDescent="0.25">
      <c r="A75" s="3">
        <v>4</v>
      </c>
      <c r="B75" s="3" t="s">
        <v>94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95</v>
      </c>
      <c r="M75" s="3">
        <v>170</v>
      </c>
      <c r="N75" s="3" t="s">
        <v>149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149</v>
      </c>
    </row>
    <row r="76" spans="1:39" x14ac:dyDescent="0.25">
      <c r="A76" s="3">
        <v>4</v>
      </c>
      <c r="B76" s="3" t="s">
        <v>94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95</v>
      </c>
      <c r="M76" s="3">
        <v>180</v>
      </c>
      <c r="N76" s="3" t="s">
        <v>150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150</v>
      </c>
    </row>
    <row r="77" spans="1:39" x14ac:dyDescent="0.25">
      <c r="A77" s="3">
        <v>5</v>
      </c>
      <c r="B77" s="3" t="s">
        <v>94</v>
      </c>
      <c r="C77" s="3" t="s">
        <v>133</v>
      </c>
      <c r="D77" s="3"/>
      <c r="E77" s="3" t="s">
        <v>133</v>
      </c>
      <c r="F77" s="3"/>
      <c r="G77" s="3"/>
      <c r="H77" s="3"/>
      <c r="I77" s="3"/>
      <c r="J77" s="3"/>
      <c r="K77" s="3"/>
      <c r="L77" s="3" t="s">
        <v>95</v>
      </c>
      <c r="M77" s="3">
        <v>10</v>
      </c>
      <c r="N77" s="3" t="s">
        <v>115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115</v>
      </c>
    </row>
    <row r="78" spans="1:39" x14ac:dyDescent="0.25">
      <c r="A78" s="3">
        <v>5</v>
      </c>
      <c r="B78" s="3" t="s">
        <v>94</v>
      </c>
      <c r="C78" s="3" t="s">
        <v>133</v>
      </c>
      <c r="D78" s="3"/>
      <c r="E78" s="3" t="s">
        <v>133</v>
      </c>
      <c r="F78" s="3"/>
      <c r="G78" s="3"/>
      <c r="H78" s="3"/>
      <c r="I78" s="3"/>
      <c r="J78" s="3"/>
      <c r="K78" s="3"/>
      <c r="L78" s="3" t="s">
        <v>95</v>
      </c>
      <c r="M78" s="3">
        <v>20</v>
      </c>
      <c r="N78" s="3" t="s">
        <v>116</v>
      </c>
      <c r="O78" s="3"/>
      <c r="P78" s="3"/>
      <c r="Q78" s="3">
        <v>4.8109999999999999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116</v>
      </c>
    </row>
    <row r="79" spans="1:39" x14ac:dyDescent="0.25">
      <c r="A79" s="3">
        <v>5</v>
      </c>
      <c r="B79" s="3" t="s">
        <v>94</v>
      </c>
      <c r="C79" s="3" t="s">
        <v>133</v>
      </c>
      <c r="D79" s="3"/>
      <c r="E79" s="3" t="s">
        <v>133</v>
      </c>
      <c r="F79" s="3"/>
      <c r="G79" s="3"/>
      <c r="H79" s="3"/>
      <c r="I79" s="3"/>
      <c r="J79" s="3"/>
      <c r="K79" s="3"/>
      <c r="L79" s="3" t="s">
        <v>95</v>
      </c>
      <c r="M79" s="3">
        <v>30</v>
      </c>
      <c r="N79" s="3" t="s">
        <v>163</v>
      </c>
      <c r="O79" s="3"/>
      <c r="P79" s="3"/>
      <c r="Q79" s="3">
        <v>1.8540000000000001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e">
        <v>#N/A</v>
      </c>
    </row>
    <row r="80" spans="1:39" x14ac:dyDescent="0.25">
      <c r="A80" s="3">
        <v>5</v>
      </c>
      <c r="B80" s="3" t="s">
        <v>94</v>
      </c>
      <c r="C80" s="3" t="s">
        <v>133</v>
      </c>
      <c r="D80" s="3"/>
      <c r="E80" s="3" t="s">
        <v>133</v>
      </c>
      <c r="F80" s="3"/>
      <c r="G80" s="3"/>
      <c r="H80" s="3"/>
      <c r="I80" s="3"/>
      <c r="J80" s="3"/>
      <c r="K80" s="3"/>
      <c r="L80" s="3" t="s">
        <v>95</v>
      </c>
      <c r="M80" s="3">
        <v>40</v>
      </c>
      <c r="N80" s="3" t="s">
        <v>124</v>
      </c>
      <c r="O80" s="3"/>
      <c r="P80" s="3"/>
      <c r="Q80" s="3">
        <v>1.8540000000000001</v>
      </c>
      <c r="R80" s="3" t="s">
        <v>17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124</v>
      </c>
    </row>
    <row r="81" spans="1:39" x14ac:dyDescent="0.25">
      <c r="A81" s="3">
        <v>5</v>
      </c>
      <c r="B81" s="3" t="s">
        <v>94</v>
      </c>
      <c r="C81" s="3" t="s">
        <v>133</v>
      </c>
      <c r="D81" s="3"/>
      <c r="E81" s="3" t="s">
        <v>133</v>
      </c>
      <c r="F81" s="3"/>
      <c r="G81" s="3"/>
      <c r="H81" s="3"/>
      <c r="I81" s="3"/>
      <c r="J81" s="3"/>
      <c r="K81" s="3"/>
      <c r="L81" s="3" t="s">
        <v>95</v>
      </c>
      <c r="M81" s="3">
        <v>50</v>
      </c>
      <c r="N81" s="3" t="s">
        <v>142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142</v>
      </c>
    </row>
    <row r="82" spans="1:39" x14ac:dyDescent="0.25">
      <c r="A82" s="3">
        <v>5</v>
      </c>
      <c r="B82" s="3" t="s">
        <v>94</v>
      </c>
      <c r="C82" s="3" t="s">
        <v>133</v>
      </c>
      <c r="D82" s="3"/>
      <c r="E82" s="3" t="s">
        <v>133</v>
      </c>
      <c r="F82" s="3"/>
      <c r="G82" s="3"/>
      <c r="H82" s="3"/>
      <c r="I82" s="3"/>
      <c r="J82" s="3"/>
      <c r="K82" s="3"/>
      <c r="L82" s="3" t="s">
        <v>95</v>
      </c>
      <c r="M82" s="3">
        <v>60</v>
      </c>
      <c r="N82" s="3" t="s">
        <v>159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159</v>
      </c>
    </row>
    <row r="83" spans="1:39" x14ac:dyDescent="0.25">
      <c r="A83" s="3">
        <v>5</v>
      </c>
      <c r="B83" s="3" t="s">
        <v>94</v>
      </c>
      <c r="C83" s="3" t="s">
        <v>133</v>
      </c>
      <c r="D83" s="3"/>
      <c r="E83" s="3" t="s">
        <v>133</v>
      </c>
      <c r="F83" s="3"/>
      <c r="G83" s="3"/>
      <c r="H83" s="3"/>
      <c r="I83" s="3"/>
      <c r="J83" s="3"/>
      <c r="K83" s="3"/>
      <c r="L83" s="3" t="s">
        <v>95</v>
      </c>
      <c r="M83" s="3">
        <v>70</v>
      </c>
      <c r="N83" s="3" t="s">
        <v>105</v>
      </c>
      <c r="O83" s="3"/>
      <c r="P83" s="3"/>
      <c r="Q83" s="3">
        <v>0.95</v>
      </c>
      <c r="R83" s="3" t="s">
        <v>106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105</v>
      </c>
    </row>
    <row r="84" spans="1:39" x14ac:dyDescent="0.25">
      <c r="A84" s="3">
        <v>5</v>
      </c>
      <c r="B84" s="3" t="s">
        <v>94</v>
      </c>
      <c r="C84" s="3" t="s">
        <v>133</v>
      </c>
      <c r="D84" s="3"/>
      <c r="E84" s="3" t="s">
        <v>133</v>
      </c>
      <c r="F84" s="3"/>
      <c r="G84" s="3"/>
      <c r="H84" s="3"/>
      <c r="I84" s="3"/>
      <c r="J84" s="3"/>
      <c r="K84" s="3"/>
      <c r="L84" s="3" t="s">
        <v>95</v>
      </c>
      <c r="M84" s="3">
        <v>80</v>
      </c>
      <c r="N84" s="3" t="s">
        <v>21</v>
      </c>
      <c r="O84" s="3"/>
      <c r="P84" s="3"/>
      <c r="Q84" s="3">
        <v>120.70099999999999</v>
      </c>
      <c r="R84" s="3" t="s">
        <v>17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21</v>
      </c>
    </row>
    <row r="85" spans="1:39" x14ac:dyDescent="0.25">
      <c r="A85" s="3">
        <v>5</v>
      </c>
      <c r="B85" s="3" t="s">
        <v>94</v>
      </c>
      <c r="C85" s="3" t="s">
        <v>133</v>
      </c>
      <c r="D85" s="3"/>
      <c r="E85" s="3" t="s">
        <v>133</v>
      </c>
      <c r="F85" s="3"/>
      <c r="G85" s="3"/>
      <c r="H85" s="3"/>
      <c r="I85" s="3"/>
      <c r="J85" s="3"/>
      <c r="K85" s="3"/>
      <c r="L85" s="3" t="s">
        <v>95</v>
      </c>
      <c r="M85" s="3">
        <v>90</v>
      </c>
      <c r="N85" s="3" t="s">
        <v>102</v>
      </c>
      <c r="O85" s="3"/>
      <c r="P85" s="3"/>
      <c r="Q85" s="3">
        <v>30.683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102</v>
      </c>
    </row>
    <row r="86" spans="1:39" x14ac:dyDescent="0.25">
      <c r="A86" s="3">
        <v>5</v>
      </c>
      <c r="B86" s="3" t="s">
        <v>94</v>
      </c>
      <c r="C86" s="3" t="s">
        <v>133</v>
      </c>
      <c r="D86" s="3"/>
      <c r="E86" s="3" t="s">
        <v>133</v>
      </c>
      <c r="F86" s="3"/>
      <c r="G86" s="3"/>
      <c r="H86" s="3"/>
      <c r="I86" s="3"/>
      <c r="J86" s="3"/>
      <c r="K86" s="3"/>
      <c r="L86" s="3" t="s">
        <v>95</v>
      </c>
      <c r="M86" s="3">
        <v>100</v>
      </c>
      <c r="N86" s="3" t="s">
        <v>103</v>
      </c>
      <c r="O86" s="3"/>
      <c r="P86" s="3"/>
      <c r="Q86" s="3">
        <v>141.52600000000001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103</v>
      </c>
    </row>
    <row r="87" spans="1:39" x14ac:dyDescent="0.25">
      <c r="A87" s="3">
        <v>5</v>
      </c>
      <c r="B87" s="3" t="s">
        <v>94</v>
      </c>
      <c r="C87" s="3" t="s">
        <v>133</v>
      </c>
      <c r="D87" s="3"/>
      <c r="E87" s="3" t="s">
        <v>133</v>
      </c>
      <c r="F87" s="3"/>
      <c r="G87" s="3"/>
      <c r="H87" s="3"/>
      <c r="I87" s="3"/>
      <c r="J87" s="3"/>
      <c r="K87" s="3"/>
      <c r="L87" s="3" t="s">
        <v>95</v>
      </c>
      <c r="M87" s="3">
        <v>110</v>
      </c>
      <c r="N87" s="3" t="s">
        <v>120</v>
      </c>
      <c r="O87" s="3"/>
      <c r="P87" s="3"/>
      <c r="Q87" s="3">
        <v>4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120</v>
      </c>
    </row>
    <row r="88" spans="1:39" x14ac:dyDescent="0.25">
      <c r="A88" s="3">
        <v>5</v>
      </c>
      <c r="B88" s="3" t="s">
        <v>94</v>
      </c>
      <c r="C88" s="3" t="s">
        <v>133</v>
      </c>
      <c r="D88" s="3"/>
      <c r="E88" s="3" t="s">
        <v>133</v>
      </c>
      <c r="F88" s="3"/>
      <c r="G88" s="3"/>
      <c r="H88" s="3"/>
      <c r="I88" s="3"/>
      <c r="J88" s="3"/>
      <c r="K88" s="3"/>
      <c r="L88" s="3" t="s">
        <v>95</v>
      </c>
      <c r="M88" s="3">
        <v>120</v>
      </c>
      <c r="N88" s="3" t="s">
        <v>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26</v>
      </c>
    </row>
    <row r="89" spans="1:39" x14ac:dyDescent="0.25">
      <c r="A89" s="3">
        <v>5</v>
      </c>
      <c r="B89" s="3" t="s">
        <v>94</v>
      </c>
      <c r="C89" s="3" t="s">
        <v>133</v>
      </c>
      <c r="D89" s="3"/>
      <c r="E89" s="3" t="s">
        <v>133</v>
      </c>
      <c r="F89" s="3"/>
      <c r="G89" s="3"/>
      <c r="H89" s="3"/>
      <c r="I89" s="3"/>
      <c r="J89" s="3"/>
      <c r="K89" s="3"/>
      <c r="L89" s="3" t="s">
        <v>95</v>
      </c>
      <c r="M89" s="3">
        <v>130</v>
      </c>
      <c r="N89" s="3" t="s">
        <v>27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27</v>
      </c>
    </row>
    <row r="90" spans="1:39" x14ac:dyDescent="0.25">
      <c r="A90" s="3">
        <v>5</v>
      </c>
      <c r="B90" s="3" t="s">
        <v>94</v>
      </c>
      <c r="C90" s="3" t="s">
        <v>133</v>
      </c>
      <c r="D90" s="3"/>
      <c r="E90" s="3" t="s">
        <v>133</v>
      </c>
      <c r="F90" s="3"/>
      <c r="G90" s="3"/>
      <c r="H90" s="3"/>
      <c r="I90" s="3"/>
      <c r="J90" s="3"/>
      <c r="K90" s="3"/>
      <c r="L90" s="3" t="s">
        <v>95</v>
      </c>
      <c r="M90" s="3">
        <v>140</v>
      </c>
      <c r="N90" s="3" t="s">
        <v>28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28</v>
      </c>
    </row>
    <row r="91" spans="1:39" x14ac:dyDescent="0.25">
      <c r="A91" s="3">
        <v>5</v>
      </c>
      <c r="B91" s="3" t="s">
        <v>94</v>
      </c>
      <c r="C91" s="3" t="s">
        <v>133</v>
      </c>
      <c r="D91" s="3"/>
      <c r="E91" s="3" t="s">
        <v>133</v>
      </c>
      <c r="F91" s="3"/>
      <c r="G91" s="3"/>
      <c r="H91" s="3"/>
      <c r="I91" s="3"/>
      <c r="J91" s="3"/>
      <c r="K91" s="3"/>
      <c r="L91" s="3" t="s">
        <v>95</v>
      </c>
      <c r="M91" s="3">
        <v>150</v>
      </c>
      <c r="N91" s="3" t="s">
        <v>109</v>
      </c>
      <c r="O91" s="3"/>
      <c r="P91" s="3"/>
      <c r="Q91" s="3">
        <v>0.60099999999999998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109</v>
      </c>
    </row>
    <row r="92" spans="1:39" x14ac:dyDescent="0.25">
      <c r="A92" s="3">
        <v>5</v>
      </c>
      <c r="B92" s="3" t="s">
        <v>94</v>
      </c>
      <c r="C92" s="3" t="s">
        <v>133</v>
      </c>
      <c r="D92" s="3"/>
      <c r="E92" s="3" t="s">
        <v>133</v>
      </c>
      <c r="F92" s="3"/>
      <c r="G92" s="3"/>
      <c r="H92" s="3"/>
      <c r="I92" s="3"/>
      <c r="J92" s="3"/>
      <c r="K92" s="3"/>
      <c r="L92" s="3" t="s">
        <v>95</v>
      </c>
      <c r="M92" s="3">
        <v>160</v>
      </c>
      <c r="N92" s="3" t="s">
        <v>112</v>
      </c>
      <c r="O92" s="3"/>
      <c r="P92" s="3"/>
      <c r="Q92" s="3">
        <v>0.60099999999999998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112</v>
      </c>
    </row>
    <row r="93" spans="1:39" x14ac:dyDescent="0.25">
      <c r="A93" s="3">
        <v>5</v>
      </c>
      <c r="B93" s="3" t="s">
        <v>94</v>
      </c>
      <c r="C93" s="3" t="s">
        <v>133</v>
      </c>
      <c r="D93" s="3"/>
      <c r="E93" s="3" t="s">
        <v>133</v>
      </c>
      <c r="F93" s="3"/>
      <c r="G93" s="3"/>
      <c r="H93" s="3"/>
      <c r="I93" s="3"/>
      <c r="J93" s="3"/>
      <c r="K93" s="3"/>
      <c r="L93" s="3" t="s">
        <v>95</v>
      </c>
      <c r="M93" s="3">
        <v>170</v>
      </c>
      <c r="N93" s="3" t="s">
        <v>151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151</v>
      </c>
    </row>
    <row r="94" spans="1:39" x14ac:dyDescent="0.25">
      <c r="A94" s="3">
        <v>5</v>
      </c>
      <c r="B94" s="3" t="s">
        <v>94</v>
      </c>
      <c r="C94" s="3" t="s">
        <v>133</v>
      </c>
      <c r="D94" s="3"/>
      <c r="E94" s="3" t="s">
        <v>133</v>
      </c>
      <c r="F94" s="3"/>
      <c r="G94" s="3"/>
      <c r="H94" s="3"/>
      <c r="I94" s="3"/>
      <c r="J94" s="3"/>
      <c r="K94" s="3"/>
      <c r="L94" s="3" t="s">
        <v>95</v>
      </c>
      <c r="M94" s="3">
        <v>180</v>
      </c>
      <c r="N94" s="3" t="s">
        <v>152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152</v>
      </c>
    </row>
    <row r="95" spans="1:39" x14ac:dyDescent="0.25">
      <c r="A95" s="3">
        <v>6</v>
      </c>
      <c r="B95" s="3" t="s">
        <v>94</v>
      </c>
      <c r="C95" s="3" t="s">
        <v>134</v>
      </c>
      <c r="D95" s="3"/>
      <c r="E95" s="3" t="s">
        <v>134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117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117</v>
      </c>
    </row>
    <row r="96" spans="1:39" x14ac:dyDescent="0.25">
      <c r="A96" s="3">
        <v>6</v>
      </c>
      <c r="B96" s="3" t="s">
        <v>94</v>
      </c>
      <c r="C96" s="3" t="s">
        <v>134</v>
      </c>
      <c r="D96" s="3"/>
      <c r="E96" s="3" t="s">
        <v>134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118</v>
      </c>
      <c r="O96" s="3"/>
      <c r="P96" s="3"/>
      <c r="Q96" s="3">
        <v>4.165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118</v>
      </c>
    </row>
    <row r="97" spans="1:39" x14ac:dyDescent="0.25">
      <c r="A97" s="3">
        <v>6</v>
      </c>
      <c r="B97" s="3" t="s">
        <v>94</v>
      </c>
      <c r="C97" s="3" t="s">
        <v>134</v>
      </c>
      <c r="D97" s="3"/>
      <c r="E97" s="3" t="s">
        <v>134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163</v>
      </c>
      <c r="O97" s="3"/>
      <c r="P97" s="3"/>
      <c r="Q97" s="3">
        <v>1.5489999999999999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e">
        <v>#N/A</v>
      </c>
    </row>
    <row r="98" spans="1:39" x14ac:dyDescent="0.25">
      <c r="A98" s="3">
        <v>6</v>
      </c>
      <c r="B98" s="3" t="s">
        <v>94</v>
      </c>
      <c r="C98" s="3" t="s">
        <v>134</v>
      </c>
      <c r="D98" s="3"/>
      <c r="E98" s="3" t="s">
        <v>134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124</v>
      </c>
      <c r="O98" s="3"/>
      <c r="P98" s="3"/>
      <c r="Q98" s="3">
        <v>1.5489999999999999</v>
      </c>
      <c r="R98" s="3" t="s">
        <v>17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124</v>
      </c>
    </row>
    <row r="99" spans="1:39" x14ac:dyDescent="0.25">
      <c r="A99" s="3">
        <v>6</v>
      </c>
      <c r="B99" s="3" t="s">
        <v>94</v>
      </c>
      <c r="C99" s="3" t="s">
        <v>134</v>
      </c>
      <c r="D99" s="3"/>
      <c r="E99" s="3" t="s">
        <v>134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143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143</v>
      </c>
    </row>
    <row r="100" spans="1:39" x14ac:dyDescent="0.25">
      <c r="A100" s="3">
        <v>6</v>
      </c>
      <c r="B100" s="3" t="s">
        <v>94</v>
      </c>
      <c r="C100" s="3" t="s">
        <v>134</v>
      </c>
      <c r="D100" s="3"/>
      <c r="E100" s="3" t="s">
        <v>134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160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160</v>
      </c>
    </row>
    <row r="101" spans="1:39" x14ac:dyDescent="0.25">
      <c r="A101" s="3">
        <v>6</v>
      </c>
      <c r="B101" s="3" t="s">
        <v>94</v>
      </c>
      <c r="C101" s="3" t="s">
        <v>134</v>
      </c>
      <c r="D101" s="3"/>
      <c r="E101" s="3" t="s">
        <v>134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105</v>
      </c>
      <c r="O101" s="3"/>
      <c r="P101" s="3"/>
      <c r="Q101" s="3">
        <v>0.81299999999999994</v>
      </c>
      <c r="R101" s="3" t="s">
        <v>106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105</v>
      </c>
    </row>
    <row r="102" spans="1:39" x14ac:dyDescent="0.25">
      <c r="A102" s="3">
        <v>6</v>
      </c>
      <c r="B102" s="3" t="s">
        <v>94</v>
      </c>
      <c r="C102" s="3" t="s">
        <v>134</v>
      </c>
      <c r="D102" s="3"/>
      <c r="E102" s="3" t="s">
        <v>134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21</v>
      </c>
      <c r="O102" s="3"/>
      <c r="P102" s="3"/>
      <c r="Q102" s="3">
        <v>113.386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21</v>
      </c>
    </row>
    <row r="103" spans="1:39" x14ac:dyDescent="0.25">
      <c r="A103" s="3">
        <v>6</v>
      </c>
      <c r="B103" s="3" t="s">
        <v>94</v>
      </c>
      <c r="C103" s="3" t="s">
        <v>134</v>
      </c>
      <c r="D103" s="3"/>
      <c r="E103" s="3" t="s">
        <v>134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102</v>
      </c>
      <c r="O103" s="3"/>
      <c r="P103" s="3"/>
      <c r="Q103" s="3">
        <v>28.853999999999999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102</v>
      </c>
    </row>
    <row r="104" spans="1:39" x14ac:dyDescent="0.25">
      <c r="A104" s="3">
        <v>6</v>
      </c>
      <c r="B104" s="3" t="s">
        <v>94</v>
      </c>
      <c r="C104" s="3" t="s">
        <v>134</v>
      </c>
      <c r="D104" s="3"/>
      <c r="E104" s="3" t="s">
        <v>134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103</v>
      </c>
      <c r="O104" s="3"/>
      <c r="P104" s="3"/>
      <c r="Q104" s="3">
        <v>133.09100000000001</v>
      </c>
      <c r="R104" s="3" t="s">
        <v>17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103</v>
      </c>
    </row>
    <row r="105" spans="1:39" x14ac:dyDescent="0.25">
      <c r="A105" s="3">
        <v>6</v>
      </c>
      <c r="B105" s="3" t="s">
        <v>94</v>
      </c>
      <c r="C105" s="3" t="s">
        <v>134</v>
      </c>
      <c r="D105" s="3"/>
      <c r="E105" s="3" t="s">
        <v>134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120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120</v>
      </c>
    </row>
    <row r="106" spans="1:39" x14ac:dyDescent="0.25">
      <c r="A106" s="3">
        <v>6</v>
      </c>
      <c r="B106" s="3" t="s">
        <v>94</v>
      </c>
      <c r="C106" s="3" t="s">
        <v>134</v>
      </c>
      <c r="D106" s="3"/>
      <c r="E106" s="3" t="s">
        <v>134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26</v>
      </c>
    </row>
    <row r="107" spans="1:39" x14ac:dyDescent="0.25">
      <c r="A107" s="3">
        <v>6</v>
      </c>
      <c r="B107" s="3" t="s">
        <v>94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27</v>
      </c>
    </row>
    <row r="108" spans="1:39" x14ac:dyDescent="0.25">
      <c r="A108" s="3">
        <v>6</v>
      </c>
      <c r="B108" s="3" t="s">
        <v>94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28</v>
      </c>
    </row>
    <row r="109" spans="1:39" x14ac:dyDescent="0.25">
      <c r="A109" s="3">
        <v>6</v>
      </c>
      <c r="B109" s="3" t="s">
        <v>94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109</v>
      </c>
      <c r="O109" s="3"/>
      <c r="P109" s="3"/>
      <c r="Q109" s="3">
        <v>0.51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109</v>
      </c>
    </row>
    <row r="110" spans="1:39" x14ac:dyDescent="0.25">
      <c r="A110" s="3">
        <v>6</v>
      </c>
      <c r="B110" s="3" t="s">
        <v>94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95</v>
      </c>
      <c r="M110" s="3">
        <v>160</v>
      </c>
      <c r="N110" s="3" t="s">
        <v>111</v>
      </c>
      <c r="O110" s="3"/>
      <c r="P110" s="3"/>
      <c r="Q110" s="3">
        <v>0.51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111</v>
      </c>
    </row>
    <row r="111" spans="1:39" x14ac:dyDescent="0.25">
      <c r="A111" s="3">
        <v>6</v>
      </c>
      <c r="B111" s="3" t="s">
        <v>94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95</v>
      </c>
      <c r="M111" s="3">
        <v>170</v>
      </c>
      <c r="N111" s="3" t="s">
        <v>147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147</v>
      </c>
    </row>
    <row r="112" spans="1:39" x14ac:dyDescent="0.25">
      <c r="A112" s="3">
        <v>6</v>
      </c>
      <c r="B112" s="3" t="s">
        <v>94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95</v>
      </c>
      <c r="M112" s="3">
        <v>180</v>
      </c>
      <c r="N112" s="3" t="s">
        <v>148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148</v>
      </c>
    </row>
    <row r="113" spans="1:39" x14ac:dyDescent="0.25">
      <c r="A113" s="3">
        <v>7</v>
      </c>
      <c r="B113" s="3" t="s">
        <v>94</v>
      </c>
      <c r="C113" s="3" t="s">
        <v>135</v>
      </c>
      <c r="D113" s="3"/>
      <c r="E113" s="3" t="s">
        <v>135</v>
      </c>
      <c r="F113" s="3"/>
      <c r="G113" s="3"/>
      <c r="H113" s="3"/>
      <c r="I113" s="3"/>
      <c r="J113" s="3"/>
      <c r="K113" s="3"/>
      <c r="L113" s="3" t="s">
        <v>95</v>
      </c>
      <c r="M113" s="3">
        <v>10</v>
      </c>
      <c r="N113" s="3" t="s">
        <v>136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136</v>
      </c>
    </row>
    <row r="114" spans="1:39" x14ac:dyDescent="0.25">
      <c r="A114" s="3">
        <v>7</v>
      </c>
      <c r="B114" s="3" t="s">
        <v>94</v>
      </c>
      <c r="C114" s="3" t="s">
        <v>135</v>
      </c>
      <c r="D114" s="3"/>
      <c r="E114" s="3" t="s">
        <v>135</v>
      </c>
      <c r="F114" s="3"/>
      <c r="G114" s="3"/>
      <c r="H114" s="3"/>
      <c r="I114" s="3"/>
      <c r="J114" s="3"/>
      <c r="K114" s="3"/>
      <c r="L114" s="3" t="s">
        <v>95</v>
      </c>
      <c r="M114" s="3">
        <v>20</v>
      </c>
      <c r="N114" s="3" t="s">
        <v>137</v>
      </c>
      <c r="O114" s="3"/>
      <c r="P114" s="3"/>
      <c r="Q114" s="3">
        <v>5.0049999999999999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137</v>
      </c>
    </row>
    <row r="115" spans="1:39" x14ac:dyDescent="0.25">
      <c r="A115" s="3">
        <v>7</v>
      </c>
      <c r="B115" s="3" t="s">
        <v>94</v>
      </c>
      <c r="C115" s="3" t="s">
        <v>135</v>
      </c>
      <c r="D115" s="3"/>
      <c r="E115" s="3" t="s">
        <v>135</v>
      </c>
      <c r="F115" s="3"/>
      <c r="G115" s="3"/>
      <c r="H115" s="3"/>
      <c r="I115" s="3"/>
      <c r="J115" s="3"/>
      <c r="K115" s="3"/>
      <c r="L115" s="3" t="s">
        <v>95</v>
      </c>
      <c r="M115" s="3">
        <v>30</v>
      </c>
      <c r="N115" s="3" t="s">
        <v>163</v>
      </c>
      <c r="O115" s="3"/>
      <c r="P115" s="3"/>
      <c r="Q115" s="3">
        <v>1.8540000000000001</v>
      </c>
      <c r="R115" s="3" t="s">
        <v>17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e">
        <v>#N/A</v>
      </c>
    </row>
    <row r="116" spans="1:39" x14ac:dyDescent="0.25">
      <c r="A116" s="3">
        <v>7</v>
      </c>
      <c r="B116" s="3" t="s">
        <v>94</v>
      </c>
      <c r="C116" s="3" t="s">
        <v>135</v>
      </c>
      <c r="D116" s="3"/>
      <c r="E116" s="3" t="s">
        <v>135</v>
      </c>
      <c r="F116" s="3"/>
      <c r="G116" s="3"/>
      <c r="H116" s="3"/>
      <c r="I116" s="3"/>
      <c r="J116" s="3"/>
      <c r="K116" s="3"/>
      <c r="L116" s="3" t="s">
        <v>95</v>
      </c>
      <c r="M116" s="3">
        <v>40</v>
      </c>
      <c r="N116" s="3" t="s">
        <v>124</v>
      </c>
      <c r="O116" s="3"/>
      <c r="P116" s="3"/>
      <c r="Q116" s="3">
        <v>1.8540000000000001</v>
      </c>
      <c r="R116" s="3" t="s">
        <v>17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124</v>
      </c>
    </row>
    <row r="117" spans="1:39" x14ac:dyDescent="0.25">
      <c r="A117" s="3">
        <v>7</v>
      </c>
      <c r="B117" s="3" t="s">
        <v>94</v>
      </c>
      <c r="C117" s="3" t="s">
        <v>135</v>
      </c>
      <c r="D117" s="3"/>
      <c r="E117" s="3" t="s">
        <v>135</v>
      </c>
      <c r="F117" s="3"/>
      <c r="G117" s="3"/>
      <c r="H117" s="3"/>
      <c r="I117" s="3"/>
      <c r="J117" s="3"/>
      <c r="K117" s="3"/>
      <c r="L117" s="3" t="s">
        <v>95</v>
      </c>
      <c r="M117" s="3">
        <v>50</v>
      </c>
      <c r="N117" s="3" t="s">
        <v>144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144</v>
      </c>
    </row>
    <row r="118" spans="1:39" x14ac:dyDescent="0.25">
      <c r="A118" s="3">
        <v>7</v>
      </c>
      <c r="B118" s="3" t="s">
        <v>94</v>
      </c>
      <c r="C118" s="3" t="s">
        <v>135</v>
      </c>
      <c r="D118" s="3"/>
      <c r="E118" s="3" t="s">
        <v>135</v>
      </c>
      <c r="F118" s="3"/>
      <c r="G118" s="3"/>
      <c r="H118" s="3"/>
      <c r="I118" s="3"/>
      <c r="J118" s="3"/>
      <c r="K118" s="3"/>
      <c r="L118" s="3" t="s">
        <v>95</v>
      </c>
      <c r="M118" s="3">
        <v>60</v>
      </c>
      <c r="N118" s="3" t="s">
        <v>161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161</v>
      </c>
    </row>
    <row r="119" spans="1:39" x14ac:dyDescent="0.25">
      <c r="A119" s="3">
        <v>7</v>
      </c>
      <c r="B119" s="3" t="s">
        <v>94</v>
      </c>
      <c r="C119" s="3" t="s">
        <v>135</v>
      </c>
      <c r="D119" s="3"/>
      <c r="E119" s="3" t="s">
        <v>135</v>
      </c>
      <c r="F119" s="3"/>
      <c r="G119" s="3"/>
      <c r="H119" s="3"/>
      <c r="I119" s="3"/>
      <c r="J119" s="3"/>
      <c r="K119" s="3"/>
      <c r="L119" s="3" t="s">
        <v>95</v>
      </c>
      <c r="M119" s="3">
        <v>70</v>
      </c>
      <c r="N119" s="3" t="s">
        <v>105</v>
      </c>
      <c r="O119" s="3"/>
      <c r="P119" s="3"/>
      <c r="Q119" s="3">
        <v>0.99</v>
      </c>
      <c r="R119" s="3" t="s">
        <v>106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105</v>
      </c>
    </row>
    <row r="120" spans="1:39" x14ac:dyDescent="0.25">
      <c r="A120" s="3">
        <v>7</v>
      </c>
      <c r="B120" s="3" t="s">
        <v>94</v>
      </c>
      <c r="C120" s="3" t="s">
        <v>135</v>
      </c>
      <c r="D120" s="3"/>
      <c r="E120" s="3" t="s">
        <v>135</v>
      </c>
      <c r="F120" s="3"/>
      <c r="G120" s="3"/>
      <c r="H120" s="3"/>
      <c r="I120" s="3"/>
      <c r="J120" s="3"/>
      <c r="K120" s="3"/>
      <c r="L120" s="3" t="s">
        <v>95</v>
      </c>
      <c r="M120" s="3">
        <v>80</v>
      </c>
      <c r="N120" s="3" t="s">
        <v>21</v>
      </c>
      <c r="O120" s="3"/>
      <c r="P120" s="3"/>
      <c r="Q120" s="3">
        <v>123.139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21</v>
      </c>
    </row>
    <row r="121" spans="1:39" x14ac:dyDescent="0.25">
      <c r="A121" s="3">
        <v>7</v>
      </c>
      <c r="B121" s="3" t="s">
        <v>94</v>
      </c>
      <c r="C121" s="3" t="s">
        <v>135</v>
      </c>
      <c r="D121" s="3"/>
      <c r="E121" s="3" t="s">
        <v>135</v>
      </c>
      <c r="F121" s="3"/>
      <c r="G121" s="3"/>
      <c r="H121" s="3"/>
      <c r="I121" s="3"/>
      <c r="J121" s="3"/>
      <c r="K121" s="3"/>
      <c r="L121" s="3" t="s">
        <v>95</v>
      </c>
      <c r="M121" s="3">
        <v>90</v>
      </c>
      <c r="N121" s="3" t="s">
        <v>102</v>
      </c>
      <c r="O121" s="3"/>
      <c r="P121" s="3"/>
      <c r="Q121" s="3">
        <v>31.292999999999999</v>
      </c>
      <c r="R121" s="3" t="s">
        <v>17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102</v>
      </c>
    </row>
    <row r="122" spans="1:39" x14ac:dyDescent="0.25">
      <c r="A122" s="3">
        <v>7</v>
      </c>
      <c r="B122" s="3" t="s">
        <v>94</v>
      </c>
      <c r="C122" s="3" t="s">
        <v>135</v>
      </c>
      <c r="D122" s="3"/>
      <c r="E122" s="3" t="s">
        <v>135</v>
      </c>
      <c r="F122" s="3"/>
      <c r="G122" s="3"/>
      <c r="H122" s="3"/>
      <c r="I122" s="3"/>
      <c r="J122" s="3"/>
      <c r="K122" s="3"/>
      <c r="L122" s="3" t="s">
        <v>95</v>
      </c>
      <c r="M122" s="3">
        <v>100</v>
      </c>
      <c r="N122" s="3" t="s">
        <v>103</v>
      </c>
      <c r="O122" s="3"/>
      <c r="P122" s="3"/>
      <c r="Q122" s="3">
        <v>144.33799999999999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103</v>
      </c>
    </row>
    <row r="123" spans="1:39" x14ac:dyDescent="0.25">
      <c r="A123" s="3">
        <v>7</v>
      </c>
      <c r="B123" s="3" t="s">
        <v>94</v>
      </c>
      <c r="C123" s="3" t="s">
        <v>135</v>
      </c>
      <c r="D123" s="3"/>
      <c r="E123" s="3" t="s">
        <v>135</v>
      </c>
      <c r="F123" s="3"/>
      <c r="G123" s="3"/>
      <c r="H123" s="3"/>
      <c r="I123" s="3"/>
      <c r="J123" s="3"/>
      <c r="K123" s="3"/>
      <c r="L123" s="3" t="s">
        <v>95</v>
      </c>
      <c r="M123" s="3">
        <v>110</v>
      </c>
      <c r="N123" s="3" t="s">
        <v>120</v>
      </c>
      <c r="O123" s="3"/>
      <c r="P123" s="3"/>
      <c r="Q123" s="3">
        <v>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120</v>
      </c>
    </row>
    <row r="124" spans="1:39" x14ac:dyDescent="0.25">
      <c r="A124" s="3">
        <v>7</v>
      </c>
      <c r="B124" s="3" t="s">
        <v>94</v>
      </c>
      <c r="C124" s="3" t="s">
        <v>135</v>
      </c>
      <c r="D124" s="3"/>
      <c r="E124" s="3" t="s">
        <v>135</v>
      </c>
      <c r="F124" s="3"/>
      <c r="G124" s="3"/>
      <c r="H124" s="3"/>
      <c r="I124" s="3"/>
      <c r="J124" s="3"/>
      <c r="K124" s="3"/>
      <c r="L124" s="3" t="s">
        <v>95</v>
      </c>
      <c r="M124" s="3">
        <v>120</v>
      </c>
      <c r="N124" s="3" t="s">
        <v>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26</v>
      </c>
    </row>
    <row r="125" spans="1:39" x14ac:dyDescent="0.25">
      <c r="A125" s="3">
        <v>7</v>
      </c>
      <c r="B125" s="3" t="s">
        <v>94</v>
      </c>
      <c r="C125" s="3" t="s">
        <v>135</v>
      </c>
      <c r="D125" s="3"/>
      <c r="E125" s="3" t="s">
        <v>135</v>
      </c>
      <c r="F125" s="3"/>
      <c r="G125" s="3"/>
      <c r="H125" s="3"/>
      <c r="I125" s="3"/>
      <c r="J125" s="3"/>
      <c r="K125" s="3"/>
      <c r="L125" s="3" t="s">
        <v>95</v>
      </c>
      <c r="M125" s="3">
        <v>130</v>
      </c>
      <c r="N125" s="3" t="s">
        <v>27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27</v>
      </c>
    </row>
    <row r="126" spans="1:39" x14ac:dyDescent="0.25">
      <c r="A126" s="3">
        <v>7</v>
      </c>
      <c r="B126" s="3" t="s">
        <v>94</v>
      </c>
      <c r="C126" s="3" t="s">
        <v>135</v>
      </c>
      <c r="D126" s="3"/>
      <c r="E126" s="3" t="s">
        <v>135</v>
      </c>
      <c r="F126" s="3"/>
      <c r="G126" s="3"/>
      <c r="H126" s="3"/>
      <c r="I126" s="3"/>
      <c r="J126" s="3"/>
      <c r="K126" s="3"/>
      <c r="L126" s="3" t="s">
        <v>95</v>
      </c>
      <c r="M126" s="3">
        <v>140</v>
      </c>
      <c r="N126" s="3" t="s">
        <v>28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28</v>
      </c>
    </row>
    <row r="127" spans="1:39" x14ac:dyDescent="0.25">
      <c r="A127" s="3">
        <v>7</v>
      </c>
      <c r="B127" s="3" t="s">
        <v>94</v>
      </c>
      <c r="C127" s="3" t="s">
        <v>135</v>
      </c>
      <c r="D127" s="3"/>
      <c r="E127" s="3" t="s">
        <v>135</v>
      </c>
      <c r="F127" s="3"/>
      <c r="G127" s="3"/>
      <c r="H127" s="3"/>
      <c r="I127" s="3"/>
      <c r="J127" s="3"/>
      <c r="K127" s="3"/>
      <c r="L127" s="3" t="s">
        <v>95</v>
      </c>
      <c r="M127" s="3">
        <v>150</v>
      </c>
      <c r="N127" s="3" t="s">
        <v>109</v>
      </c>
      <c r="O127" s="3"/>
      <c r="P127" s="3"/>
      <c r="Q127" s="3">
        <v>0.60099999999999998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109</v>
      </c>
    </row>
    <row r="128" spans="1:39" x14ac:dyDescent="0.25">
      <c r="A128" s="3">
        <v>7</v>
      </c>
      <c r="B128" s="3" t="s">
        <v>94</v>
      </c>
      <c r="C128" s="3" t="s">
        <v>135</v>
      </c>
      <c r="D128" s="3"/>
      <c r="E128" s="3" t="s">
        <v>135</v>
      </c>
      <c r="F128" s="3"/>
      <c r="G128" s="3"/>
      <c r="H128" s="3"/>
      <c r="I128" s="3"/>
      <c r="J128" s="3"/>
      <c r="K128" s="3"/>
      <c r="L128" s="3" t="s">
        <v>95</v>
      </c>
      <c r="M128" s="3">
        <v>160</v>
      </c>
      <c r="N128" s="3" t="s">
        <v>112</v>
      </c>
      <c r="O128" s="3"/>
      <c r="P128" s="3"/>
      <c r="Q128" s="3">
        <v>0.60099999999999998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112</v>
      </c>
    </row>
    <row r="129" spans="1:39" x14ac:dyDescent="0.25">
      <c r="A129" s="3">
        <v>7</v>
      </c>
      <c r="B129" s="3" t="s">
        <v>94</v>
      </c>
      <c r="C129" s="3" t="s">
        <v>135</v>
      </c>
      <c r="D129" s="3"/>
      <c r="E129" s="3" t="s">
        <v>135</v>
      </c>
      <c r="F129" s="3"/>
      <c r="G129" s="3"/>
      <c r="H129" s="3"/>
      <c r="I129" s="3"/>
      <c r="J129" s="3"/>
      <c r="K129" s="3"/>
      <c r="L129" s="3" t="s">
        <v>95</v>
      </c>
      <c r="M129" s="3">
        <v>170</v>
      </c>
      <c r="N129" s="3" t="s">
        <v>153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153</v>
      </c>
    </row>
    <row r="130" spans="1:39" x14ac:dyDescent="0.25">
      <c r="A130" s="3">
        <v>7</v>
      </c>
      <c r="B130" s="3" t="s">
        <v>94</v>
      </c>
      <c r="C130" s="3" t="s">
        <v>135</v>
      </c>
      <c r="D130" s="3"/>
      <c r="E130" s="3" t="s">
        <v>135</v>
      </c>
      <c r="F130" s="3"/>
      <c r="G130" s="3"/>
      <c r="H130" s="3"/>
      <c r="I130" s="3"/>
      <c r="J130" s="3"/>
      <c r="K130" s="3"/>
      <c r="L130" s="3" t="s">
        <v>95</v>
      </c>
      <c r="M130" s="3">
        <v>180</v>
      </c>
      <c r="N130" s="3" t="s">
        <v>154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154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2025-12-06T11:37:17Z</dcterms:modified>
</cp:coreProperties>
</file>