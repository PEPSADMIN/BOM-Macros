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"/>
    </mc:Choice>
  </mc:AlternateContent>
  <bookViews>
    <workbookView xWindow="0" yWindow="0" windowWidth="24000" windowHeight="88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DEST!$A$2:$AM$184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G16" i="13" s="1"/>
  <c r="H16" i="13" s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12" i="13" l="1"/>
  <c r="E7" i="13" l="1"/>
  <c r="H15" i="13"/>
  <c r="G2" i="13" l="1"/>
  <c r="E11" i="13" l="1"/>
  <c r="G10" i="13" l="1"/>
  <c r="E2" i="13" l="1"/>
  <c r="H14" i="13" l="1"/>
  <c r="H13" i="13"/>
  <c r="H12" i="13"/>
  <c r="E5" i="13"/>
  <c r="E4" i="13"/>
  <c r="G4" i="13" l="1"/>
  <c r="G5" i="13"/>
  <c r="H7" i="13" l="1"/>
  <c r="G3" i="13"/>
  <c r="H3" i="13" l="1"/>
  <c r="H11" i="13" l="1"/>
  <c r="H10" i="13"/>
  <c r="H9" i="13"/>
  <c r="H8" i="13"/>
  <c r="H6" i="13"/>
  <c r="H5" i="13"/>
  <c r="H4" i="13"/>
  <c r="H2" i="13"/>
</calcChain>
</file>

<file path=xl/sharedStrings.xml><?xml version="1.0" encoding="utf-8"?>
<sst xmlns="http://schemas.openxmlformats.org/spreadsheetml/2006/main" count="2382" uniqueCount="136">
  <si>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</si>
  <si>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</si>
  <si>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</si>
  <si>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</si>
  <si>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</si>
  <si>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</si>
  <si>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</si>
  <si>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</si>
  <si>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</si>
  <si>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</si>
  <si>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</si>
  <si>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</si>
  <si>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</si>
  <si>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</si>
  <si>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</si>
  <si>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</si>
  <si>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</si>
  <si>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</si>
  <si>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</si>
  <si>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</si>
  <si>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</si>
  <si>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</si>
  <si>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</si>
  <si>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</si>
  <si>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</si>
  <si>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</si>
  <si>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</si>
  <si>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</si>
  <si>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</si>
  <si>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</si>
  <si>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</si>
  <si>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</si>
  <si>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</si>
  <si>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</si>
  <si>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</si>
  <si>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</si>
  <si>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</si>
  <si>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</si>
  <si>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</si>
  <si>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</si>
  <si>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</si>
  <si>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</si>
  <si>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</si>
  <si>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</si>
  <si>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</si>
  <si>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</si>
  <si>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</si>
  <si>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</si>
  <si>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</si>
  <si>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</si>
  <si>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</si>
  <si>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</si>
  <si>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</si>
  <si>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</si>
  <si>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</si>
  <si>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</si>
  <si>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</si>
  <si>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</si>
  <si>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</si>
  <si>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</si>
  <si>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</si>
  <si>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</si>
  <si>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</si>
  <si>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</si>
  <si>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</si>
  <si>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</si>
  <si>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</si>
  <si>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</si>
  <si>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</si>
  <si>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</si>
  <si>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</si>
  <si>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</si>
  <si>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</si>
  <si>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</si>
  <si>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</si>
  <si>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</si>
  <si>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</si>
  <si>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</si>
  <si>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</si>
  <si>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</si>
  <si>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</si>
  <si>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</si>
  <si>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</si>
  <si>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</si>
  <si>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</si>
  <si>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</si>
  <si>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Foam Block</t>
  </si>
  <si>
    <t>QUILTING</t>
  </si>
  <si>
    <t>Quilt-Top &amp; Bottom</t>
  </si>
  <si>
    <t>4,5,6</t>
  </si>
  <si>
    <t>Wh Code</t>
  </si>
  <si>
    <t>RML-CIR-MRP-LBL</t>
  </si>
  <si>
    <t>MR</t>
  </si>
  <si>
    <t>DB,MR,BG</t>
  </si>
  <si>
    <t>RMI-PVC-50</t>
  </si>
  <si>
    <t>HW-CTON-THREAD</t>
  </si>
  <si>
    <t>Tailoring</t>
  </si>
  <si>
    <t>RML-MRP-BACK-LBL</t>
  </si>
  <si>
    <t>RML-FUR-CIR-SDE-LBL</t>
  </si>
  <si>
    <t>SFG-RTC-BNPK-BP</t>
  </si>
  <si>
    <t>RM-THRD-QS-TKT40</t>
  </si>
  <si>
    <t>HYPFURFMMR72X48X05-CPC</t>
  </si>
  <si>
    <t>SFG-FURMR-QUILT</t>
  </si>
  <si>
    <t>RML-EDTAPE-MER-KNIT</t>
  </si>
  <si>
    <t>RML-THRD-TKT-40MER</t>
  </si>
  <si>
    <t>RML-CS-CIR-5.5</t>
  </si>
  <si>
    <t>FURNO-FOAM-BLOCK-72X48X05</t>
  </si>
  <si>
    <t>RML-VIR-HDPE-92X56</t>
  </si>
  <si>
    <t>HYPFURFMMR72X72X05-CPC</t>
  </si>
  <si>
    <t>FURNO-FOAM-BLOCK-72X72X05</t>
  </si>
  <si>
    <t>RML-VIR-HDPE-92X82</t>
  </si>
  <si>
    <t>HYPFURFMMR75X36X04-CPC</t>
  </si>
  <si>
    <t>RML-CS-CIR-FURNO-4.5</t>
  </si>
  <si>
    <t>FURNO-FOAM-BLOCK-75X36X04</t>
  </si>
  <si>
    <t>RML-VIR-HDPE-92X46</t>
  </si>
  <si>
    <t>HYPFURFMMR75X48X04-CPC</t>
  </si>
  <si>
    <t>FURNO-FOAM-BLOCK-75X48X04</t>
  </si>
  <si>
    <t>HYPFURFMMR75X48X05-CPC</t>
  </si>
  <si>
    <t>FURNO-FOAM-BLOCK-75X48X05</t>
  </si>
  <si>
    <t>HYPFURFMMR75X60X04-CPC</t>
  </si>
  <si>
    <t>FURNO-FOAM-BLOCK-75X60X04</t>
  </si>
  <si>
    <t>RML-VIR-HDPE-92X70</t>
  </si>
  <si>
    <t>HYPFURFMMR75X60X05-CPC</t>
  </si>
  <si>
    <t>FURNO-FOAM-BLOCK-75X60X05</t>
  </si>
  <si>
    <t>HYPFURFMMR75X72X05-CPC</t>
  </si>
  <si>
    <t>FURNO-FOAM-BLOCK-75X72X05</t>
  </si>
  <si>
    <t>HYPFURFMMR78X48X05-CPC</t>
  </si>
  <si>
    <t>FURNO-FOAM-BLOCK-78X48X05</t>
  </si>
  <si>
    <t>HYPFURFMMR78X60X05-CPC</t>
  </si>
  <si>
    <t>FURNO-FOAM-BLOCK-78X60X05</t>
  </si>
  <si>
    <t>HYPFURFMMR78X72X04-CPC</t>
  </si>
  <si>
    <t>FURNO-FOAM-BLOCK-78X72X04</t>
  </si>
  <si>
    <t>HYPFURFMMR78X72X05-CPC</t>
  </si>
  <si>
    <t>FURNO-FOAM-BLOCK-78X72X05</t>
  </si>
  <si>
    <t>Active</t>
  </si>
  <si>
    <t>MRP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</si>
</sst>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1" fillId="0" borderId="1" xfId="0" applyFont="1" applyBorder="1"/>
    <xf numFmtId="0" fontId="7" fillId="6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  <xf numFmtId="0" fontId="6" fillId="6" borderId="1" xfId="2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164" fontId="3" fillId="7" borderId="1" xfId="0" applyNumberFormat="1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164" fontId="0" fillId="0" borderId="5" xfId="0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0" borderId="6" xfId="0" applyFont="1" applyFill="1" applyBorder="1" applyAlignment="1">
      <alignment vertical="center"/>
    </xf>
    <xf numFmtId="0" fontId="0" fillId="0" borderId="6" xfId="0" applyNumberFormat="1" applyFont="1" applyBorder="1"/>
    <xf numFmtId="0" fontId="0" fillId="0" borderId="7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2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G7" sqref="G7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9" style="12" bestFit="1" customWidth="1"/>
    <col min="4" max="4" width="26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1" width="8.42578125" style="4" bestFit="1" customWidth="1"/>
    <col min="12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90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83</v>
      </c>
      <c r="S1" s="29" t="s">
        <v>84</v>
      </c>
      <c r="T1" s="29" t="s">
        <v>85</v>
      </c>
      <c r="U1" s="29" t="s">
        <v>10</v>
      </c>
    </row>
    <row r="2" spans="1:21" x14ac:dyDescent="0.25">
      <c r="A2" s="31">
        <v>1</v>
      </c>
      <c r="B2" s="7" t="s">
        <v>87</v>
      </c>
      <c r="C2" s="8" t="s">
        <v>88</v>
      </c>
      <c r="D2" s="8" t="str">
        <f>"HYPFURFM"&amp;IF($N$2="DB","DB",IF($N$2="MR","MR",IF($N$2="BG","BG")))&amp;$K$2&amp;"X"&amp;$L$2&amp;"X0"&amp;$M$2&amp;"-"&amp;"CPC"</f>
        <v>HYPFURFMMR78X72X05-CPC</v>
      </c>
      <c r="E2" s="38" t="str">
        <f>"SFG-FUR"&amp;IF(N2="DB","DB",IF(N2="MR","MR",IF(N2="BG","BG",0)))&amp;"-QUILT"</f>
        <v>SFG-FURMR-QUILT</v>
      </c>
      <c r="F2" s="9" t="s">
        <v>14</v>
      </c>
      <c r="G2" s="43">
        <f>((IF(K2&lt;=75,(L2+1)+(M2*2),IF(K2=78,IF(M2=4,(L2+1)+(M2*2),(K2+1)+(M2*2)),(IF(K2&gt;=80,(K2+1)+(M2*2))))))*0.0254)</f>
        <v>2.2605999999999997</v>
      </c>
      <c r="H2" s="36">
        <f>ROUND(G2,3)</f>
        <v>2.2610000000000001</v>
      </c>
      <c r="I2" s="32" t="s">
        <v>15</v>
      </c>
      <c r="J2" s="5"/>
      <c r="K2" s="28">
        <v>78</v>
      </c>
      <c r="L2" s="28">
        <v>72</v>
      </c>
      <c r="M2" s="28">
        <v>5</v>
      </c>
      <c r="N2" s="6" t="s">
        <v>92</v>
      </c>
      <c r="P2" s="4" t="s">
        <v>89</v>
      </c>
      <c r="R2" s="26">
        <v>72</v>
      </c>
      <c r="S2" s="26">
        <v>48</v>
      </c>
      <c r="T2" s="26">
        <v>5</v>
      </c>
      <c r="U2" s="27" t="s">
        <v>92</v>
      </c>
    </row>
    <row r="3" spans="1:21" s="14" customFormat="1" x14ac:dyDescent="0.25">
      <c r="A3" s="31">
        <v>2</v>
      </c>
      <c r="B3" s="7" t="s">
        <v>87</v>
      </c>
      <c r="C3" s="8" t="s">
        <v>88</v>
      </c>
      <c r="D3" s="8" t="str">
        <f t="shared" ref="D3:D16" si="0">"HYPFURFM"&amp;IF($N$2="DB","DB",IF($N$2="MR","MR",IF($N$2="BG","BG")))&amp;$K$2&amp;"X"&amp;$L$2&amp;"X0"&amp;$M$2&amp;"-"&amp;"CPC"</f>
        <v>HYPFURFMMR78X72X05-CPC</v>
      </c>
      <c r="E3" s="39" t="s">
        <v>99</v>
      </c>
      <c r="F3" s="9" t="s">
        <v>14</v>
      </c>
      <c r="G3" s="34">
        <f>IF(K2&lt;79,(L2+1),(K2+1))*0.0254</f>
        <v>1.8541999999999998</v>
      </c>
      <c r="H3" s="36">
        <f t="shared" ref="H3" si="1">ROUND(G3,3)</f>
        <v>1.8540000000000001</v>
      </c>
      <c r="I3" s="32" t="s">
        <v>15</v>
      </c>
      <c r="J3" s="5"/>
      <c r="K3" s="13"/>
      <c r="L3" s="13"/>
      <c r="M3" s="13"/>
      <c r="N3" s="13"/>
      <c r="O3" s="4"/>
      <c r="P3" s="14" t="s">
        <v>93</v>
      </c>
      <c r="R3" s="26">
        <v>72</v>
      </c>
      <c r="S3" s="26">
        <v>72</v>
      </c>
      <c r="T3" s="26">
        <v>5</v>
      </c>
      <c r="U3" s="27" t="s">
        <v>92</v>
      </c>
    </row>
    <row r="4" spans="1:21" x14ac:dyDescent="0.25">
      <c r="A4" s="31">
        <v>3</v>
      </c>
      <c r="B4" s="7" t="s">
        <v>16</v>
      </c>
      <c r="C4" s="8" t="s">
        <v>17</v>
      </c>
      <c r="D4" s="8" t="str">
        <f t="shared" si="0"/>
        <v>HYPFURFMMR78X72X05-CPC</v>
      </c>
      <c r="E4" s="37" t="str">
        <f>IF(N2="MR","RML-EDTAPE-MER-KNIT",IF(N2="DB","RML-EDTAPE-BLUE",IF(N2="BG","RML-EDTAPE-BRN",0)))</f>
        <v>RML-EDTAPE-MER-KNIT</v>
      </c>
      <c r="F4" s="9" t="s">
        <v>14</v>
      </c>
      <c r="G4" s="35">
        <f>(K2+L2+4)*2*0.0254</f>
        <v>7.8231999999999999</v>
      </c>
      <c r="H4" s="36">
        <f t="shared" ref="H4:H6" si="2">ROUND(G4,3)</f>
        <v>7.8230000000000004</v>
      </c>
      <c r="I4" s="9" t="s">
        <v>13</v>
      </c>
      <c r="J4" s="10"/>
      <c r="O4" s="14"/>
      <c r="R4" s="26">
        <v>75</v>
      </c>
      <c r="S4" s="26">
        <v>36</v>
      </c>
      <c r="T4" s="26">
        <v>4</v>
      </c>
      <c r="U4" s="27" t="s">
        <v>92</v>
      </c>
    </row>
    <row r="5" spans="1:21" x14ac:dyDescent="0.25">
      <c r="A5" s="31">
        <v>4</v>
      </c>
      <c r="B5" s="7" t="s">
        <v>16</v>
      </c>
      <c r="C5" s="8" t="s">
        <v>17</v>
      </c>
      <c r="D5" s="8" t="str">
        <f t="shared" si="0"/>
        <v>HYPFURFMMR78X72X05-CPC</v>
      </c>
      <c r="E5" s="40" t="str">
        <f>+IF(N2="MR","RML-THRD-TKT-40MER","RM-THRD-TKT40-BLACK")</f>
        <v>RML-THRD-TKT-40MER</v>
      </c>
      <c r="F5" s="9" t="s">
        <v>14</v>
      </c>
      <c r="G5" s="35">
        <f>(K2+L2+4)*2*0.0254*(4.73+1.42)</f>
        <v>48.112680000000005</v>
      </c>
      <c r="H5" s="36">
        <f t="shared" si="2"/>
        <v>48.113</v>
      </c>
      <c r="I5" s="30" t="s">
        <v>13</v>
      </c>
      <c r="J5" s="10"/>
      <c r="L5" s="16"/>
      <c r="O5" s="14"/>
      <c r="R5" s="26">
        <v>75</v>
      </c>
      <c r="S5" s="26">
        <v>48</v>
      </c>
      <c r="T5" s="26">
        <v>4</v>
      </c>
      <c r="U5" s="27" t="s">
        <v>92</v>
      </c>
    </row>
    <row r="6" spans="1:21" x14ac:dyDescent="0.25">
      <c r="A6" s="31">
        <v>5</v>
      </c>
      <c r="B6" s="7" t="s">
        <v>16</v>
      </c>
      <c r="C6" s="8" t="s">
        <v>17</v>
      </c>
      <c r="D6" s="8" t="str">
        <f t="shared" si="0"/>
        <v>HYPFURFMMR78X72X05-CPC</v>
      </c>
      <c r="E6" s="9" t="s">
        <v>91</v>
      </c>
      <c r="F6" s="9" t="s">
        <v>11</v>
      </c>
      <c r="G6" s="35">
        <v>1</v>
      </c>
      <c r="H6" s="36">
        <f t="shared" si="2"/>
        <v>1</v>
      </c>
      <c r="I6" s="30" t="s">
        <v>13</v>
      </c>
      <c r="J6" s="10"/>
      <c r="R6" s="26">
        <v>75</v>
      </c>
      <c r="S6" s="26">
        <v>48</v>
      </c>
      <c r="T6" s="26">
        <v>5</v>
      </c>
      <c r="U6" s="27" t="s">
        <v>92</v>
      </c>
    </row>
    <row r="7" spans="1:21" x14ac:dyDescent="0.25">
      <c r="A7" s="31">
        <v>6</v>
      </c>
      <c r="B7" s="7" t="s">
        <v>18</v>
      </c>
      <c r="C7" s="8" t="s">
        <v>18</v>
      </c>
      <c r="D7" s="8" t="str">
        <f t="shared" si="0"/>
        <v>HYPFURFMMR78X72X05-CPC</v>
      </c>
      <c r="E7" s="37" t="str">
        <f>+IF(M2=4,"RML-CS-CIR-FURNO-4.5",IF(M2=5,"RML-CS-CIR-5.5",IF(M2=6,"RML-CS-CIR-6.5""",0)))</f>
        <v>RML-CS-CIR-5.5</v>
      </c>
      <c r="F7" s="9" t="s">
        <v>11</v>
      </c>
      <c r="G7" s="35">
        <v>4</v>
      </c>
      <c r="H7" s="36">
        <f>ROUND(G7,3)</f>
        <v>4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75</v>
      </c>
      <c r="S7" s="26">
        <v>60</v>
      </c>
      <c r="T7" s="26">
        <v>4</v>
      </c>
      <c r="U7" s="27" t="s">
        <v>92</v>
      </c>
    </row>
    <row r="8" spans="1:21" x14ac:dyDescent="0.25">
      <c r="A8" s="31">
        <v>7</v>
      </c>
      <c r="B8" s="7" t="s">
        <v>18</v>
      </c>
      <c r="C8" s="8" t="s">
        <v>18</v>
      </c>
      <c r="D8" s="8" t="str">
        <f t="shared" si="0"/>
        <v>HYPFURFMMR78X72X05-CPC</v>
      </c>
      <c r="E8" s="8" t="s">
        <v>19</v>
      </c>
      <c r="F8" s="9" t="s">
        <v>11</v>
      </c>
      <c r="G8" s="35">
        <v>1</v>
      </c>
      <c r="H8" s="36">
        <f>ROUND(G8,3)</f>
        <v>1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75</v>
      </c>
      <c r="S8" s="26">
        <v>60</v>
      </c>
      <c r="T8" s="26">
        <v>5</v>
      </c>
      <c r="U8" s="27" t="s">
        <v>92</v>
      </c>
    </row>
    <row r="9" spans="1:21" x14ac:dyDescent="0.25">
      <c r="A9" s="31">
        <v>8</v>
      </c>
      <c r="B9" s="7" t="s">
        <v>18</v>
      </c>
      <c r="C9" s="8" t="s">
        <v>18</v>
      </c>
      <c r="D9" s="8" t="str">
        <f t="shared" si="0"/>
        <v>HYPFURFMMR78X72X05-CPC</v>
      </c>
      <c r="E9" s="8" t="s">
        <v>20</v>
      </c>
      <c r="F9" s="9" t="s">
        <v>11</v>
      </c>
      <c r="G9" s="35">
        <v>1</v>
      </c>
      <c r="H9" s="36">
        <f>ROUND(G9,3)</f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75</v>
      </c>
      <c r="S9" s="26">
        <v>72</v>
      </c>
      <c r="T9" s="26">
        <v>5</v>
      </c>
      <c r="U9" s="27" t="s">
        <v>92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HYPFURFMMR78X72X05-CPC</v>
      </c>
      <c r="E10" s="15" t="s">
        <v>94</v>
      </c>
      <c r="F10" s="9" t="s">
        <v>12</v>
      </c>
      <c r="G10" s="35">
        <f>(IF(K2&lt;79,(L2*2)+(M2*2),(K2*2)+(M2*2))+4)*89.5*0.0254*0.0254*0.00005*1300</f>
        <v>0.5930084914</v>
      </c>
      <c r="H10" s="36">
        <f>ROUND(G10,3)</f>
        <v>0.59299999999999997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78</v>
      </c>
      <c r="S10" s="26">
        <v>48</v>
      </c>
      <c r="T10" s="26">
        <v>5</v>
      </c>
      <c r="U10" s="27" t="s">
        <v>92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HYPFURFMMR78X72X05-CPC</v>
      </c>
      <c r="E11" s="33" t="str">
        <f>"FURNO-FOAM-BLOCK-"&amp;K2&amp;"X"&amp;L2&amp;"X"&amp;IF(M2=4,"04",IF(M2=5,"05","06"))</f>
        <v>FURNO-FOAM-BLOCK-78X72X05</v>
      </c>
      <c r="F11" s="9" t="s">
        <v>11</v>
      </c>
      <c r="G11" s="36">
        <v>1</v>
      </c>
      <c r="H11" s="36">
        <f>ROUND(G11,3)</f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78</v>
      </c>
      <c r="S11" s="26">
        <v>60</v>
      </c>
      <c r="T11" s="26">
        <v>5</v>
      </c>
      <c r="U11" s="27" t="s">
        <v>92</v>
      </c>
    </row>
    <row r="12" spans="1:21" x14ac:dyDescent="0.25">
      <c r="A12" s="31">
        <v>11</v>
      </c>
      <c r="B12" s="7" t="s">
        <v>16</v>
      </c>
      <c r="C12" s="8" t="s">
        <v>86</v>
      </c>
      <c r="D12" s="8" t="str">
        <f t="shared" si="0"/>
        <v>HYPFURFMMR78X72X05-CPC</v>
      </c>
      <c r="E12" s="41" t="s">
        <v>95</v>
      </c>
      <c r="F12" s="9" t="s">
        <v>14</v>
      </c>
      <c r="G12" s="34">
        <f>(K2+L2+1.5)*2*0.0254*14*2</f>
        <v>215.49359999999999</v>
      </c>
      <c r="H12" s="36">
        <f t="shared" ref="H12" si="3">ROUND(G12,3)</f>
        <v>215.494</v>
      </c>
      <c r="I12" s="32" t="s">
        <v>15</v>
      </c>
      <c r="J12" s="10"/>
      <c r="K12" s="14"/>
      <c r="L12" s="14"/>
      <c r="M12" s="14"/>
      <c r="N12" s="14"/>
      <c r="O12" s="14"/>
      <c r="P12" s="14"/>
      <c r="Q12" s="14"/>
      <c r="R12" s="26">
        <v>78</v>
      </c>
      <c r="S12" s="26">
        <v>72</v>
      </c>
      <c r="T12" s="26">
        <v>4</v>
      </c>
      <c r="U12" s="27" t="s">
        <v>92</v>
      </c>
    </row>
    <row r="13" spans="1:21" x14ac:dyDescent="0.25">
      <c r="A13" s="31">
        <v>12</v>
      </c>
      <c r="B13" s="7" t="s">
        <v>87</v>
      </c>
      <c r="C13" s="8" t="s">
        <v>96</v>
      </c>
      <c r="D13" s="8" t="str">
        <f t="shared" si="0"/>
        <v>HYPFURFMMR78X72X05-CPC</v>
      </c>
      <c r="E13" s="41" t="s">
        <v>98</v>
      </c>
      <c r="F13" s="9" t="s">
        <v>11</v>
      </c>
      <c r="G13" s="35">
        <v>1</v>
      </c>
      <c r="H13" s="35">
        <f>ROUND(G13,3)</f>
        <v>1</v>
      </c>
      <c r="I13" s="30" t="s">
        <v>13</v>
      </c>
      <c r="J13" s="10"/>
      <c r="K13" s="16"/>
      <c r="R13" s="26">
        <v>78</v>
      </c>
      <c r="S13" s="26">
        <v>72</v>
      </c>
      <c r="T13" s="26">
        <v>5</v>
      </c>
      <c r="U13" s="27" t="s">
        <v>92</v>
      </c>
    </row>
    <row r="14" spans="1:21" x14ac:dyDescent="0.25">
      <c r="A14" s="31">
        <v>13</v>
      </c>
      <c r="B14" s="7" t="s">
        <v>87</v>
      </c>
      <c r="C14" s="8" t="s">
        <v>96</v>
      </c>
      <c r="D14" s="8" t="str">
        <f t="shared" si="0"/>
        <v>HYPFURFMMR78X72X05-CPC</v>
      </c>
      <c r="E14" s="42" t="s">
        <v>97</v>
      </c>
      <c r="F14" s="44" t="s">
        <v>11</v>
      </c>
      <c r="G14" s="35">
        <v>1</v>
      </c>
      <c r="H14" s="35">
        <f>ROUND(G14,3)</f>
        <v>1</v>
      </c>
      <c r="I14" s="30" t="s">
        <v>13</v>
      </c>
      <c r="J14" s="10"/>
      <c r="M14" s="16"/>
      <c r="O14" s="16"/>
      <c r="R14" s="26"/>
      <c r="S14" s="26"/>
      <c r="T14" s="26"/>
      <c r="U14" s="27"/>
    </row>
    <row r="15" spans="1:21" x14ac:dyDescent="0.25">
      <c r="A15" s="31">
        <v>14</v>
      </c>
      <c r="B15" s="7" t="s">
        <v>87</v>
      </c>
      <c r="C15" s="8" t="s">
        <v>96</v>
      </c>
      <c r="D15" s="8" t="str">
        <f t="shared" si="0"/>
        <v>HYPFURFMMR78X72X05-CPC</v>
      </c>
      <c r="E15" s="42" t="s">
        <v>100</v>
      </c>
      <c r="F15" s="45" t="s">
        <v>14</v>
      </c>
      <c r="G15" s="46">
        <v>20</v>
      </c>
      <c r="H15" s="46">
        <f>ROUND(G15,3)</f>
        <v>20</v>
      </c>
      <c r="I15" s="30" t="s">
        <v>13</v>
      </c>
      <c r="J15" s="10"/>
      <c r="N15"/>
      <c r="O15"/>
      <c r="R15" s="26"/>
      <c r="S15" s="26"/>
      <c r="T15" s="26"/>
      <c r="U15" s="27"/>
    </row>
    <row r="16" spans="1:21" x14ac:dyDescent="0.25">
      <c r="A16" s="31">
        <v>15</v>
      </c>
      <c r="B16" s="7" t="s">
        <v>87</v>
      </c>
      <c r="C16" s="8" t="s">
        <v>96</v>
      </c>
      <c r="D16" s="8" t="str">
        <f t="shared" si="0"/>
        <v>HYPFURFMMR78X72X05-CPC</v>
      </c>
      <c r="E16" s="51" t="str">
        <f>IF(L2=36,"RML-VIR-HDPE-92X46",IF(L2=48,"RML-VIR-HDPE-92X56",IF(L2=60,"RML-VIR-HDPE-92X70",IF(L2=72,"RML-VIR-HDPE-92X82"))))</f>
        <v>RML-VIR-HDPE-92X82</v>
      </c>
      <c r="F16" s="49" t="s">
        <v>12</v>
      </c>
      <c r="G16" s="50" t="str">
        <f>IF(E16="RML-VIR-HDPE-92X46","0.5",IF(E16="RML-VIR-HDPE-92X56","0.6",IF(E16="RML-VIR-HDPE-92X70","0.6",IF(E16="RML-VIR-HDPE-92X82","0.8",0))))</f>
        <v>0.8</v>
      </c>
      <c r="H16" s="46">
        <f>ROUND(G16,3)</f>
        <v>0.8</v>
      </c>
      <c r="I16" s="30" t="s">
        <v>13</v>
      </c>
      <c r="J16" s="10"/>
      <c r="M16" s="16"/>
      <c r="N16"/>
      <c r="O16"/>
      <c r="R16" s="26"/>
      <c r="S16" s="26"/>
      <c r="T16" s="26"/>
      <c r="U16" s="27"/>
    </row>
    <row r="17" spans="5:21" x14ac:dyDescent="0.25">
      <c r="J17" s="10"/>
      <c r="N17"/>
      <c r="O17"/>
      <c r="R17" s="26"/>
      <c r="S17" s="26"/>
      <c r="T17" s="26"/>
      <c r="U17" s="27"/>
    </row>
    <row r="18" spans="5:21" x14ac:dyDescent="0.25">
      <c r="J18" s="10"/>
      <c r="N18"/>
      <c r="O18"/>
      <c r="R18" s="26"/>
      <c r="S18" s="26"/>
      <c r="T18" s="26"/>
      <c r="U18" s="27"/>
    </row>
    <row r="19" spans="5:21" x14ac:dyDescent="0.25">
      <c r="J19" s="10"/>
      <c r="N19"/>
      <c r="O19"/>
      <c r="R19" s="26"/>
      <c r="S19" s="26"/>
      <c r="T19" s="26"/>
      <c r="U19" s="27"/>
    </row>
    <row r="20" spans="5:21" x14ac:dyDescent="0.25">
      <c r="J20" s="10"/>
      <c r="N20" s="25"/>
      <c r="O20"/>
      <c r="R20" s="26"/>
      <c r="S20" s="26"/>
      <c r="T20" s="26"/>
      <c r="U20" s="27"/>
    </row>
    <row r="21" spans="5:21" x14ac:dyDescent="0.25">
      <c r="J21" s="10"/>
      <c r="N21"/>
      <c r="O21"/>
      <c r="R21" s="26"/>
      <c r="S21" s="26"/>
      <c r="T21" s="26"/>
      <c r="U21" s="27"/>
    </row>
    <row r="22" spans="5:21" x14ac:dyDescent="0.25">
      <c r="J22" s="10"/>
      <c r="N22"/>
      <c r="O22"/>
      <c r="R22" s="26"/>
      <c r="S22" s="26"/>
      <c r="T22" s="26"/>
      <c r="U22" s="27"/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/>
      <c r="S23" s="26"/>
      <c r="T23" s="26"/>
      <c r="U23" s="27"/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/>
      <c r="S24" s="26"/>
      <c r="T24" s="26"/>
      <c r="U24" s="27"/>
    </row>
    <row r="25" spans="5:21" x14ac:dyDescent="0.25">
      <c r="N25"/>
      <c r="O25"/>
      <c r="R25" s="26"/>
      <c r="S25" s="26"/>
      <c r="T25" s="26"/>
      <c r="U25" s="27"/>
    </row>
    <row r="26" spans="5:21" x14ac:dyDescent="0.25">
      <c r="N26"/>
      <c r="O26"/>
      <c r="R26" s="26"/>
      <c r="S26" s="26"/>
      <c r="T26" s="26"/>
      <c r="U26" s="27"/>
    </row>
    <row r="27" spans="5:21" x14ac:dyDescent="0.25">
      <c r="N27"/>
      <c r="O27"/>
      <c r="R27" s="26"/>
      <c r="S27" s="26"/>
      <c r="T27" s="26"/>
      <c r="U27" s="27"/>
    </row>
    <row r="28" spans="5:21" x14ac:dyDescent="0.25">
      <c r="M28" s="16"/>
      <c r="N28"/>
      <c r="O28"/>
      <c r="R28" s="26"/>
      <c r="S28" s="26"/>
      <c r="T28" s="26"/>
      <c r="U28" s="27"/>
    </row>
    <row r="29" spans="5:21" x14ac:dyDescent="0.25">
      <c r="E29" s="16"/>
      <c r="N29"/>
      <c r="O29"/>
      <c r="R29" s="26"/>
      <c r="S29" s="26"/>
      <c r="T29" s="26"/>
      <c r="U29" s="27"/>
    </row>
    <row r="30" spans="5:21" x14ac:dyDescent="0.25">
      <c r="H30" s="16"/>
      <c r="N30"/>
      <c r="O30"/>
      <c r="R30" s="26"/>
      <c r="S30" s="26"/>
      <c r="T30" s="26"/>
      <c r="U30" s="27"/>
    </row>
    <row r="31" spans="5:21" x14ac:dyDescent="0.25">
      <c r="N31"/>
      <c r="O31"/>
      <c r="R31" s="26"/>
      <c r="S31" s="26"/>
      <c r="T31" s="26"/>
      <c r="U31" s="27"/>
    </row>
    <row r="32" spans="5:21" x14ac:dyDescent="0.25">
      <c r="N32"/>
      <c r="O32"/>
      <c r="R32" s="26"/>
      <c r="S32" s="26"/>
      <c r="T32" s="26"/>
      <c r="U32" s="27"/>
    </row>
    <row r="33" spans="14:21" x14ac:dyDescent="0.25">
      <c r="N33"/>
      <c r="O33"/>
      <c r="R33" s="26"/>
      <c r="S33" s="26"/>
      <c r="T33" s="26"/>
      <c r="U33" s="27"/>
    </row>
    <row r="34" spans="14:21" x14ac:dyDescent="0.25">
      <c r="N34"/>
      <c r="O34"/>
      <c r="R34" s="26"/>
      <c r="S34" s="26"/>
      <c r="T34" s="26"/>
      <c r="U34" s="27"/>
    </row>
    <row r="35" spans="14:21" x14ac:dyDescent="0.25">
      <c r="N35"/>
      <c r="O35"/>
      <c r="R35" s="26"/>
      <c r="S35" s="26"/>
      <c r="T35" s="26"/>
      <c r="U35" s="27"/>
    </row>
    <row r="36" spans="14:21" x14ac:dyDescent="0.25">
      <c r="N36"/>
      <c r="O36"/>
      <c r="R36" s="26"/>
      <c r="S36" s="26"/>
      <c r="T36" s="26"/>
      <c r="U36" s="27"/>
    </row>
    <row r="37" spans="14:21" x14ac:dyDescent="0.25">
      <c r="N37"/>
      <c r="O37"/>
      <c r="R37" s="26"/>
      <c r="S37" s="26"/>
      <c r="T37" s="26"/>
      <c r="U37" s="27"/>
    </row>
    <row r="38" spans="14:21" x14ac:dyDescent="0.25">
      <c r="N38"/>
      <c r="O38"/>
      <c r="R38" s="26"/>
      <c r="S38" s="26"/>
      <c r="T38" s="26"/>
      <c r="U38" s="27"/>
    </row>
    <row r="39" spans="14:21" x14ac:dyDescent="0.25">
      <c r="N39"/>
      <c r="O39"/>
      <c r="R39" s="26"/>
      <c r="S39" s="26"/>
      <c r="T39" s="26"/>
      <c r="U39" s="27"/>
    </row>
    <row r="40" spans="14:21" x14ac:dyDescent="0.25">
      <c r="N40"/>
      <c r="O40"/>
      <c r="R40" s="26"/>
      <c r="S40" s="26"/>
      <c r="T40" s="26"/>
      <c r="U40" s="27"/>
    </row>
    <row r="41" spans="14:21" x14ac:dyDescent="0.25">
      <c r="N41"/>
      <c r="O41"/>
      <c r="R41" s="26"/>
      <c r="S41" s="26"/>
      <c r="T41" s="26"/>
      <c r="U41" s="27"/>
    </row>
    <row r="42" spans="14:21" x14ac:dyDescent="0.25">
      <c r="N42"/>
      <c r="O42"/>
      <c r="R42" s="26"/>
      <c r="S42" s="26"/>
      <c r="T42" s="26"/>
      <c r="U42" s="27"/>
    </row>
    <row r="43" spans="14:21" x14ac:dyDescent="0.25">
      <c r="N43"/>
      <c r="O43"/>
      <c r="R43" s="26"/>
      <c r="S43" s="26"/>
      <c r="T43" s="26"/>
      <c r="U43" s="27"/>
    </row>
    <row r="44" spans="14:21" x14ac:dyDescent="0.25">
      <c r="N44"/>
      <c r="O44"/>
      <c r="R44" s="26"/>
      <c r="S44" s="26"/>
      <c r="T44" s="26"/>
      <c r="U44" s="27"/>
    </row>
    <row r="45" spans="14:21" x14ac:dyDescent="0.25">
      <c r="N45"/>
      <c r="O45"/>
      <c r="R45" s="26"/>
      <c r="S45" s="26"/>
      <c r="T45" s="26"/>
      <c r="U45" s="27"/>
    </row>
    <row r="46" spans="14:21" x14ac:dyDescent="0.25">
      <c r="N46"/>
      <c r="O46"/>
      <c r="R46" s="26"/>
      <c r="S46" s="26"/>
      <c r="T46" s="26"/>
      <c r="U46" s="27"/>
    </row>
    <row r="47" spans="14:21" x14ac:dyDescent="0.25">
      <c r="N47"/>
      <c r="O47"/>
      <c r="R47" s="26"/>
      <c r="S47" s="26"/>
      <c r="T47" s="26"/>
      <c r="U47" s="27"/>
    </row>
    <row r="48" spans="14:21" x14ac:dyDescent="0.25">
      <c r="N48"/>
      <c r="O48"/>
      <c r="R48" s="26"/>
      <c r="S48" s="26"/>
      <c r="T48" s="26"/>
      <c r="U48" s="27"/>
    </row>
    <row r="49" spans="14:21" x14ac:dyDescent="0.25">
      <c r="N49"/>
      <c r="O49"/>
      <c r="R49" s="26"/>
      <c r="S49" s="26"/>
      <c r="T49" s="26"/>
      <c r="U49" s="27"/>
    </row>
    <row r="50" spans="14:21" x14ac:dyDescent="0.25">
      <c r="R50" s="26"/>
      <c r="S50" s="26"/>
      <c r="T50" s="26"/>
      <c r="U50" s="27"/>
    </row>
    <row r="51" spans="14:21" x14ac:dyDescent="0.25">
      <c r="R51" s="26"/>
      <c r="S51" s="26"/>
      <c r="T51" s="26"/>
      <c r="U51" s="27"/>
    </row>
    <row r="52" spans="14:21" x14ac:dyDescent="0.25">
      <c r="R52" s="26"/>
      <c r="S52" s="26"/>
      <c r="T52" s="26"/>
      <c r="U52" s="27"/>
    </row>
    <row r="53" spans="14:21" x14ac:dyDescent="0.25">
      <c r="R53" s="26"/>
      <c r="S53" s="26"/>
      <c r="T53" s="26"/>
      <c r="U53" s="27"/>
    </row>
    <row r="54" spans="14:21" x14ac:dyDescent="0.25">
      <c r="R54" s="26"/>
      <c r="S54" s="26"/>
      <c r="T54" s="26"/>
      <c r="U54" s="27"/>
    </row>
    <row r="55" spans="14:21" x14ac:dyDescent="0.25">
      <c r="R55" s="26"/>
      <c r="S55" s="26"/>
      <c r="T55" s="26"/>
      <c r="U55" s="27"/>
    </row>
    <row r="56" spans="14:21" x14ac:dyDescent="0.25">
      <c r="R56" s="26"/>
      <c r="S56" s="26"/>
      <c r="T56" s="26"/>
      <c r="U56" s="27"/>
    </row>
    <row r="57" spans="14:21" x14ac:dyDescent="0.25">
      <c r="R57" s="26"/>
      <c r="S57" s="26"/>
      <c r="T57" s="26"/>
      <c r="U57" s="27"/>
    </row>
    <row r="58" spans="14:21" x14ac:dyDescent="0.25">
      <c r="R58" s="26"/>
      <c r="S58" s="26"/>
      <c r="T58" s="26"/>
      <c r="U58" s="27"/>
    </row>
    <row r="59" spans="14:21" x14ac:dyDescent="0.25">
      <c r="R59" s="26"/>
      <c r="S59" s="26"/>
      <c r="T59" s="26"/>
      <c r="U59" s="27"/>
    </row>
    <row r="60" spans="14:21" x14ac:dyDescent="0.25">
      <c r="R60" s="26"/>
      <c r="S60" s="26"/>
      <c r="T60" s="26"/>
      <c r="U60" s="27"/>
    </row>
    <row r="61" spans="14:21" x14ac:dyDescent="0.25">
      <c r="R61" s="26"/>
      <c r="S61" s="26"/>
      <c r="T61" s="26"/>
      <c r="U61" s="27"/>
    </row>
    <row r="62" spans="14:21" x14ac:dyDescent="0.25">
      <c r="R62" s="26"/>
      <c r="S62" s="26"/>
      <c r="T62" s="26"/>
      <c r="U62" s="27"/>
    </row>
    <row r="63" spans="14:21" x14ac:dyDescent="0.25">
      <c r="R63" s="26"/>
      <c r="S63" s="26"/>
      <c r="T63" s="26"/>
      <c r="U63" s="27"/>
    </row>
    <row r="64" spans="14:21" x14ac:dyDescent="0.25">
      <c r="R64" s="26"/>
      <c r="S64" s="26"/>
      <c r="T64" s="26"/>
      <c r="U64" s="27"/>
    </row>
    <row r="65" spans="18:21" x14ac:dyDescent="0.25">
      <c r="R65" s="26"/>
      <c r="S65" s="26"/>
      <c r="T65" s="26"/>
      <c r="U65" s="27"/>
    </row>
    <row r="66" spans="18:21" x14ac:dyDescent="0.25">
      <c r="R66" s="26"/>
      <c r="S66" s="26"/>
      <c r="T66" s="26"/>
      <c r="U66" s="27"/>
    </row>
    <row r="67" spans="18:21" x14ac:dyDescent="0.25">
      <c r="R67" s="26"/>
      <c r="S67" s="26"/>
      <c r="T67" s="26"/>
      <c r="U67" s="27"/>
    </row>
    <row r="68" spans="18:21" x14ac:dyDescent="0.25">
      <c r="R68" s="26"/>
      <c r="S68" s="26"/>
      <c r="T68" s="26"/>
      <c r="U68" s="27"/>
    </row>
    <row r="69" spans="18:21" x14ac:dyDescent="0.25">
      <c r="R69" s="26"/>
      <c r="S69" s="26"/>
      <c r="T69" s="26"/>
      <c r="U69" s="27"/>
    </row>
    <row r="70" spans="18:21" x14ac:dyDescent="0.25">
      <c r="R70" s="26"/>
      <c r="S70" s="26"/>
      <c r="T70" s="26"/>
      <c r="U70" s="27"/>
    </row>
    <row r="71" spans="18:21" x14ac:dyDescent="0.25">
      <c r="R71" s="26"/>
      <c r="S71" s="26"/>
      <c r="T71" s="26"/>
      <c r="U71" s="27"/>
    </row>
    <row r="72" spans="18:21" x14ac:dyDescent="0.25">
      <c r="R72" s="26"/>
      <c r="S72" s="26"/>
      <c r="T72" s="26"/>
      <c r="U72" s="27"/>
    </row>
    <row r="73" spans="18:21" x14ac:dyDescent="0.25">
      <c r="R73" s="26"/>
      <c r="S73" s="26"/>
      <c r="T73" s="26"/>
      <c r="U73" s="27"/>
    </row>
    <row r="74" spans="18:21" x14ac:dyDescent="0.25">
      <c r="R74" s="26"/>
      <c r="S74" s="26"/>
      <c r="T74" s="26"/>
      <c r="U74" s="27"/>
    </row>
    <row r="75" spans="18:21" x14ac:dyDescent="0.25">
      <c r="R75" s="26"/>
      <c r="S75" s="26"/>
      <c r="T75" s="26"/>
      <c r="U75" s="27"/>
    </row>
    <row r="76" spans="18:21" x14ac:dyDescent="0.25">
      <c r="R76" s="26"/>
      <c r="S76" s="26"/>
      <c r="T76" s="26"/>
      <c r="U76" s="27"/>
    </row>
    <row r="77" spans="18:21" x14ac:dyDescent="0.25">
      <c r="R77" s="26"/>
      <c r="S77" s="26"/>
      <c r="T77" s="26"/>
      <c r="U77" s="27"/>
    </row>
    <row r="78" spans="18:21" x14ac:dyDescent="0.25">
      <c r="R78" s="26"/>
      <c r="S78" s="26"/>
      <c r="T78" s="26"/>
      <c r="U78" s="27"/>
    </row>
    <row r="79" spans="18:21" x14ac:dyDescent="0.25">
      <c r="R79" s="26"/>
      <c r="S79" s="26"/>
      <c r="T79" s="26"/>
      <c r="U79" s="27"/>
    </row>
    <row r="80" spans="18:21" x14ac:dyDescent="0.25">
      <c r="R80" s="26"/>
      <c r="S80" s="26"/>
      <c r="T80" s="26"/>
      <c r="U80" s="27"/>
    </row>
    <row r="81" spans="18:21" x14ac:dyDescent="0.25">
      <c r="R81" s="26"/>
      <c r="S81" s="26"/>
      <c r="T81" s="26"/>
      <c r="U81" s="27"/>
    </row>
    <row r="82" spans="18:21" x14ac:dyDescent="0.25">
      <c r="R82" s="26"/>
      <c r="S82" s="26"/>
      <c r="T82" s="26"/>
      <c r="U82" s="27"/>
    </row>
    <row r="83" spans="18:21" x14ac:dyDescent="0.25">
      <c r="R83" s="26"/>
      <c r="S83" s="26"/>
      <c r="T83" s="26"/>
      <c r="U83" s="27"/>
    </row>
    <row r="84" spans="18:21" x14ac:dyDescent="0.25">
      <c r="R84" s="26"/>
      <c r="S84" s="26"/>
      <c r="T84" s="26"/>
      <c r="U84" s="27"/>
    </row>
    <row r="85" spans="18:21" x14ac:dyDescent="0.25">
      <c r="R85" s="26"/>
      <c r="S85" s="26"/>
      <c r="T85" s="26"/>
      <c r="U85" s="27"/>
    </row>
    <row r="86" spans="18:21" x14ac:dyDescent="0.25">
      <c r="R86" s="26"/>
      <c r="S86" s="26"/>
      <c r="T86" s="26"/>
      <c r="U86" s="27"/>
    </row>
    <row r="87" spans="18:21" x14ac:dyDescent="0.25">
      <c r="R87" s="26"/>
      <c r="S87" s="26"/>
      <c r="T87" s="26"/>
      <c r="U87" s="27"/>
    </row>
    <row r="88" spans="18:21" x14ac:dyDescent="0.25">
      <c r="R88" s="26"/>
      <c r="S88" s="26"/>
      <c r="T88" s="26"/>
      <c r="U88" s="27"/>
    </row>
    <row r="89" spans="18:21" x14ac:dyDescent="0.25">
      <c r="R89" s="26"/>
      <c r="S89" s="26"/>
      <c r="T89" s="26"/>
      <c r="U89" s="27"/>
    </row>
    <row r="90" spans="18:21" x14ac:dyDescent="0.25">
      <c r="R90" s="26"/>
      <c r="S90" s="26"/>
      <c r="T90" s="26"/>
      <c r="U90" s="27"/>
    </row>
    <row r="91" spans="18:21" x14ac:dyDescent="0.25">
      <c r="R91" s="26"/>
      <c r="S91" s="26"/>
      <c r="T91" s="26"/>
      <c r="U91" s="27"/>
    </row>
    <row r="92" spans="18:21" x14ac:dyDescent="0.25">
      <c r="R92" s="26"/>
      <c r="S92" s="26"/>
      <c r="T92" s="26"/>
      <c r="U92" s="27"/>
    </row>
    <row r="93" spans="18:21" x14ac:dyDescent="0.25">
      <c r="R93" s="26"/>
      <c r="S93" s="26"/>
      <c r="T93" s="26"/>
      <c r="U93" s="27"/>
    </row>
    <row r="94" spans="18:21" x14ac:dyDescent="0.25">
      <c r="R94" s="26"/>
      <c r="S94" s="26"/>
      <c r="T94" s="26"/>
      <c r="U94" s="27"/>
    </row>
    <row r="95" spans="18:21" x14ac:dyDescent="0.25">
      <c r="R95" s="26"/>
      <c r="S95" s="26"/>
      <c r="T95" s="26"/>
      <c r="U95" s="27"/>
    </row>
    <row r="96" spans="18:21" x14ac:dyDescent="0.25">
      <c r="R96" s="26"/>
      <c r="S96" s="26"/>
      <c r="T96" s="26"/>
      <c r="U96" s="27"/>
    </row>
    <row r="97" spans="18:21" x14ac:dyDescent="0.25">
      <c r="R97" s="26"/>
      <c r="S97" s="26"/>
      <c r="T97" s="26"/>
      <c r="U97" s="27"/>
    </row>
    <row r="98" spans="18:21" x14ac:dyDescent="0.25">
      <c r="R98" s="26"/>
      <c r="S98" s="26"/>
      <c r="T98" s="26"/>
      <c r="U98" s="27"/>
    </row>
    <row r="99" spans="18:21" x14ac:dyDescent="0.25">
      <c r="R99" s="26"/>
      <c r="S99" s="26"/>
      <c r="T99" s="26"/>
      <c r="U99" s="27"/>
    </row>
    <row r="100" spans="18:21" x14ac:dyDescent="0.25">
      <c r="R100" s="26"/>
      <c r="S100" s="26"/>
      <c r="T100" s="26"/>
      <c r="U100" s="27"/>
    </row>
    <row r="101" spans="18:21" x14ac:dyDescent="0.25">
      <c r="R101" s="26"/>
      <c r="S101" s="26"/>
      <c r="T101" s="26"/>
      <c r="U101" s="27"/>
    </row>
    <row r="102" spans="18:21" x14ac:dyDescent="0.25">
      <c r="R102" s="26"/>
      <c r="S102" s="26"/>
      <c r="T102" s="26"/>
      <c r="U102" s="27"/>
    </row>
    <row r="103" spans="18:21" x14ac:dyDescent="0.25">
      <c r="R103" s="26"/>
      <c r="S103" s="26"/>
      <c r="T103" s="26"/>
      <c r="U103" s="27"/>
    </row>
    <row r="104" spans="18:21" x14ac:dyDescent="0.25">
      <c r="R104" s="26"/>
      <c r="S104" s="26"/>
      <c r="T104" s="26"/>
      <c r="U104" s="27"/>
    </row>
    <row r="105" spans="18:21" x14ac:dyDescent="0.25">
      <c r="R105" s="26"/>
      <c r="S105" s="26"/>
      <c r="T105" s="26"/>
      <c r="U105" s="27"/>
    </row>
    <row r="106" spans="18:21" x14ac:dyDescent="0.25">
      <c r="R106" s="26"/>
      <c r="S106" s="26"/>
      <c r="T106" s="26"/>
      <c r="U106" s="27"/>
    </row>
    <row r="107" spans="18:21" x14ac:dyDescent="0.25">
      <c r="R107" s="26"/>
      <c r="S107" s="26"/>
      <c r="T107" s="26"/>
      <c r="U107" s="27"/>
    </row>
    <row r="108" spans="18:21" x14ac:dyDescent="0.25">
      <c r="R108" s="26"/>
      <c r="S108" s="26"/>
      <c r="T108" s="26"/>
      <c r="U108" s="27"/>
    </row>
    <row r="109" spans="18:21" x14ac:dyDescent="0.25">
      <c r="R109" s="26"/>
      <c r="S109" s="26"/>
      <c r="T109" s="26"/>
      <c r="U109" s="27"/>
    </row>
    <row r="110" spans="18:21" x14ac:dyDescent="0.25">
      <c r="R110" s="26"/>
      <c r="S110" s="26"/>
      <c r="T110" s="26"/>
      <c r="U110" s="27"/>
    </row>
    <row r="111" spans="18:21" x14ac:dyDescent="0.25">
      <c r="R111" s="26"/>
      <c r="S111" s="26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6"/>
      <c r="S152" s="26"/>
      <c r="T152" s="26"/>
      <c r="U152" s="27"/>
    </row>
    <row r="153" spans="18:21" x14ac:dyDescent="0.25">
      <c r="R153" s="26"/>
      <c r="S153" s="26"/>
      <c r="T153" s="26"/>
      <c r="U153" s="27"/>
    </row>
    <row r="154" spans="18:21" x14ac:dyDescent="0.25">
      <c r="R154" s="26"/>
      <c r="S154" s="26"/>
      <c r="T154" s="26"/>
      <c r="U154" s="27"/>
    </row>
    <row r="155" spans="18:21" x14ac:dyDescent="0.25">
      <c r="R155" s="26"/>
      <c r="S155" s="26"/>
      <c r="T155" s="26"/>
      <c r="U155" s="27"/>
    </row>
    <row r="156" spans="18:21" x14ac:dyDescent="0.25">
      <c r="R156" s="26"/>
      <c r="S156" s="26"/>
      <c r="T156" s="26"/>
      <c r="U156" s="27"/>
    </row>
    <row r="157" spans="18:21" x14ac:dyDescent="0.25">
      <c r="R157" s="26"/>
      <c r="S157" s="26"/>
      <c r="T157" s="26"/>
      <c r="U157" s="27"/>
    </row>
    <row r="158" spans="18:21" x14ac:dyDescent="0.25">
      <c r="R158" s="26"/>
      <c r="S158" s="26"/>
      <c r="T158" s="26"/>
      <c r="U158" s="27"/>
    </row>
    <row r="159" spans="18:21" x14ac:dyDescent="0.25">
      <c r="R159" s="26"/>
      <c r="S159" s="26"/>
      <c r="T159" s="26"/>
      <c r="U159" s="27"/>
    </row>
    <row r="160" spans="18:21" x14ac:dyDescent="0.25">
      <c r="R160" s="26"/>
      <c r="S160" s="26"/>
      <c r="T160" s="26"/>
      <c r="U160" s="27"/>
    </row>
    <row r="161" spans="18:21" x14ac:dyDescent="0.25">
      <c r="R161" s="26"/>
      <c r="S161" s="26"/>
      <c r="T161" s="26"/>
      <c r="U161" s="27"/>
    </row>
    <row r="162" spans="18:21" x14ac:dyDescent="0.25">
      <c r="R162" s="26"/>
      <c r="S162" s="26"/>
      <c r="T162" s="26"/>
      <c r="U162" s="27"/>
    </row>
    <row r="163" spans="18:21" x14ac:dyDescent="0.25">
      <c r="R163" s="26"/>
      <c r="S163" s="26"/>
      <c r="T163" s="26"/>
      <c r="U163" s="27"/>
    </row>
    <row r="164" spans="18:21" x14ac:dyDescent="0.25">
      <c r="R164" s="26"/>
      <c r="S164" s="26"/>
      <c r="T164" s="26"/>
      <c r="U164" s="27"/>
    </row>
    <row r="165" spans="18:21" x14ac:dyDescent="0.25">
      <c r="R165" s="26"/>
      <c r="S165" s="26"/>
      <c r="T165" s="26"/>
      <c r="U165" s="27"/>
    </row>
    <row r="166" spans="18:21" x14ac:dyDescent="0.25">
      <c r="R166" s="26"/>
      <c r="S166" s="26"/>
      <c r="T166" s="26"/>
      <c r="U166" s="27"/>
    </row>
    <row r="167" spans="18:21" x14ac:dyDescent="0.25">
      <c r="R167" s="26"/>
      <c r="S167" s="26"/>
      <c r="T167" s="26"/>
      <c r="U167" s="27"/>
    </row>
    <row r="168" spans="18:21" x14ac:dyDescent="0.25">
      <c r="R168" s="26"/>
      <c r="S168" s="26"/>
      <c r="T168" s="26"/>
      <c r="U168" s="27"/>
    </row>
    <row r="169" spans="18:21" x14ac:dyDescent="0.25">
      <c r="R169" s="26"/>
      <c r="S169" s="26"/>
      <c r="T169" s="26"/>
      <c r="U169" s="27"/>
    </row>
    <row r="170" spans="18:21" x14ac:dyDescent="0.25">
      <c r="R170" s="26"/>
      <c r="S170" s="26"/>
      <c r="T170" s="26"/>
      <c r="U170" s="27"/>
    </row>
    <row r="171" spans="18:21" x14ac:dyDescent="0.25">
      <c r="R171" s="26"/>
      <c r="S171" s="26"/>
      <c r="T171" s="26"/>
      <c r="U171" s="27"/>
    </row>
    <row r="172" spans="18:21" x14ac:dyDescent="0.25">
      <c r="R172" s="26"/>
      <c r="S172" s="26"/>
      <c r="T172" s="26"/>
      <c r="U172" s="27"/>
    </row>
    <row r="173" spans="18:21" x14ac:dyDescent="0.25">
      <c r="R173" s="26"/>
      <c r="S173" s="26"/>
      <c r="T173" s="26"/>
      <c r="U173" s="27"/>
    </row>
    <row r="174" spans="18:21" x14ac:dyDescent="0.25">
      <c r="R174" s="26"/>
      <c r="S174" s="26"/>
      <c r="T174" s="26"/>
      <c r="U174" s="27"/>
    </row>
    <row r="175" spans="18:21" x14ac:dyDescent="0.25">
      <c r="R175" s="26"/>
      <c r="S175" s="26"/>
      <c r="T175" s="26"/>
      <c r="U175" s="27"/>
    </row>
    <row r="176" spans="18:21" x14ac:dyDescent="0.25">
      <c r="R176" s="26"/>
      <c r="S176" s="26"/>
      <c r="T176" s="26"/>
      <c r="U176" s="27"/>
    </row>
    <row r="177" spans="18:21" x14ac:dyDescent="0.25">
      <c r="R177" s="26"/>
      <c r="S177" s="26"/>
      <c r="T177" s="26"/>
      <c r="U177" s="27"/>
    </row>
    <row r="178" spans="18:21" x14ac:dyDescent="0.25">
      <c r="R178" s="26"/>
      <c r="S178" s="26"/>
      <c r="T178" s="26"/>
      <c r="U178" s="27"/>
    </row>
    <row r="179" spans="18:21" x14ac:dyDescent="0.25">
      <c r="R179" s="26"/>
      <c r="S179" s="26"/>
      <c r="T179" s="26"/>
      <c r="U179" s="27"/>
    </row>
    <row r="180" spans="18:21" x14ac:dyDescent="0.25">
      <c r="R180" s="26"/>
      <c r="S180" s="26"/>
      <c r="T180" s="26"/>
      <c r="U180" s="27"/>
    </row>
    <row r="181" spans="18:21" x14ac:dyDescent="0.25">
      <c r="R181" s="26"/>
      <c r="S181" s="26"/>
      <c r="T181" s="26"/>
      <c r="U181" s="27"/>
    </row>
    <row r="182" spans="18:21" x14ac:dyDescent="0.25">
      <c r="R182" s="26"/>
      <c r="S182" s="26"/>
      <c r="T182" s="26"/>
      <c r="U182" s="27"/>
    </row>
    <row r="183" spans="18:21" x14ac:dyDescent="0.25">
      <c r="R183" s="26"/>
      <c r="S183" s="26"/>
      <c r="T183" s="26"/>
      <c r="U183" s="27"/>
    </row>
    <row r="184" spans="18:21" x14ac:dyDescent="0.25">
      <c r="R184" s="26"/>
      <c r="S184" s="26"/>
      <c r="T184" s="26"/>
      <c r="U184" s="27"/>
    </row>
    <row r="185" spans="18:21" x14ac:dyDescent="0.25">
      <c r="R185" s="26"/>
      <c r="S185" s="26"/>
      <c r="T185" s="26"/>
      <c r="U185" s="27"/>
    </row>
    <row r="186" spans="18:21" x14ac:dyDescent="0.25">
      <c r="R186" s="26"/>
      <c r="S186" s="26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42" spans="18:21" x14ac:dyDescent="0.25">
      <c r="R242" s="26"/>
      <c r="S242" s="26"/>
      <c r="T242" s="26"/>
      <c r="U242" s="27"/>
    </row>
    <row r="243" spans="18:21" x14ac:dyDescent="0.25">
      <c r="R243" s="26"/>
      <c r="S243" s="26"/>
      <c r="T243" s="26"/>
      <c r="U243" s="27"/>
    </row>
    <row r="244" spans="18:21" x14ac:dyDescent="0.25">
      <c r="R244" s="26"/>
      <c r="S244" s="26"/>
      <c r="T244" s="26"/>
      <c r="U244" s="27"/>
    </row>
    <row r="245" spans="18:21" x14ac:dyDescent="0.25">
      <c r="R245" s="26"/>
      <c r="S245" s="26"/>
      <c r="T245" s="26"/>
      <c r="U245" s="27"/>
    </row>
    <row r="246" spans="18:21" x14ac:dyDescent="0.25">
      <c r="R246" s="26"/>
      <c r="S246" s="26"/>
      <c r="T246" s="26"/>
      <c r="U246" s="27"/>
    </row>
    <row r="247" spans="18:21" x14ac:dyDescent="0.25">
      <c r="R247" s="26"/>
      <c r="S247" s="26"/>
      <c r="T247" s="26"/>
      <c r="U247" s="27"/>
    </row>
    <row r="248" spans="18:21" x14ac:dyDescent="0.25">
      <c r="R248" s="26"/>
      <c r="S248" s="26"/>
      <c r="T248" s="26"/>
      <c r="U248" s="27"/>
    </row>
    <row r="249" spans="18:21" x14ac:dyDescent="0.25">
      <c r="R249" s="26"/>
      <c r="S249" s="26"/>
      <c r="T249" s="26"/>
      <c r="U249" s="27"/>
    </row>
    <row r="250" spans="18:21" x14ac:dyDescent="0.25">
      <c r="R250" s="26"/>
      <c r="S250" s="26"/>
      <c r="T250" s="26"/>
      <c r="U250" s="27"/>
    </row>
    <row r="251" spans="18:21" x14ac:dyDescent="0.25">
      <c r="R251" s="26"/>
      <c r="S251" s="26"/>
      <c r="T251" s="26"/>
      <c r="U251" s="27"/>
    </row>
    <row r="252" spans="18:21" x14ac:dyDescent="0.25">
      <c r="R252" s="26"/>
      <c r="S252" s="26"/>
      <c r="T252" s="26"/>
      <c r="U252" s="27"/>
    </row>
    <row r="253" spans="18:21" x14ac:dyDescent="0.25">
      <c r="R253" s="26"/>
      <c r="S253" s="26"/>
      <c r="T253" s="26"/>
      <c r="U253" s="27"/>
    </row>
    <row r="254" spans="18:21" x14ac:dyDescent="0.25">
      <c r="R254" s="26"/>
      <c r="S254" s="26"/>
      <c r="T254" s="26"/>
      <c r="U254" s="27"/>
    </row>
    <row r="255" spans="18:21" x14ac:dyDescent="0.25">
      <c r="R255" s="26"/>
      <c r="S255" s="26"/>
      <c r="T255" s="26"/>
      <c r="U255" s="27"/>
    </row>
    <row r="256" spans="18:21" x14ac:dyDescent="0.25">
      <c r="R256" s="26"/>
      <c r="S256" s="26"/>
      <c r="T256" s="26"/>
      <c r="U256" s="27"/>
    </row>
    <row r="257" spans="18:21" x14ac:dyDescent="0.25">
      <c r="R257" s="26"/>
      <c r="S257" s="26"/>
      <c r="T257" s="26"/>
      <c r="U257" s="27"/>
    </row>
    <row r="258" spans="18:21" x14ac:dyDescent="0.25">
      <c r="R258" s="26"/>
      <c r="S258" s="26"/>
      <c r="T258" s="26"/>
      <c r="U258" s="27"/>
    </row>
    <row r="259" spans="18:21" x14ac:dyDescent="0.25">
      <c r="R259" s="26"/>
      <c r="S259" s="26"/>
      <c r="T259" s="26"/>
      <c r="U259" s="27"/>
    </row>
    <row r="260" spans="18:21" x14ac:dyDescent="0.25">
      <c r="R260" s="26"/>
      <c r="S260" s="26"/>
      <c r="T260" s="26"/>
      <c r="U260" s="27"/>
    </row>
    <row r="261" spans="18:21" x14ac:dyDescent="0.25">
      <c r="R261" s="26"/>
      <c r="S261" s="26"/>
      <c r="T261" s="26"/>
      <c r="U261" s="27"/>
    </row>
    <row r="262" spans="18:21" x14ac:dyDescent="0.25">
      <c r="R262" s="26"/>
      <c r="S262" s="26"/>
      <c r="T262" s="26"/>
      <c r="U262" s="27"/>
    </row>
    <row r="263" spans="18:21" x14ac:dyDescent="0.25">
      <c r="R263" s="26"/>
      <c r="S263" s="26"/>
      <c r="T263" s="26"/>
      <c r="U263" s="27"/>
    </row>
    <row r="264" spans="18:21" x14ac:dyDescent="0.25">
      <c r="R264" s="26"/>
      <c r="S264" s="26"/>
      <c r="T264" s="26"/>
      <c r="U264" s="27"/>
    </row>
    <row r="265" spans="18:21" x14ac:dyDescent="0.25">
      <c r="R265" s="26"/>
      <c r="S265" s="26"/>
      <c r="T265" s="26"/>
      <c r="U265" s="27"/>
    </row>
    <row r="266" spans="18:21" x14ac:dyDescent="0.25">
      <c r="R266" s="26"/>
      <c r="S266" s="26"/>
      <c r="T266" s="26"/>
      <c r="U266" s="27"/>
    </row>
    <row r="267" spans="18:21" x14ac:dyDescent="0.25">
      <c r="R267" s="26"/>
      <c r="S267" s="26"/>
      <c r="T267" s="26"/>
      <c r="U267" s="27"/>
    </row>
    <row r="268" spans="18:21" x14ac:dyDescent="0.25">
      <c r="R268" s="26"/>
      <c r="S268" s="26"/>
      <c r="T268" s="26"/>
      <c r="U268" s="27"/>
    </row>
    <row r="269" spans="18:21" x14ac:dyDescent="0.25">
      <c r="R269" s="26"/>
      <c r="S269" s="26"/>
      <c r="T269" s="26"/>
      <c r="U269" s="27"/>
    </row>
    <row r="270" spans="18:21" x14ac:dyDescent="0.25">
      <c r="R270" s="26"/>
      <c r="S270" s="26"/>
      <c r="T270" s="26"/>
      <c r="U270" s="27"/>
    </row>
    <row r="271" spans="18:21" x14ac:dyDescent="0.25">
      <c r="R271" s="26"/>
      <c r="S271" s="26"/>
      <c r="T271" s="26"/>
      <c r="U271" s="27"/>
    </row>
    <row r="272" spans="18:21" x14ac:dyDescent="0.25">
      <c r="R272" s="26"/>
      <c r="S272" s="26"/>
      <c r="T272" s="26"/>
      <c r="U272" s="27"/>
    </row>
    <row r="273" spans="18:21" x14ac:dyDescent="0.25">
      <c r="R273" s="26"/>
      <c r="S273" s="26"/>
      <c r="T273" s="26"/>
      <c r="U273" s="27"/>
    </row>
    <row r="274" spans="18:21" x14ac:dyDescent="0.25">
      <c r="R274" s="26"/>
      <c r="S274" s="26"/>
      <c r="T274" s="26"/>
      <c r="U274" s="27"/>
    </row>
    <row r="275" spans="18:21" x14ac:dyDescent="0.25">
      <c r="R275" s="26"/>
      <c r="S275" s="26"/>
      <c r="T275" s="26"/>
      <c r="U275" s="27"/>
    </row>
    <row r="276" spans="18:21" x14ac:dyDescent="0.25">
      <c r="R276" s="26"/>
      <c r="S276" s="26"/>
      <c r="T276" s="26"/>
      <c r="U276" s="27"/>
    </row>
    <row r="277" spans="18:21" x14ac:dyDescent="0.25">
      <c r="R277" s="26"/>
      <c r="S277" s="26"/>
      <c r="T277" s="26"/>
      <c r="U277" s="27"/>
    </row>
    <row r="278" spans="18:21" x14ac:dyDescent="0.25">
      <c r="R278" s="26"/>
      <c r="S278" s="26"/>
      <c r="T278" s="26"/>
      <c r="U278" s="27"/>
    </row>
    <row r="279" spans="18:21" x14ac:dyDescent="0.25">
      <c r="R279" s="26"/>
      <c r="S279" s="26"/>
      <c r="T279" s="26"/>
      <c r="U279" s="27"/>
    </row>
    <row r="280" spans="18:21" x14ac:dyDescent="0.25">
      <c r="R280" s="26"/>
      <c r="S280" s="26"/>
      <c r="T280" s="26"/>
      <c r="U280" s="27"/>
    </row>
    <row r="281" spans="18:21" x14ac:dyDescent="0.25">
      <c r="R281" s="26"/>
      <c r="S281" s="26"/>
      <c r="T281" s="26"/>
      <c r="U281" s="27"/>
    </row>
    <row r="282" spans="18:21" x14ac:dyDescent="0.25">
      <c r="R282" s="26"/>
      <c r="S282" s="26"/>
      <c r="T282" s="26"/>
      <c r="U282" s="27"/>
    </row>
    <row r="283" spans="18:21" x14ac:dyDescent="0.25">
      <c r="R283" s="26"/>
      <c r="S283" s="26"/>
      <c r="T283" s="26"/>
      <c r="U283" s="27"/>
    </row>
    <row r="284" spans="18:21" x14ac:dyDescent="0.25">
      <c r="R284" s="26"/>
      <c r="S284" s="26"/>
      <c r="T284" s="26"/>
      <c r="U284" s="27"/>
    </row>
    <row r="285" spans="18:21" x14ac:dyDescent="0.25">
      <c r="R285" s="26"/>
      <c r="S285" s="26"/>
      <c r="T285" s="26"/>
      <c r="U285" s="27"/>
    </row>
    <row r="286" spans="18:21" x14ac:dyDescent="0.25">
      <c r="R286" s="26"/>
      <c r="S286" s="26"/>
      <c r="T286" s="26"/>
      <c r="U286" s="27"/>
    </row>
    <row r="287" spans="18:21" x14ac:dyDescent="0.25">
      <c r="R287" s="26"/>
      <c r="S287" s="26"/>
      <c r="T287" s="26"/>
      <c r="U287" s="27"/>
    </row>
    <row r="288" spans="18:21" x14ac:dyDescent="0.25">
      <c r="R288" s="26"/>
      <c r="S288" s="26"/>
      <c r="T288" s="26"/>
      <c r="U288" s="27"/>
    </row>
    <row r="289" spans="18:21" x14ac:dyDescent="0.25">
      <c r="R289" s="26"/>
      <c r="S289" s="26"/>
      <c r="T289" s="26"/>
      <c r="U289" s="27"/>
    </row>
    <row r="290" spans="18:21" x14ac:dyDescent="0.25">
      <c r="R290" s="26"/>
      <c r="S290" s="26"/>
      <c r="T290" s="26"/>
      <c r="U290" s="27"/>
    </row>
    <row r="291" spans="18:21" x14ac:dyDescent="0.25">
      <c r="R291" s="26"/>
      <c r="S291" s="26"/>
      <c r="T291" s="26"/>
      <c r="U291" s="27"/>
    </row>
    <row r="292" spans="18:21" x14ac:dyDescent="0.25">
      <c r="R292" s="26"/>
      <c r="S292" s="26"/>
      <c r="T292" s="26"/>
      <c r="U292" s="27"/>
    </row>
    <row r="293" spans="18:21" x14ac:dyDescent="0.25">
      <c r="R293" s="26"/>
      <c r="S293" s="26"/>
      <c r="T293" s="26"/>
      <c r="U293" s="27"/>
    </row>
    <row r="294" spans="18:21" x14ac:dyDescent="0.25">
      <c r="R294" s="26"/>
      <c r="S294" s="26"/>
      <c r="T294" s="26"/>
      <c r="U294" s="27"/>
    </row>
    <row r="295" spans="18:21" x14ac:dyDescent="0.25">
      <c r="R295" s="26"/>
      <c r="S295" s="26"/>
      <c r="T295" s="26"/>
      <c r="U295" s="27"/>
    </row>
    <row r="296" spans="18:21" x14ac:dyDescent="0.25">
      <c r="R296" s="26"/>
      <c r="S296" s="26"/>
      <c r="T296" s="26"/>
      <c r="U296" s="27"/>
    </row>
    <row r="297" spans="18:21" x14ac:dyDescent="0.25">
      <c r="R297" s="26"/>
      <c r="S297" s="26"/>
      <c r="T297" s="26"/>
      <c r="U297" s="27"/>
    </row>
    <row r="298" spans="18:21" x14ac:dyDescent="0.25">
      <c r="R298" s="26"/>
      <c r="S298" s="26"/>
      <c r="T298" s="26"/>
      <c r="U298" s="27"/>
    </row>
    <row r="299" spans="18:21" x14ac:dyDescent="0.25">
      <c r="R299" s="26"/>
      <c r="S299" s="26"/>
      <c r="T299" s="26"/>
      <c r="U299" s="27"/>
    </row>
    <row r="300" spans="18:21" x14ac:dyDescent="0.25">
      <c r="R300" s="26"/>
      <c r="S300" s="26"/>
      <c r="T300" s="26"/>
      <c r="U300" s="27"/>
    </row>
    <row r="301" spans="18:21" x14ac:dyDescent="0.25">
      <c r="R301" s="26"/>
      <c r="S301" s="26"/>
      <c r="T301" s="26"/>
      <c r="U301" s="27"/>
    </row>
    <row r="302" spans="18:21" x14ac:dyDescent="0.25">
      <c r="R302" s="26"/>
      <c r="S302" s="26"/>
      <c r="T302" s="26"/>
      <c r="U302" s="27"/>
    </row>
    <row r="303" spans="18:21" x14ac:dyDescent="0.25">
      <c r="R303" s="26"/>
      <c r="S303" s="26"/>
      <c r="T303" s="26"/>
      <c r="U303" s="27"/>
    </row>
    <row r="304" spans="18:21" x14ac:dyDescent="0.25">
      <c r="R304" s="26"/>
      <c r="S304" s="26"/>
      <c r="T304" s="26"/>
      <c r="U304" s="27"/>
    </row>
    <row r="305" spans="18:21" x14ac:dyDescent="0.25">
      <c r="R305" s="26"/>
      <c r="S305" s="26"/>
      <c r="T305" s="26"/>
      <c r="U305" s="27"/>
    </row>
    <row r="306" spans="18:21" x14ac:dyDescent="0.25">
      <c r="R306" s="26"/>
      <c r="S306" s="26"/>
      <c r="T306" s="26"/>
      <c r="U306" s="27"/>
    </row>
    <row r="307" spans="18:21" x14ac:dyDescent="0.25">
      <c r="R307" s="26"/>
      <c r="S307" s="26"/>
      <c r="T307" s="26"/>
      <c r="U307" s="27"/>
    </row>
    <row r="308" spans="18:21" x14ac:dyDescent="0.25">
      <c r="R308" s="26"/>
      <c r="S308" s="26"/>
      <c r="T308" s="26"/>
      <c r="U308" s="27"/>
    </row>
    <row r="309" spans="18:21" x14ac:dyDescent="0.25">
      <c r="R309" s="26"/>
      <c r="S309" s="26"/>
      <c r="T309" s="26"/>
      <c r="U309" s="27"/>
    </row>
    <row r="310" spans="18:21" x14ac:dyDescent="0.25">
      <c r="R310" s="26"/>
      <c r="S310" s="26"/>
      <c r="T310" s="26"/>
      <c r="U310" s="27"/>
    </row>
    <row r="311" spans="18:21" x14ac:dyDescent="0.25">
      <c r="R311" s="26"/>
      <c r="S311" s="26"/>
      <c r="T311" s="26"/>
      <c r="U311" s="27"/>
    </row>
    <row r="312" spans="18:21" x14ac:dyDescent="0.25">
      <c r="R312" s="26"/>
      <c r="S312" s="26"/>
      <c r="T312" s="26"/>
      <c r="U312" s="27"/>
    </row>
    <row r="313" spans="18:21" x14ac:dyDescent="0.25">
      <c r="R313" s="26"/>
      <c r="S313" s="26"/>
      <c r="T313" s="26"/>
      <c r="U313" s="27"/>
    </row>
    <row r="314" spans="18:21" x14ac:dyDescent="0.25">
      <c r="R314" s="26"/>
      <c r="S314" s="26"/>
      <c r="T314" s="26"/>
      <c r="U314" s="27"/>
    </row>
    <row r="315" spans="18:21" x14ac:dyDescent="0.25">
      <c r="R315" s="26"/>
      <c r="S315" s="26"/>
      <c r="T315" s="26"/>
      <c r="U315" s="27"/>
    </row>
    <row r="316" spans="18:21" x14ac:dyDescent="0.25">
      <c r="R316" s="26"/>
      <c r="S316" s="26"/>
      <c r="T316" s="26"/>
      <c r="U316" s="27"/>
    </row>
    <row r="317" spans="18:21" x14ac:dyDescent="0.25">
      <c r="R317" s="26"/>
      <c r="S317" s="26"/>
      <c r="T317" s="26"/>
      <c r="U317" s="27"/>
    </row>
    <row r="318" spans="18:21" x14ac:dyDescent="0.25">
      <c r="R318" s="26"/>
      <c r="S318" s="26"/>
      <c r="T318" s="26"/>
      <c r="U318" s="27"/>
    </row>
    <row r="319" spans="18:21" x14ac:dyDescent="0.25">
      <c r="R319" s="26"/>
      <c r="S319" s="26"/>
      <c r="T319" s="26"/>
      <c r="U319" s="27"/>
    </row>
    <row r="320" spans="18:21" x14ac:dyDescent="0.25">
      <c r="R320" s="26"/>
      <c r="S320" s="26"/>
      <c r="T320" s="26"/>
      <c r="U320" s="27"/>
    </row>
    <row r="321" spans="18:21" x14ac:dyDescent="0.25">
      <c r="R321" s="26"/>
      <c r="S321" s="26"/>
      <c r="T321" s="26"/>
      <c r="U321" s="27"/>
    </row>
    <row r="322" spans="18:21" x14ac:dyDescent="0.25">
      <c r="R322" s="26"/>
      <c r="S322" s="26"/>
      <c r="T322" s="26"/>
      <c r="U322" s="27"/>
    </row>
    <row r="323" spans="18:21" x14ac:dyDescent="0.25">
      <c r="R323" s="26"/>
      <c r="S323" s="26"/>
      <c r="T323" s="26"/>
      <c r="U323" s="27"/>
    </row>
    <row r="324" spans="18:21" x14ac:dyDescent="0.25">
      <c r="R324" s="26"/>
      <c r="S324" s="26"/>
      <c r="T324" s="26"/>
      <c r="U324" s="27"/>
    </row>
    <row r="325" spans="18:21" x14ac:dyDescent="0.25">
      <c r="R325" s="26"/>
      <c r="S325" s="26"/>
      <c r="T325" s="26"/>
      <c r="U325" s="27"/>
    </row>
    <row r="326" spans="18:21" x14ac:dyDescent="0.25">
      <c r="R326" s="26"/>
      <c r="S326" s="26"/>
      <c r="T326" s="26"/>
      <c r="U326" s="27"/>
    </row>
    <row r="327" spans="18:21" x14ac:dyDescent="0.25">
      <c r="R327" s="26"/>
      <c r="S327" s="26"/>
      <c r="T327" s="26"/>
      <c r="U327" s="27"/>
    </row>
    <row r="328" spans="18:21" x14ac:dyDescent="0.25">
      <c r="R328" s="26"/>
      <c r="S328" s="26"/>
      <c r="T328" s="26"/>
      <c r="U328" s="27"/>
    </row>
    <row r="329" spans="18:21" x14ac:dyDescent="0.25">
      <c r="R329" s="26"/>
      <c r="S329" s="26"/>
      <c r="T329" s="26"/>
      <c r="U329" s="27"/>
    </row>
    <row r="330" spans="18:21" x14ac:dyDescent="0.25">
      <c r="R330" s="26"/>
      <c r="S330" s="26"/>
      <c r="T330" s="26"/>
      <c r="U330" s="27"/>
    </row>
    <row r="331" spans="18:21" x14ac:dyDescent="0.25">
      <c r="R331" s="26"/>
      <c r="S331" s="26"/>
      <c r="T331" s="26"/>
      <c r="U331" s="27"/>
    </row>
    <row r="332" spans="18:21" x14ac:dyDescent="0.25">
      <c r="R332" s="26"/>
      <c r="S332" s="26"/>
      <c r="T332" s="26"/>
      <c r="U332" s="27"/>
    </row>
    <row r="333" spans="18:21" x14ac:dyDescent="0.25">
      <c r="R333" s="26"/>
      <c r="S333" s="26"/>
      <c r="T333" s="26"/>
      <c r="U333" s="27"/>
    </row>
    <row r="334" spans="18:21" x14ac:dyDescent="0.25">
      <c r="R334" s="26"/>
      <c r="S334" s="26"/>
      <c r="T334" s="26"/>
      <c r="U334" s="27"/>
    </row>
    <row r="335" spans="18:21" x14ac:dyDescent="0.25">
      <c r="R335" s="26"/>
      <c r="S335" s="26"/>
      <c r="T335" s="26"/>
      <c r="U335" s="27"/>
    </row>
    <row r="336" spans="18:21" x14ac:dyDescent="0.25">
      <c r="R336" s="26"/>
      <c r="S336" s="26"/>
      <c r="T336" s="26"/>
      <c r="U336" s="27"/>
    </row>
    <row r="337" spans="18:21" x14ac:dyDescent="0.25">
      <c r="R337" s="26"/>
      <c r="S337" s="26"/>
      <c r="T337" s="26"/>
      <c r="U337" s="27"/>
    </row>
    <row r="338" spans="18:21" x14ac:dyDescent="0.25">
      <c r="R338" s="26"/>
      <c r="S338" s="26"/>
      <c r="T338" s="26"/>
      <c r="U338" s="27"/>
    </row>
    <row r="339" spans="18:21" x14ac:dyDescent="0.25">
      <c r="R339" s="26"/>
      <c r="S339" s="26"/>
      <c r="T339" s="26"/>
      <c r="U339" s="27"/>
    </row>
    <row r="340" spans="18:21" x14ac:dyDescent="0.25">
      <c r="R340" s="26"/>
      <c r="S340" s="26"/>
      <c r="T340" s="26"/>
      <c r="U340" s="27"/>
    </row>
    <row r="341" spans="18:21" x14ac:dyDescent="0.25">
      <c r="R341" s="26"/>
      <c r="S341" s="26"/>
      <c r="T341" s="26"/>
      <c r="U341" s="27"/>
    </row>
    <row r="342" spans="18:21" x14ac:dyDescent="0.25">
      <c r="R342" s="26"/>
      <c r="S342" s="26"/>
      <c r="T342" s="26"/>
      <c r="U342" s="27"/>
    </row>
    <row r="343" spans="18:21" x14ac:dyDescent="0.25">
      <c r="R343" s="26"/>
      <c r="S343" s="26"/>
      <c r="T343" s="26"/>
      <c r="U343" s="27"/>
    </row>
    <row r="344" spans="18:21" x14ac:dyDescent="0.25">
      <c r="R344" s="26"/>
      <c r="S344" s="26"/>
      <c r="T344" s="26"/>
      <c r="U344" s="27"/>
    </row>
    <row r="345" spans="18:21" x14ac:dyDescent="0.25">
      <c r="R345" s="26"/>
      <c r="S345" s="26"/>
      <c r="T345" s="26"/>
      <c r="U345" s="27"/>
    </row>
    <row r="346" spans="18:21" x14ac:dyDescent="0.25">
      <c r="R346" s="26"/>
      <c r="S346" s="26"/>
      <c r="T346" s="26"/>
      <c r="U346" s="27"/>
    </row>
    <row r="347" spans="18:21" x14ac:dyDescent="0.25">
      <c r="R347" s="26"/>
      <c r="S347" s="26"/>
      <c r="T347" s="26"/>
      <c r="U347" s="27"/>
    </row>
    <row r="348" spans="18:21" x14ac:dyDescent="0.25">
      <c r="R348" s="26"/>
      <c r="S348" s="26"/>
      <c r="T348" s="26"/>
      <c r="U348" s="27"/>
    </row>
    <row r="349" spans="18:21" x14ac:dyDescent="0.25">
      <c r="R349" s="26"/>
      <c r="S349" s="26"/>
      <c r="T349" s="26"/>
      <c r="U349" s="27"/>
    </row>
    <row r="350" spans="18:21" x14ac:dyDescent="0.25">
      <c r="R350" s="26"/>
      <c r="S350" s="26"/>
      <c r="T350" s="26"/>
      <c r="U350" s="27"/>
    </row>
    <row r="351" spans="18:21" x14ac:dyDescent="0.25">
      <c r="R351" s="26"/>
      <c r="S351" s="26"/>
      <c r="T351" s="26"/>
      <c r="U351" s="27"/>
    </row>
    <row r="352" spans="18:21" x14ac:dyDescent="0.25">
      <c r="R352" s="26"/>
      <c r="S352" s="26"/>
      <c r="T352" s="26"/>
      <c r="U352" s="27"/>
    </row>
    <row r="353" spans="18:21" x14ac:dyDescent="0.25">
      <c r="R353" s="26"/>
      <c r="S353" s="26"/>
      <c r="T353" s="26"/>
      <c r="U353" s="27"/>
    </row>
    <row r="354" spans="18:21" x14ac:dyDescent="0.25">
      <c r="R354" s="26"/>
      <c r="S354" s="26"/>
      <c r="T354" s="26"/>
      <c r="U354" s="27"/>
    </row>
    <row r="355" spans="18:21" x14ac:dyDescent="0.25">
      <c r="R355" s="26"/>
      <c r="S355" s="26"/>
      <c r="T355" s="26"/>
      <c r="U355" s="27"/>
    </row>
    <row r="356" spans="18:21" x14ac:dyDescent="0.25">
      <c r="R356" s="26"/>
      <c r="S356" s="26"/>
      <c r="T356" s="26"/>
      <c r="U356" s="27"/>
    </row>
    <row r="357" spans="18:21" x14ac:dyDescent="0.25">
      <c r="R357" s="26"/>
      <c r="S357" s="26"/>
      <c r="T357" s="26"/>
      <c r="U357" s="27"/>
    </row>
    <row r="358" spans="18:21" x14ac:dyDescent="0.25">
      <c r="R358" s="26"/>
      <c r="S358" s="26"/>
      <c r="T358" s="26"/>
      <c r="U358" s="27"/>
    </row>
    <row r="359" spans="18:21" x14ac:dyDescent="0.25">
      <c r="R359" s="26"/>
      <c r="S359" s="26"/>
      <c r="T359" s="26"/>
      <c r="U359" s="27"/>
    </row>
    <row r="360" spans="18:21" x14ac:dyDescent="0.25">
      <c r="R360" s="26"/>
      <c r="S360" s="26"/>
      <c r="T360" s="26"/>
      <c r="U360" s="27"/>
    </row>
    <row r="361" spans="18:21" x14ac:dyDescent="0.25">
      <c r="R361" s="26"/>
      <c r="S361" s="26"/>
      <c r="T361" s="26"/>
      <c r="U361" s="27"/>
    </row>
    <row r="362" spans="18:21" x14ac:dyDescent="0.25">
      <c r="R362" s="26"/>
      <c r="S362" s="26"/>
      <c r="T362" s="26"/>
      <c r="U362" s="27"/>
    </row>
    <row r="363" spans="18:21" x14ac:dyDescent="0.25">
      <c r="R363" s="26"/>
      <c r="S363" s="26"/>
      <c r="T363" s="26"/>
      <c r="U363" s="27"/>
    </row>
    <row r="364" spans="18:21" x14ac:dyDescent="0.25">
      <c r="R364" s="26"/>
      <c r="S364" s="26"/>
      <c r="T364" s="26"/>
      <c r="U364" s="27"/>
    </row>
    <row r="365" spans="18:21" x14ac:dyDescent="0.25">
      <c r="R365" s="26"/>
      <c r="S365" s="26"/>
      <c r="T365" s="26"/>
      <c r="U365" s="27"/>
    </row>
    <row r="366" spans="18:21" x14ac:dyDescent="0.25">
      <c r="R366" s="26"/>
      <c r="S366" s="26"/>
      <c r="T366" s="26"/>
      <c r="U366" s="27"/>
    </row>
    <row r="367" spans="18:21" x14ac:dyDescent="0.25">
      <c r="R367" s="26"/>
      <c r="S367" s="26"/>
      <c r="T367" s="26"/>
      <c r="U367" s="27"/>
    </row>
    <row r="368" spans="18:21" x14ac:dyDescent="0.25">
      <c r="R368" s="26"/>
      <c r="S368" s="26"/>
      <c r="T368" s="26"/>
      <c r="U368" s="27"/>
    </row>
    <row r="369" spans="18:21" x14ac:dyDescent="0.25">
      <c r="R369" s="26"/>
      <c r="S369" s="26"/>
      <c r="T369" s="26"/>
      <c r="U369" s="27"/>
    </row>
    <row r="370" spans="18:21" x14ac:dyDescent="0.25">
      <c r="R370" s="26"/>
      <c r="S370" s="26"/>
      <c r="T370" s="26"/>
      <c r="U370" s="27"/>
    </row>
    <row r="371" spans="18:21" x14ac:dyDescent="0.25">
      <c r="R371" s="26"/>
      <c r="S371" s="26"/>
      <c r="T371" s="26"/>
      <c r="U371" s="27"/>
    </row>
    <row r="372" spans="18:21" x14ac:dyDescent="0.25">
      <c r="R372" s="26"/>
      <c r="S372" s="26"/>
      <c r="T372" s="26"/>
      <c r="U372" s="27"/>
    </row>
    <row r="373" spans="18:21" x14ac:dyDescent="0.25">
      <c r="R373" s="26"/>
      <c r="S373" s="26"/>
      <c r="T373" s="26"/>
      <c r="U373" s="27"/>
    </row>
    <row r="374" spans="18:21" x14ac:dyDescent="0.25">
      <c r="R374" s="26"/>
      <c r="S374" s="26"/>
      <c r="T374" s="26"/>
      <c r="U374" s="27"/>
    </row>
    <row r="375" spans="18:21" x14ac:dyDescent="0.25">
      <c r="R375" s="26"/>
      <c r="S375" s="26"/>
      <c r="T375" s="26"/>
      <c r="U375" s="27"/>
    </row>
    <row r="376" spans="18:21" x14ac:dyDescent="0.25">
      <c r="R376" s="26"/>
      <c r="S376" s="26"/>
      <c r="T376" s="26"/>
      <c r="U376" s="27"/>
    </row>
    <row r="377" spans="18:21" x14ac:dyDescent="0.25">
      <c r="R377" s="26"/>
      <c r="S377" s="26"/>
      <c r="T377" s="26"/>
      <c r="U377" s="27"/>
    </row>
    <row r="378" spans="18:21" x14ac:dyDescent="0.25">
      <c r="R378" s="26"/>
      <c r="S378" s="26"/>
      <c r="T378" s="26"/>
      <c r="U378" s="27"/>
    </row>
    <row r="379" spans="18:21" x14ac:dyDescent="0.25">
      <c r="R379" s="26"/>
      <c r="S379" s="26"/>
      <c r="T379" s="26"/>
      <c r="U379" s="27"/>
    </row>
    <row r="380" spans="18:21" x14ac:dyDescent="0.25">
      <c r="R380" s="26"/>
      <c r="S380" s="26"/>
      <c r="T380" s="26"/>
      <c r="U380" s="27"/>
    </row>
    <row r="381" spans="18:21" x14ac:dyDescent="0.25">
      <c r="R381" s="26"/>
      <c r="S381" s="26"/>
      <c r="T381" s="26"/>
      <c r="U381" s="27"/>
    </row>
    <row r="382" spans="18:21" x14ac:dyDescent="0.25">
      <c r="R382" s="26"/>
      <c r="S382" s="26"/>
      <c r="T382" s="26"/>
      <c r="U382" s="27"/>
    </row>
    <row r="383" spans="18:21" x14ac:dyDescent="0.25">
      <c r="R383" s="26"/>
      <c r="S383" s="26"/>
      <c r="T383" s="26"/>
      <c r="U383" s="27"/>
    </row>
    <row r="384" spans="18:21" x14ac:dyDescent="0.25">
      <c r="R384" s="26"/>
      <c r="S384" s="26"/>
      <c r="T384" s="26"/>
      <c r="U384" s="27"/>
    </row>
    <row r="385" spans="18:21" x14ac:dyDescent="0.25">
      <c r="R385" s="26"/>
      <c r="S385" s="26"/>
      <c r="T385" s="26"/>
      <c r="U385" s="27"/>
    </row>
    <row r="386" spans="18:21" x14ac:dyDescent="0.25">
      <c r="R386" s="26"/>
      <c r="S386" s="26"/>
      <c r="T386" s="26"/>
      <c r="U386" s="27"/>
    </row>
    <row r="387" spans="18:21" x14ac:dyDescent="0.25">
      <c r="R387" s="26"/>
      <c r="S387" s="26"/>
      <c r="T387" s="26"/>
      <c r="U387" s="27"/>
    </row>
    <row r="388" spans="18:21" x14ac:dyDescent="0.25">
      <c r="R388" s="26"/>
      <c r="S388" s="26"/>
      <c r="T388" s="26"/>
      <c r="U388" s="27"/>
    </row>
    <row r="389" spans="18:21" x14ac:dyDescent="0.25">
      <c r="R389" s="26"/>
      <c r="S389" s="26"/>
      <c r="T389" s="26"/>
      <c r="U389" s="27"/>
    </row>
    <row r="390" spans="18:21" x14ac:dyDescent="0.25">
      <c r="R390" s="26"/>
      <c r="S390" s="26"/>
      <c r="T390" s="26"/>
      <c r="U390" s="27"/>
    </row>
    <row r="391" spans="18:21" x14ac:dyDescent="0.25">
      <c r="R391" s="26"/>
      <c r="S391" s="26"/>
      <c r="T391" s="26"/>
      <c r="U391" s="27"/>
    </row>
    <row r="392" spans="18:21" x14ac:dyDescent="0.25">
      <c r="R392" s="26"/>
      <c r="S392" s="26"/>
      <c r="T392" s="26"/>
      <c r="U392" s="27"/>
    </row>
    <row r="393" spans="18:21" x14ac:dyDescent="0.25">
      <c r="R393" s="26"/>
      <c r="S393" s="26"/>
      <c r="T393" s="26"/>
      <c r="U393" s="27"/>
    </row>
    <row r="394" spans="18:21" x14ac:dyDescent="0.25">
      <c r="R394" s="26"/>
      <c r="S394" s="26"/>
      <c r="T394" s="26"/>
      <c r="U394" s="27"/>
    </row>
    <row r="395" spans="18:21" x14ac:dyDescent="0.25">
      <c r="R395" s="26"/>
      <c r="S395" s="26"/>
      <c r="T395" s="26"/>
      <c r="U395" s="27"/>
    </row>
    <row r="396" spans="18:21" x14ac:dyDescent="0.25">
      <c r="R396" s="26"/>
      <c r="S396" s="26"/>
      <c r="T396" s="26"/>
      <c r="U396" s="27"/>
    </row>
    <row r="397" spans="18:21" x14ac:dyDescent="0.25">
      <c r="R397" s="26"/>
      <c r="S397" s="26"/>
      <c r="T397" s="26"/>
      <c r="U397" s="27"/>
    </row>
    <row r="398" spans="18:21" x14ac:dyDescent="0.25">
      <c r="R398" s="26"/>
      <c r="S398" s="26"/>
      <c r="T398" s="26"/>
      <c r="U398" s="27"/>
    </row>
    <row r="399" spans="18:21" x14ac:dyDescent="0.25">
      <c r="R399" s="26"/>
      <c r="S399" s="26"/>
      <c r="T399" s="26"/>
      <c r="U399" s="27"/>
    </row>
    <row r="400" spans="18:21" x14ac:dyDescent="0.25">
      <c r="R400" s="26"/>
      <c r="S400" s="26"/>
      <c r="T400" s="26"/>
      <c r="U400" s="27"/>
    </row>
    <row r="401" spans="18:21" x14ac:dyDescent="0.25">
      <c r="R401" s="26"/>
      <c r="S401" s="26"/>
      <c r="T401" s="26"/>
      <c r="U401" s="27"/>
    </row>
    <row r="402" spans="18:21" x14ac:dyDescent="0.25">
      <c r="R402" s="26"/>
      <c r="S402" s="26"/>
      <c r="T402" s="26"/>
      <c r="U402" s="27"/>
    </row>
    <row r="403" spans="18:21" x14ac:dyDescent="0.25">
      <c r="R403" s="26"/>
      <c r="S403" s="26"/>
      <c r="T403" s="26"/>
      <c r="U403" s="27"/>
    </row>
    <row r="404" spans="18:21" x14ac:dyDescent="0.25">
      <c r="R404" s="26"/>
      <c r="S404" s="26"/>
      <c r="T404" s="26"/>
      <c r="U404" s="27"/>
    </row>
    <row r="405" spans="18:21" x14ac:dyDescent="0.25">
      <c r="R405" s="26"/>
      <c r="S405" s="26"/>
      <c r="T405" s="26"/>
      <c r="U405" s="27"/>
    </row>
    <row r="406" spans="18:21" x14ac:dyDescent="0.25">
      <c r="R406" s="26"/>
      <c r="S406" s="26"/>
      <c r="T406" s="26"/>
      <c r="U406" s="27"/>
    </row>
    <row r="407" spans="18:21" x14ac:dyDescent="0.25">
      <c r="R407" s="26"/>
      <c r="S407" s="26"/>
      <c r="T407" s="26"/>
      <c r="U407" s="27"/>
    </row>
    <row r="408" spans="18:21" x14ac:dyDescent="0.25">
      <c r="R408" s="26"/>
      <c r="S408" s="26"/>
      <c r="T408" s="26"/>
      <c r="U408" s="27"/>
    </row>
    <row r="409" spans="18:21" x14ac:dyDescent="0.25">
      <c r="R409" s="26"/>
      <c r="S409" s="26"/>
      <c r="T409" s="26"/>
      <c r="U409" s="27"/>
    </row>
    <row r="410" spans="18:21" x14ac:dyDescent="0.25">
      <c r="R410" s="26"/>
      <c r="S410" s="26"/>
      <c r="T410" s="26"/>
      <c r="U410" s="27"/>
    </row>
    <row r="411" spans="18:21" x14ac:dyDescent="0.25">
      <c r="R411" s="26"/>
      <c r="S411" s="26"/>
      <c r="T411" s="26"/>
      <c r="U411" s="27"/>
    </row>
    <row r="412" spans="18:21" x14ac:dyDescent="0.25">
      <c r="R412" s="26"/>
      <c r="S412" s="26"/>
      <c r="T412" s="26"/>
      <c r="U412" s="27"/>
    </row>
    <row r="413" spans="18:21" x14ac:dyDescent="0.25">
      <c r="R413" s="26"/>
      <c r="S413" s="26"/>
      <c r="T413" s="26"/>
      <c r="U413" s="27"/>
    </row>
    <row r="414" spans="18:21" x14ac:dyDescent="0.25">
      <c r="R414" s="26"/>
      <c r="S414" s="26"/>
      <c r="T414" s="26"/>
      <c r="U414" s="27"/>
    </row>
    <row r="415" spans="18:21" x14ac:dyDescent="0.25">
      <c r="R415" s="26"/>
      <c r="S415" s="26"/>
      <c r="T415" s="26"/>
      <c r="U415" s="27"/>
    </row>
    <row r="416" spans="18:21" x14ac:dyDescent="0.25">
      <c r="R416" s="26"/>
      <c r="S416" s="26"/>
      <c r="T416" s="26"/>
      <c r="U416" s="27"/>
    </row>
    <row r="417" spans="18:21" x14ac:dyDescent="0.25">
      <c r="R417" s="26"/>
      <c r="S417" s="26"/>
      <c r="T417" s="26"/>
      <c r="U417" s="27"/>
    </row>
    <row r="418" spans="18:21" x14ac:dyDescent="0.25">
      <c r="R418" s="26"/>
      <c r="S418" s="26"/>
      <c r="T418" s="26"/>
      <c r="U418" s="27"/>
    </row>
    <row r="419" spans="18:21" x14ac:dyDescent="0.25">
      <c r="R419" s="26"/>
      <c r="S419" s="26"/>
      <c r="T419" s="26"/>
      <c r="U419" s="27"/>
    </row>
    <row r="420" spans="18:21" x14ac:dyDescent="0.25">
      <c r="R420" s="26"/>
      <c r="S420" s="26"/>
      <c r="T420" s="26"/>
      <c r="U420" s="27"/>
    </row>
    <row r="421" spans="18:21" x14ac:dyDescent="0.25">
      <c r="R421" s="26"/>
      <c r="S421" s="26"/>
      <c r="T421" s="26"/>
      <c r="U421" s="27"/>
    </row>
    <row r="422" spans="18:21" x14ac:dyDescent="0.25">
      <c r="R422" s="26"/>
      <c r="S422" s="26"/>
      <c r="T422" s="26"/>
      <c r="U422" s="27"/>
    </row>
    <row r="423" spans="18:21" x14ac:dyDescent="0.25">
      <c r="R423" s="26"/>
      <c r="S423" s="26"/>
      <c r="T423" s="26"/>
      <c r="U423" s="27"/>
    </row>
    <row r="424" spans="18:21" x14ac:dyDescent="0.25">
      <c r="R424" s="26"/>
      <c r="S424" s="26"/>
      <c r="T424" s="26"/>
      <c r="U424" s="27"/>
    </row>
    <row r="425" spans="18:21" x14ac:dyDescent="0.25">
      <c r="R425" s="26"/>
      <c r="S425" s="26"/>
      <c r="T425" s="26"/>
      <c r="U425" s="27"/>
    </row>
    <row r="426" spans="18:21" x14ac:dyDescent="0.25">
      <c r="R426" s="26"/>
      <c r="S426" s="26"/>
      <c r="T426" s="26"/>
      <c r="U426" s="27"/>
    </row>
    <row r="427" spans="18:21" x14ac:dyDescent="0.25">
      <c r="R427" s="26"/>
      <c r="S427" s="26"/>
      <c r="T427" s="26"/>
      <c r="U427" s="27"/>
    </row>
    <row r="428" spans="18:21" x14ac:dyDescent="0.25">
      <c r="R428" s="26"/>
      <c r="S428" s="26"/>
      <c r="T428" s="26"/>
      <c r="U428" s="27"/>
    </row>
    <row r="429" spans="18:21" x14ac:dyDescent="0.25">
      <c r="R429" s="26"/>
      <c r="S429" s="26"/>
      <c r="T429" s="26"/>
      <c r="U429" s="27"/>
    </row>
    <row r="430" spans="18:21" x14ac:dyDescent="0.25">
      <c r="R430" s="26"/>
      <c r="S430" s="26"/>
      <c r="T430" s="26"/>
      <c r="U430" s="27"/>
    </row>
    <row r="431" spans="18:21" x14ac:dyDescent="0.25">
      <c r="R431" s="26"/>
      <c r="S431" s="26"/>
      <c r="T431" s="26"/>
      <c r="U431" s="27"/>
    </row>
    <row r="432" spans="18:21" x14ac:dyDescent="0.25">
      <c r="R432" s="26"/>
      <c r="S432" s="26"/>
      <c r="T432" s="26"/>
      <c r="U432" s="27"/>
    </row>
    <row r="433" spans="18:21" x14ac:dyDescent="0.25">
      <c r="R433" s="26"/>
      <c r="S433" s="26"/>
      <c r="T433" s="26"/>
      <c r="U433" s="27"/>
    </row>
    <row r="434" spans="18:21" x14ac:dyDescent="0.25">
      <c r="R434" s="26"/>
      <c r="S434" s="26"/>
      <c r="T434" s="26"/>
      <c r="U434" s="27"/>
    </row>
    <row r="435" spans="18:21" x14ac:dyDescent="0.25">
      <c r="R435" s="26"/>
      <c r="S435" s="26"/>
      <c r="T435" s="26"/>
      <c r="U435" s="27"/>
    </row>
    <row r="436" spans="18:21" x14ac:dyDescent="0.25">
      <c r="R436" s="26"/>
      <c r="S436" s="26"/>
      <c r="T436" s="26"/>
      <c r="U436" s="27"/>
    </row>
    <row r="437" spans="18:21" x14ac:dyDescent="0.25">
      <c r="R437" s="26"/>
      <c r="S437" s="26"/>
      <c r="T437" s="26"/>
      <c r="U437" s="27"/>
    </row>
    <row r="438" spans="18:21" x14ac:dyDescent="0.25">
      <c r="R438" s="26"/>
      <c r="S438" s="26"/>
      <c r="T438" s="26"/>
      <c r="U438" s="27"/>
    </row>
    <row r="439" spans="18:21" x14ac:dyDescent="0.25">
      <c r="R439" s="26"/>
      <c r="S439" s="26"/>
      <c r="T439" s="26"/>
      <c r="U439" s="27"/>
    </row>
    <row r="440" spans="18:21" x14ac:dyDescent="0.25">
      <c r="R440" s="26"/>
      <c r="S440" s="26"/>
      <c r="T440" s="26"/>
      <c r="U440" s="27"/>
    </row>
    <row r="441" spans="18:21" x14ac:dyDescent="0.25">
      <c r="R441" s="26"/>
      <c r="S441" s="26"/>
      <c r="T441" s="26"/>
      <c r="U441" s="27"/>
    </row>
    <row r="442" spans="18:21" x14ac:dyDescent="0.25">
      <c r="R442" s="26"/>
      <c r="S442" s="26"/>
      <c r="T442" s="26"/>
      <c r="U442" s="27"/>
    </row>
    <row r="443" spans="18:21" x14ac:dyDescent="0.25">
      <c r="R443" s="26"/>
      <c r="S443" s="26"/>
      <c r="T443" s="26"/>
      <c r="U443" s="27"/>
    </row>
    <row r="444" spans="18:21" x14ac:dyDescent="0.25">
      <c r="R444" s="26"/>
      <c r="S444" s="26"/>
      <c r="T444" s="26"/>
      <c r="U444" s="27"/>
    </row>
    <row r="445" spans="18:21" x14ac:dyDescent="0.25">
      <c r="R445" s="26"/>
      <c r="S445" s="26"/>
      <c r="T445" s="26"/>
      <c r="U445" s="27"/>
    </row>
    <row r="446" spans="18:21" x14ac:dyDescent="0.25">
      <c r="R446" s="26"/>
      <c r="S446" s="26"/>
      <c r="T446" s="26"/>
      <c r="U446" s="27"/>
    </row>
    <row r="447" spans="18:21" x14ac:dyDescent="0.25">
      <c r="R447" s="26"/>
      <c r="S447" s="26"/>
      <c r="T447" s="26"/>
      <c r="U447" s="27"/>
    </row>
    <row r="448" spans="18:21" x14ac:dyDescent="0.25">
      <c r="R448" s="26"/>
      <c r="S448" s="26"/>
      <c r="T448" s="26"/>
      <c r="U448" s="27"/>
    </row>
    <row r="449" spans="18:21" x14ac:dyDescent="0.25">
      <c r="R449" s="26"/>
      <c r="S449" s="26"/>
      <c r="T449" s="26"/>
      <c r="U449" s="27"/>
    </row>
    <row r="450" spans="18:21" x14ac:dyDescent="0.25">
      <c r="R450" s="26"/>
      <c r="S450" s="26"/>
      <c r="T450" s="26"/>
      <c r="U450" s="27"/>
    </row>
    <row r="451" spans="18:21" x14ac:dyDescent="0.25">
      <c r="R451" s="26"/>
      <c r="S451" s="26"/>
      <c r="T451" s="26"/>
      <c r="U451" s="27"/>
    </row>
    <row r="452" spans="18:21" x14ac:dyDescent="0.25">
      <c r="R452" s="26"/>
      <c r="S452" s="26"/>
      <c r="T452" s="26"/>
      <c r="U452" s="27"/>
    </row>
    <row r="453" spans="18:21" x14ac:dyDescent="0.25">
      <c r="R453" s="26"/>
      <c r="S453" s="26"/>
      <c r="T453" s="26"/>
      <c r="U453" s="27"/>
    </row>
    <row r="454" spans="18:21" x14ac:dyDescent="0.25">
      <c r="R454" s="26"/>
      <c r="S454" s="26"/>
      <c r="T454" s="26"/>
      <c r="U454" s="27"/>
    </row>
    <row r="455" spans="18:21" x14ac:dyDescent="0.25">
      <c r="R455" s="26"/>
      <c r="S455" s="26"/>
      <c r="T455" s="26"/>
      <c r="U455" s="27"/>
    </row>
    <row r="456" spans="18:21" x14ac:dyDescent="0.25">
      <c r="R456" s="26"/>
      <c r="S456" s="26"/>
      <c r="T456" s="26"/>
      <c r="U456" s="27"/>
    </row>
    <row r="457" spans="18:21" x14ac:dyDescent="0.25">
      <c r="R457" s="26"/>
      <c r="S457" s="26"/>
      <c r="T457" s="26"/>
      <c r="U457" s="27"/>
    </row>
    <row r="458" spans="18:21" x14ac:dyDescent="0.25">
      <c r="R458" s="26"/>
      <c r="S458" s="26"/>
      <c r="T458" s="26"/>
      <c r="U458" s="27"/>
    </row>
    <row r="459" spans="18:21" x14ac:dyDescent="0.25">
      <c r="R459" s="26"/>
      <c r="S459" s="26"/>
      <c r="T459" s="26"/>
      <c r="U459" s="27"/>
    </row>
    <row r="460" spans="18:21" x14ac:dyDescent="0.25">
      <c r="R460" s="26"/>
      <c r="S460" s="26"/>
      <c r="T460" s="26"/>
      <c r="U460" s="27"/>
    </row>
    <row r="461" spans="18:21" x14ac:dyDescent="0.25">
      <c r="R461" s="26"/>
      <c r="S461" s="26"/>
      <c r="T461" s="26"/>
      <c r="U461" s="27"/>
    </row>
    <row r="462" spans="18:21" x14ac:dyDescent="0.25">
      <c r="R462" s="26"/>
      <c r="S462" s="26"/>
      <c r="T462" s="26"/>
      <c r="U462" s="27"/>
    </row>
    <row r="463" spans="18:21" x14ac:dyDescent="0.25">
      <c r="R463" s="26"/>
      <c r="S463" s="26"/>
      <c r="T463" s="26"/>
      <c r="U463" s="27"/>
    </row>
    <row r="464" spans="18:21" x14ac:dyDescent="0.25">
      <c r="R464" s="26"/>
      <c r="S464" s="26"/>
      <c r="T464" s="26"/>
      <c r="U464" s="27"/>
    </row>
    <row r="465" spans="18:21" x14ac:dyDescent="0.25">
      <c r="R465" s="26"/>
      <c r="S465" s="26"/>
      <c r="T465" s="26"/>
      <c r="U465" s="27"/>
    </row>
    <row r="466" spans="18:21" x14ac:dyDescent="0.25">
      <c r="R466" s="26"/>
      <c r="S466" s="26"/>
      <c r="T466" s="26"/>
      <c r="U466" s="27"/>
    </row>
    <row r="467" spans="18:21" x14ac:dyDescent="0.25">
      <c r="R467" s="26"/>
      <c r="S467" s="26"/>
      <c r="T467" s="26"/>
      <c r="U467" s="27"/>
    </row>
    <row r="468" spans="18:21" x14ac:dyDescent="0.25">
      <c r="R468" s="26"/>
      <c r="S468" s="26"/>
      <c r="T468" s="26"/>
      <c r="U468" s="27"/>
    </row>
    <row r="469" spans="18:21" x14ac:dyDescent="0.25">
      <c r="R469" s="26"/>
      <c r="S469" s="26"/>
      <c r="T469" s="26"/>
      <c r="U469" s="27"/>
    </row>
    <row r="470" spans="18:21" x14ac:dyDescent="0.25">
      <c r="R470" s="26"/>
      <c r="S470" s="26"/>
      <c r="T470" s="26"/>
      <c r="U470" s="27"/>
    </row>
    <row r="471" spans="18:21" x14ac:dyDescent="0.25">
      <c r="R471" s="26"/>
      <c r="S471" s="26"/>
      <c r="T471" s="26"/>
      <c r="U471" s="27"/>
    </row>
    <row r="472" spans="18:21" x14ac:dyDescent="0.25">
      <c r="R472" s="26"/>
      <c r="S472" s="26"/>
      <c r="T472" s="26"/>
      <c r="U472" s="27"/>
    </row>
    <row r="473" spans="18:21" x14ac:dyDescent="0.25">
      <c r="R473" s="26"/>
      <c r="S473" s="26"/>
      <c r="T473" s="26"/>
      <c r="U473" s="27"/>
    </row>
    <row r="474" spans="18:21" x14ac:dyDescent="0.25">
      <c r="R474" s="26"/>
      <c r="S474" s="26"/>
      <c r="T474" s="26"/>
      <c r="U474" s="27"/>
    </row>
    <row r="475" spans="18:21" x14ac:dyDescent="0.25">
      <c r="R475" s="26"/>
      <c r="S475" s="26"/>
      <c r="T475" s="26"/>
      <c r="U475" s="27"/>
    </row>
    <row r="476" spans="18:21" x14ac:dyDescent="0.25">
      <c r="R476" s="26"/>
      <c r="S476" s="26"/>
      <c r="T476" s="26"/>
      <c r="U476" s="27"/>
    </row>
    <row r="477" spans="18:21" x14ac:dyDescent="0.25">
      <c r="R477" s="26"/>
      <c r="S477" s="26"/>
      <c r="T477" s="26"/>
      <c r="U477" s="27"/>
    </row>
    <row r="478" spans="18:21" x14ac:dyDescent="0.25">
      <c r="R478" s="26"/>
      <c r="S478" s="26"/>
      <c r="T478" s="26"/>
      <c r="U478" s="27"/>
    </row>
    <row r="479" spans="18:21" x14ac:dyDescent="0.25">
      <c r="R479" s="26"/>
      <c r="S479" s="26"/>
      <c r="T479" s="26"/>
      <c r="U479" s="27"/>
    </row>
    <row r="480" spans="18:21" x14ac:dyDescent="0.25">
      <c r="R480" s="26"/>
      <c r="S480" s="26"/>
      <c r="T480" s="26"/>
      <c r="U480" s="27"/>
    </row>
    <row r="481" spans="18:21" x14ac:dyDescent="0.25">
      <c r="R481" s="26"/>
      <c r="S481" s="26"/>
      <c r="T481" s="26"/>
      <c r="U481" s="27"/>
    </row>
    <row r="482" spans="18:21" x14ac:dyDescent="0.25">
      <c r="R482" s="26"/>
      <c r="S482" s="26"/>
      <c r="T482" s="26"/>
      <c r="U482" s="27"/>
    </row>
    <row r="483" spans="18:21" x14ac:dyDescent="0.25">
      <c r="R483" s="26"/>
      <c r="S483" s="26"/>
      <c r="T483" s="26"/>
      <c r="U483" s="27"/>
    </row>
    <row r="484" spans="18:21" x14ac:dyDescent="0.25">
      <c r="R484" s="26"/>
      <c r="S484" s="26"/>
      <c r="T484" s="26"/>
      <c r="U484" s="27"/>
    </row>
    <row r="485" spans="18:21" x14ac:dyDescent="0.25">
      <c r="R485" s="26"/>
      <c r="S485" s="26"/>
      <c r="T485" s="26"/>
      <c r="U485" s="27"/>
    </row>
    <row r="486" spans="18:21" x14ac:dyDescent="0.25">
      <c r="R486" s="26"/>
      <c r="S486" s="26"/>
      <c r="T486" s="26"/>
      <c r="U486" s="27"/>
    </row>
    <row r="487" spans="18:21" x14ac:dyDescent="0.25">
      <c r="R487" s="26"/>
      <c r="S487" s="26"/>
      <c r="T487" s="26"/>
      <c r="U487" s="27"/>
    </row>
    <row r="488" spans="18:21" x14ac:dyDescent="0.25">
      <c r="R488" s="26"/>
      <c r="S488" s="26"/>
      <c r="T488" s="26"/>
      <c r="U488" s="27"/>
    </row>
    <row r="489" spans="18:21" x14ac:dyDescent="0.25">
      <c r="R489" s="26"/>
      <c r="S489" s="26"/>
      <c r="T489" s="26"/>
      <c r="U489" s="27"/>
    </row>
    <row r="490" spans="18:21" x14ac:dyDescent="0.25">
      <c r="R490" s="26"/>
      <c r="S490" s="26"/>
      <c r="T490" s="26"/>
      <c r="U490" s="27"/>
    </row>
    <row r="491" spans="18:21" x14ac:dyDescent="0.25">
      <c r="R491" s="26"/>
      <c r="S491" s="26"/>
      <c r="T491" s="26"/>
      <c r="U491" s="27"/>
    </row>
    <row r="492" spans="18:21" x14ac:dyDescent="0.25">
      <c r="R492" s="26"/>
      <c r="S492" s="26"/>
      <c r="T492" s="26"/>
      <c r="U492" s="27"/>
    </row>
    <row r="493" spans="18:21" x14ac:dyDescent="0.25">
      <c r="R493" s="26"/>
      <c r="S493" s="26"/>
      <c r="T493" s="26"/>
      <c r="U493" s="27"/>
    </row>
    <row r="494" spans="18:21" x14ac:dyDescent="0.25">
      <c r="R494" s="26"/>
      <c r="S494" s="26"/>
      <c r="T494" s="26"/>
      <c r="U494" s="27"/>
    </row>
    <row r="495" spans="18:21" x14ac:dyDescent="0.25">
      <c r="R495" s="26"/>
      <c r="S495" s="26"/>
      <c r="T495" s="26"/>
      <c r="U495" s="27"/>
    </row>
    <row r="496" spans="18:21" x14ac:dyDescent="0.25">
      <c r="R496" s="26"/>
      <c r="S496" s="26"/>
      <c r="T496" s="26"/>
      <c r="U496" s="27"/>
    </row>
    <row r="497" spans="18:21" x14ac:dyDescent="0.25">
      <c r="R497" s="26"/>
      <c r="S497" s="26"/>
      <c r="T497" s="26"/>
      <c r="U497" s="27"/>
    </row>
    <row r="498" spans="18:21" x14ac:dyDescent="0.25">
      <c r="R498" s="26"/>
      <c r="S498" s="26"/>
      <c r="T498" s="26"/>
      <c r="U498" s="27"/>
    </row>
    <row r="499" spans="18:21" x14ac:dyDescent="0.25">
      <c r="R499" s="26"/>
      <c r="S499" s="26"/>
      <c r="T499" s="26"/>
      <c r="U499" s="27"/>
    </row>
    <row r="500" spans="18:21" x14ac:dyDescent="0.25">
      <c r="R500" s="26"/>
      <c r="S500" s="26"/>
      <c r="T500" s="26"/>
      <c r="U500" s="27"/>
    </row>
    <row r="501" spans="18:21" x14ac:dyDescent="0.25">
      <c r="R501" s="26"/>
      <c r="S501" s="26"/>
      <c r="T501" s="26"/>
      <c r="U501" s="27"/>
    </row>
    <row r="502" spans="18:21" x14ac:dyDescent="0.25">
      <c r="R502" s="26"/>
      <c r="S502" s="26"/>
      <c r="T502" s="26"/>
      <c r="U502" s="27"/>
    </row>
    <row r="503" spans="18:21" x14ac:dyDescent="0.25">
      <c r="R503" s="26"/>
      <c r="S503" s="26"/>
      <c r="T503" s="26"/>
      <c r="U503" s="27"/>
    </row>
    <row r="504" spans="18:21" x14ac:dyDescent="0.25">
      <c r="R504" s="26"/>
      <c r="S504" s="26"/>
      <c r="T504" s="26"/>
      <c r="U504" s="27"/>
    </row>
    <row r="505" spans="18:21" x14ac:dyDescent="0.25">
      <c r="R505" s="26"/>
      <c r="S505" s="26"/>
      <c r="T505" s="26"/>
      <c r="U505" s="27"/>
    </row>
    <row r="506" spans="18:21" x14ac:dyDescent="0.25">
      <c r="R506" s="26"/>
      <c r="S506" s="26"/>
      <c r="T506" s="26"/>
      <c r="U506" s="27"/>
    </row>
    <row r="507" spans="18:21" x14ac:dyDescent="0.25">
      <c r="R507" s="26"/>
      <c r="S507" s="26"/>
      <c r="T507" s="26"/>
      <c r="U507" s="27"/>
    </row>
    <row r="508" spans="18:21" x14ac:dyDescent="0.25">
      <c r="R508" s="26"/>
      <c r="S508" s="26"/>
      <c r="T508" s="26"/>
      <c r="U508" s="27"/>
    </row>
    <row r="509" spans="18:21" x14ac:dyDescent="0.25">
      <c r="R509" s="26"/>
      <c r="S509" s="26"/>
      <c r="T509" s="26"/>
      <c r="U509" s="27"/>
    </row>
    <row r="510" spans="18:21" x14ac:dyDescent="0.25">
      <c r="R510" s="26"/>
      <c r="S510" s="26"/>
      <c r="T510" s="26"/>
      <c r="U510" s="27"/>
    </row>
    <row r="511" spans="18:21" x14ac:dyDescent="0.25">
      <c r="R511" s="26"/>
      <c r="S511" s="26"/>
      <c r="T511" s="26"/>
      <c r="U511" s="27"/>
    </row>
    <row r="512" spans="18:21" x14ac:dyDescent="0.25">
      <c r="R512" s="26"/>
      <c r="S512" s="26"/>
      <c r="T512" s="26"/>
      <c r="U512" s="27"/>
    </row>
    <row r="513" spans="18:21" x14ac:dyDescent="0.25">
      <c r="R513" s="26"/>
      <c r="S513" s="26"/>
      <c r="T513" s="26"/>
      <c r="U513" s="27"/>
    </row>
    <row r="514" spans="18:21" x14ac:dyDescent="0.25">
      <c r="R514" s="26"/>
      <c r="S514" s="26"/>
      <c r="T514" s="26"/>
      <c r="U514" s="27"/>
    </row>
    <row r="515" spans="18:21" x14ac:dyDescent="0.25">
      <c r="R515" s="26"/>
      <c r="S515" s="26"/>
      <c r="T515" s="26"/>
      <c r="U515" s="27"/>
    </row>
    <row r="516" spans="18:21" x14ac:dyDescent="0.25">
      <c r="R516" s="26"/>
      <c r="S516" s="26"/>
      <c r="T516" s="26"/>
      <c r="U516" s="27"/>
    </row>
    <row r="517" spans="18:21" x14ac:dyDescent="0.25">
      <c r="R517" s="26"/>
      <c r="S517" s="26"/>
      <c r="T517" s="26"/>
      <c r="U517" s="27"/>
    </row>
    <row r="518" spans="18:21" x14ac:dyDescent="0.25">
      <c r="R518" s="26"/>
      <c r="S518" s="26"/>
      <c r="T518" s="26"/>
      <c r="U518" s="27"/>
    </row>
    <row r="519" spans="18:21" x14ac:dyDescent="0.25">
      <c r="R519" s="26"/>
      <c r="S519" s="26"/>
      <c r="T519" s="26"/>
      <c r="U519" s="27"/>
    </row>
    <row r="520" spans="18:21" x14ac:dyDescent="0.25">
      <c r="R520" s="26"/>
      <c r="S520" s="26"/>
      <c r="T520" s="26"/>
      <c r="U520" s="27"/>
    </row>
    <row r="521" spans="18:21" x14ac:dyDescent="0.25">
      <c r="R521" s="26"/>
      <c r="S521" s="26"/>
      <c r="T521" s="26"/>
      <c r="U521" s="27"/>
    </row>
    <row r="522" spans="18:21" x14ac:dyDescent="0.25">
      <c r="R522" s="26"/>
      <c r="S522" s="26"/>
      <c r="T522" s="26"/>
      <c r="U522" s="27"/>
    </row>
    <row r="523" spans="18:21" x14ac:dyDescent="0.25">
      <c r="R523" s="26"/>
      <c r="S523" s="26"/>
      <c r="T523" s="26"/>
      <c r="U523" s="27"/>
    </row>
    <row r="524" spans="18:21" x14ac:dyDescent="0.25">
      <c r="R524" s="26"/>
      <c r="S524" s="26"/>
      <c r="T524" s="26"/>
      <c r="U524" s="27"/>
    </row>
    <row r="525" spans="18:21" x14ac:dyDescent="0.25">
      <c r="R525" s="26"/>
      <c r="S525" s="26"/>
      <c r="T525" s="26"/>
      <c r="U525" s="27"/>
    </row>
    <row r="526" spans="18:21" x14ac:dyDescent="0.25">
      <c r="R526" s="26"/>
      <c r="S526" s="26"/>
      <c r="T526" s="26"/>
      <c r="U526" s="27"/>
    </row>
    <row r="527" spans="18:21" x14ac:dyDescent="0.25">
      <c r="R527" s="26"/>
      <c r="S527" s="26"/>
      <c r="T527" s="26"/>
      <c r="U527" s="27"/>
    </row>
    <row r="528" spans="18:21" x14ac:dyDescent="0.25">
      <c r="R528" s="26"/>
      <c r="S528" s="26"/>
      <c r="T528" s="26"/>
      <c r="U528" s="27"/>
    </row>
    <row r="529" spans="18:21" x14ac:dyDescent="0.25">
      <c r="R529" s="26"/>
      <c r="S529" s="26"/>
      <c r="T529" s="26"/>
      <c r="U529" s="27"/>
    </row>
    <row r="530" spans="18:21" x14ac:dyDescent="0.25">
      <c r="R530" s="26"/>
      <c r="S530" s="26"/>
      <c r="T530" s="26"/>
      <c r="U530" s="27"/>
    </row>
    <row r="531" spans="18:21" x14ac:dyDescent="0.25">
      <c r="R531" s="26"/>
      <c r="S531" s="26"/>
      <c r="T531" s="26"/>
      <c r="U531" s="27"/>
    </row>
    <row r="532" spans="18:21" x14ac:dyDescent="0.25">
      <c r="R532" s="26"/>
      <c r="S532" s="26"/>
      <c r="T532" s="26"/>
      <c r="U532" s="27"/>
    </row>
    <row r="533" spans="18:21" x14ac:dyDescent="0.25">
      <c r="R533" s="26"/>
      <c r="S533" s="26"/>
      <c r="T533" s="26"/>
      <c r="U533" s="27"/>
    </row>
    <row r="534" spans="18:21" x14ac:dyDescent="0.25">
      <c r="R534" s="26"/>
      <c r="S534" s="26"/>
      <c r="T534" s="26"/>
      <c r="U534" s="27"/>
    </row>
    <row r="535" spans="18:21" x14ac:dyDescent="0.25">
      <c r="R535" s="26"/>
      <c r="S535" s="26"/>
      <c r="T535" s="26"/>
      <c r="U535" s="27"/>
    </row>
    <row r="536" spans="18:21" x14ac:dyDescent="0.25">
      <c r="R536" s="26"/>
      <c r="S536" s="26"/>
      <c r="T536" s="26"/>
      <c r="U536" s="27"/>
    </row>
    <row r="537" spans="18:21" x14ac:dyDescent="0.25">
      <c r="R537" s="26"/>
      <c r="S537" s="26"/>
      <c r="T537" s="26"/>
      <c r="U537" s="27"/>
    </row>
    <row r="538" spans="18:21" x14ac:dyDescent="0.25">
      <c r="R538" s="26"/>
      <c r="S538" s="26"/>
      <c r="T538" s="26"/>
      <c r="U538" s="27"/>
    </row>
    <row r="539" spans="18:21" x14ac:dyDescent="0.25">
      <c r="R539" s="26"/>
      <c r="S539" s="26"/>
      <c r="T539" s="26"/>
      <c r="U539" s="27"/>
    </row>
    <row r="540" spans="18:21" x14ac:dyDescent="0.25">
      <c r="R540" s="26"/>
      <c r="S540" s="26"/>
      <c r="T540" s="26"/>
      <c r="U540" s="27"/>
    </row>
    <row r="541" spans="18:21" x14ac:dyDescent="0.25">
      <c r="R541" s="26"/>
      <c r="S541" s="26"/>
      <c r="T541" s="26"/>
      <c r="U541" s="27"/>
    </row>
    <row r="542" spans="18:21" x14ac:dyDescent="0.25">
      <c r="R542" s="26"/>
      <c r="S542" s="26"/>
      <c r="T542" s="26"/>
      <c r="U542" s="27"/>
    </row>
    <row r="543" spans="18:21" x14ac:dyDescent="0.25">
      <c r="R543" s="26"/>
      <c r="S543" s="26"/>
      <c r="T543" s="26"/>
      <c r="U543" s="27"/>
    </row>
    <row r="544" spans="18:21" x14ac:dyDescent="0.25">
      <c r="R544" s="26"/>
      <c r="S544" s="26"/>
      <c r="T544" s="26"/>
      <c r="U544" s="27"/>
    </row>
    <row r="545" spans="18:21" x14ac:dyDescent="0.25">
      <c r="R545" s="26"/>
      <c r="S545" s="26"/>
      <c r="T545" s="26"/>
      <c r="U545" s="27"/>
    </row>
    <row r="546" spans="18:21" x14ac:dyDescent="0.25">
      <c r="R546" s="26"/>
      <c r="S546" s="26"/>
      <c r="T546" s="26"/>
      <c r="U546" s="27"/>
    </row>
    <row r="547" spans="18:21" x14ac:dyDescent="0.25">
      <c r="R547" s="26"/>
      <c r="S547" s="26"/>
      <c r="T547" s="26"/>
      <c r="U547" s="27"/>
    </row>
    <row r="548" spans="18:21" x14ac:dyDescent="0.25">
      <c r="R548" s="26"/>
      <c r="S548" s="26"/>
      <c r="T548" s="26"/>
      <c r="U548" s="27"/>
    </row>
    <row r="549" spans="18:21" x14ac:dyDescent="0.25">
      <c r="R549" s="26"/>
      <c r="S549" s="26"/>
      <c r="T549" s="26"/>
      <c r="U549" s="27"/>
    </row>
    <row r="550" spans="18:21" x14ac:dyDescent="0.25">
      <c r="R550" s="26"/>
      <c r="S550" s="26"/>
      <c r="T550" s="26"/>
      <c r="U550" s="27"/>
    </row>
    <row r="551" spans="18:21" x14ac:dyDescent="0.25">
      <c r="R551" s="26"/>
      <c r="S551" s="26"/>
      <c r="T551" s="26"/>
      <c r="U551" s="27"/>
    </row>
    <row r="552" spans="18:21" x14ac:dyDescent="0.25">
      <c r="R552" s="26"/>
      <c r="S552" s="26"/>
      <c r="T552" s="26"/>
      <c r="U552" s="27"/>
    </row>
    <row r="553" spans="18:21" x14ac:dyDescent="0.25">
      <c r="R553" s="26"/>
      <c r="S553" s="26"/>
      <c r="T553" s="26"/>
      <c r="U553" s="27"/>
    </row>
    <row r="554" spans="18:21" x14ac:dyDescent="0.25">
      <c r="R554" s="26"/>
      <c r="S554" s="26"/>
      <c r="T554" s="26"/>
      <c r="U554" s="27"/>
    </row>
    <row r="555" spans="18:21" x14ac:dyDescent="0.25">
      <c r="R555" s="26"/>
      <c r="S555" s="26"/>
      <c r="T555" s="26"/>
      <c r="U555" s="27"/>
    </row>
    <row r="556" spans="18:21" x14ac:dyDescent="0.25">
      <c r="R556" s="26"/>
      <c r="S556" s="26"/>
      <c r="T556" s="26"/>
      <c r="U556" s="27"/>
    </row>
    <row r="557" spans="18:21" x14ac:dyDescent="0.25">
      <c r="R557" s="26"/>
      <c r="S557" s="26"/>
      <c r="T557" s="26"/>
      <c r="U557" s="27"/>
    </row>
    <row r="558" spans="18:21" x14ac:dyDescent="0.25">
      <c r="R558" s="26"/>
      <c r="S558" s="26"/>
      <c r="T558" s="26"/>
      <c r="U558" s="27"/>
    </row>
    <row r="559" spans="18:21" x14ac:dyDescent="0.25">
      <c r="R559" s="26"/>
      <c r="S559" s="26"/>
      <c r="T559" s="26"/>
      <c r="U559" s="27"/>
    </row>
    <row r="560" spans="18:21" x14ac:dyDescent="0.25">
      <c r="R560" s="26"/>
      <c r="S560" s="26"/>
      <c r="T560" s="26"/>
      <c r="U560" s="27"/>
    </row>
    <row r="561" spans="18:21" x14ac:dyDescent="0.25">
      <c r="R561" s="26"/>
      <c r="S561" s="26"/>
      <c r="T561" s="26"/>
      <c r="U561" s="27"/>
    </row>
    <row r="562" spans="18:21" x14ac:dyDescent="0.25">
      <c r="R562" s="26"/>
      <c r="S562" s="26"/>
      <c r="T562" s="26"/>
      <c r="U562" s="27"/>
    </row>
    <row r="563" spans="18:21" x14ac:dyDescent="0.25">
      <c r="R563" s="26"/>
      <c r="S563" s="26"/>
      <c r="T563" s="26"/>
      <c r="U563" s="27"/>
    </row>
    <row r="564" spans="18:21" x14ac:dyDescent="0.25">
      <c r="R564" s="26"/>
      <c r="S564" s="26"/>
      <c r="T564" s="26"/>
      <c r="U564" s="27"/>
    </row>
    <row r="565" spans="18:21" x14ac:dyDescent="0.25">
      <c r="R565" s="26"/>
      <c r="S565" s="26"/>
      <c r="T565" s="26"/>
      <c r="U565" s="27"/>
    </row>
    <row r="566" spans="18:21" x14ac:dyDescent="0.25">
      <c r="R566" s="26"/>
      <c r="S566" s="26"/>
      <c r="T566" s="26"/>
      <c r="U566" s="27"/>
    </row>
    <row r="567" spans="18:21" x14ac:dyDescent="0.25">
      <c r="R567" s="26"/>
      <c r="S567" s="26"/>
      <c r="T567" s="26"/>
      <c r="U567" s="27"/>
    </row>
    <row r="568" spans="18:21" x14ac:dyDescent="0.25">
      <c r="R568" s="26"/>
      <c r="S568" s="26"/>
      <c r="T568" s="26"/>
      <c r="U568" s="27"/>
    </row>
    <row r="569" spans="18:21" x14ac:dyDescent="0.25">
      <c r="R569" s="26"/>
      <c r="S569" s="26"/>
      <c r="T569" s="26"/>
      <c r="U569" s="27"/>
    </row>
    <row r="570" spans="18:21" x14ac:dyDescent="0.25">
      <c r="R570" s="26"/>
      <c r="S570" s="26"/>
      <c r="T570" s="26"/>
      <c r="U570" s="27"/>
    </row>
    <row r="571" spans="18:21" x14ac:dyDescent="0.25">
      <c r="R571" s="26"/>
      <c r="S571" s="26"/>
      <c r="T571" s="26"/>
      <c r="U571" s="27"/>
    </row>
    <row r="572" spans="18:21" x14ac:dyDescent="0.25">
      <c r="R572" s="26"/>
      <c r="S572" s="26"/>
      <c r="T572" s="26"/>
      <c r="U572" s="27"/>
    </row>
    <row r="573" spans="18:21" x14ac:dyDescent="0.25">
      <c r="R573" s="26"/>
      <c r="S573" s="26"/>
      <c r="T573" s="26"/>
      <c r="U573" s="27"/>
    </row>
    <row r="574" spans="18:21" x14ac:dyDescent="0.25">
      <c r="R574" s="26"/>
      <c r="S574" s="26"/>
      <c r="T574" s="26"/>
      <c r="U574" s="27"/>
    </row>
    <row r="575" spans="18:21" x14ac:dyDescent="0.25">
      <c r="R575" s="26"/>
      <c r="S575" s="26"/>
      <c r="T575" s="26"/>
      <c r="U575" s="27"/>
    </row>
    <row r="576" spans="18:21" x14ac:dyDescent="0.25">
      <c r="R576" s="26"/>
      <c r="S576" s="26"/>
      <c r="T576" s="26"/>
      <c r="U576" s="27"/>
    </row>
    <row r="577" spans="18:21" x14ac:dyDescent="0.25">
      <c r="R577" s="26"/>
      <c r="S577" s="26"/>
      <c r="T577" s="26"/>
      <c r="U577" s="27"/>
    </row>
    <row r="578" spans="18:21" x14ac:dyDescent="0.25">
      <c r="R578" s="26"/>
      <c r="S578" s="26"/>
      <c r="T578" s="26"/>
      <c r="U578" s="27"/>
    </row>
    <row r="579" spans="18:21" x14ac:dyDescent="0.25">
      <c r="R579" s="26"/>
      <c r="S579" s="26"/>
      <c r="T579" s="26"/>
      <c r="U579" s="27"/>
    </row>
    <row r="580" spans="18:21" x14ac:dyDescent="0.25">
      <c r="R580" s="26"/>
      <c r="S580" s="26"/>
      <c r="T580" s="26"/>
      <c r="U580" s="27"/>
    </row>
    <row r="581" spans="18:21" x14ac:dyDescent="0.25">
      <c r="R581" s="26"/>
      <c r="S581" s="26"/>
      <c r="T581" s="26"/>
      <c r="U581" s="27"/>
    </row>
    <row r="582" spans="18:21" x14ac:dyDescent="0.25">
      <c r="R582" s="26"/>
      <c r="S582" s="26"/>
      <c r="T582" s="26"/>
      <c r="U582" s="27"/>
    </row>
    <row r="583" spans="18:21" x14ac:dyDescent="0.25">
      <c r="R583" s="26"/>
      <c r="S583" s="26"/>
      <c r="T583" s="26"/>
      <c r="U583" s="27"/>
    </row>
    <row r="584" spans="18:21" x14ac:dyDescent="0.25">
      <c r="R584" s="26"/>
      <c r="S584" s="26"/>
      <c r="T584" s="26"/>
      <c r="U584" s="27"/>
    </row>
    <row r="585" spans="18:21" x14ac:dyDescent="0.25">
      <c r="R585" s="26"/>
      <c r="S585" s="26"/>
      <c r="T585" s="26"/>
      <c r="U585" s="27"/>
    </row>
    <row r="586" spans="18:21" x14ac:dyDescent="0.25">
      <c r="R586" s="26"/>
      <c r="S586" s="26"/>
      <c r="T586" s="26"/>
      <c r="U586" s="27"/>
    </row>
    <row r="587" spans="18:21" x14ac:dyDescent="0.25">
      <c r="R587" s="26"/>
      <c r="S587" s="26"/>
      <c r="T587" s="26"/>
      <c r="U587" s="27"/>
    </row>
    <row r="588" spans="18:21" x14ac:dyDescent="0.25">
      <c r="R588" s="26"/>
      <c r="S588" s="26"/>
      <c r="T588" s="26"/>
      <c r="U588" s="27"/>
    </row>
    <row r="589" spans="18:21" x14ac:dyDescent="0.25">
      <c r="R589" s="26"/>
      <c r="S589" s="26"/>
      <c r="T589" s="26"/>
      <c r="U589" s="27"/>
    </row>
    <row r="590" spans="18:21" x14ac:dyDescent="0.25">
      <c r="R590" s="26"/>
      <c r="S590" s="26"/>
      <c r="T590" s="26"/>
      <c r="U590" s="27"/>
    </row>
    <row r="591" spans="18:21" x14ac:dyDescent="0.25">
      <c r="R591" s="26"/>
      <c r="S591" s="26"/>
      <c r="T591" s="26"/>
      <c r="U591" s="27"/>
    </row>
    <row r="592" spans="18:21" x14ac:dyDescent="0.25">
      <c r="R592" s="26"/>
      <c r="S592" s="26"/>
      <c r="T592" s="26"/>
      <c r="U592" s="27"/>
    </row>
    <row r="593" spans="18:21" x14ac:dyDescent="0.25">
      <c r="R593" s="26"/>
      <c r="S593" s="26"/>
      <c r="T593" s="26"/>
      <c r="U593" s="27"/>
    </row>
    <row r="594" spans="18:21" x14ac:dyDescent="0.25">
      <c r="R594" s="26"/>
      <c r="S594" s="26"/>
      <c r="T594" s="26"/>
      <c r="U594" s="27"/>
    </row>
    <row r="595" spans="18:21" x14ac:dyDescent="0.25">
      <c r="R595" s="26"/>
      <c r="S595" s="26"/>
      <c r="T595" s="26"/>
      <c r="U595" s="27"/>
    </row>
    <row r="596" spans="18:21" x14ac:dyDescent="0.25">
      <c r="R596" s="26"/>
      <c r="S596" s="26"/>
      <c r="T596" s="26"/>
      <c r="U596" s="27"/>
    </row>
    <row r="597" spans="18:21" x14ac:dyDescent="0.25">
      <c r="R597" s="26"/>
      <c r="S597" s="26"/>
      <c r="T597" s="26"/>
      <c r="U597" s="27"/>
    </row>
    <row r="598" spans="18:21" x14ac:dyDescent="0.25">
      <c r="R598" s="26"/>
      <c r="S598" s="26"/>
      <c r="T598" s="26"/>
      <c r="U598" s="27"/>
    </row>
    <row r="599" spans="18:21" x14ac:dyDescent="0.25">
      <c r="R599" s="26"/>
      <c r="S599" s="26"/>
      <c r="T599" s="26"/>
      <c r="U599" s="27"/>
    </row>
    <row r="600" spans="18:21" x14ac:dyDescent="0.25">
      <c r="R600" s="26"/>
      <c r="S600" s="26"/>
      <c r="T600" s="26"/>
      <c r="U600" s="27"/>
    </row>
    <row r="601" spans="18:21" x14ac:dyDescent="0.25">
      <c r="R601" s="26"/>
      <c r="S601" s="26"/>
      <c r="T601" s="26"/>
      <c r="U601" s="27"/>
    </row>
    <row r="602" spans="18:21" x14ac:dyDescent="0.25">
      <c r="R602" s="26"/>
      <c r="S602" s="26"/>
      <c r="T602" s="26"/>
      <c r="U602" s="27"/>
    </row>
    <row r="603" spans="18:21" x14ac:dyDescent="0.25">
      <c r="R603" s="26"/>
      <c r="S603" s="26"/>
      <c r="T603" s="26"/>
      <c r="U603" s="27"/>
    </row>
    <row r="604" spans="18:21" x14ac:dyDescent="0.25">
      <c r="R604" s="26"/>
      <c r="S604" s="26"/>
      <c r="T604" s="26"/>
      <c r="U604" s="27"/>
    </row>
    <row r="605" spans="18:21" x14ac:dyDescent="0.25">
      <c r="R605" s="26"/>
      <c r="S605" s="26"/>
      <c r="T605" s="26"/>
      <c r="U605" s="27"/>
    </row>
    <row r="606" spans="18:21" x14ac:dyDescent="0.25">
      <c r="R606" s="26"/>
      <c r="S606" s="26"/>
      <c r="T606" s="26"/>
      <c r="U606" s="27"/>
    </row>
    <row r="607" spans="18:21" x14ac:dyDescent="0.25">
      <c r="R607" s="26"/>
      <c r="S607" s="26"/>
      <c r="T607" s="26"/>
      <c r="U607" s="27"/>
    </row>
    <row r="608" spans="18:21" x14ac:dyDescent="0.25">
      <c r="R608" s="26"/>
      <c r="S608" s="26"/>
      <c r="T608" s="26"/>
      <c r="U608" s="27"/>
    </row>
    <row r="609" spans="18:21" x14ac:dyDescent="0.25">
      <c r="R609" s="26"/>
      <c r="S609" s="26"/>
      <c r="T609" s="26"/>
      <c r="U609" s="27"/>
    </row>
    <row r="610" spans="18:21" x14ac:dyDescent="0.25">
      <c r="R610" s="26"/>
      <c r="S610" s="26"/>
      <c r="T610" s="26"/>
      <c r="U610" s="27"/>
    </row>
    <row r="611" spans="18:21" x14ac:dyDescent="0.25">
      <c r="R611" s="26"/>
      <c r="S611" s="26"/>
      <c r="T611" s="26"/>
      <c r="U611" s="27"/>
    </row>
    <row r="612" spans="18:21" x14ac:dyDescent="0.25">
      <c r="R612" s="26"/>
      <c r="S612" s="26"/>
      <c r="T612" s="26"/>
      <c r="U612" s="27"/>
    </row>
    <row r="613" spans="18:21" x14ac:dyDescent="0.25">
      <c r="R613" s="26"/>
      <c r="S613" s="26"/>
      <c r="T613" s="26"/>
      <c r="U613" s="27"/>
    </row>
    <row r="614" spans="18:21" x14ac:dyDescent="0.25">
      <c r="R614" s="26"/>
      <c r="S614" s="26"/>
      <c r="T614" s="26"/>
      <c r="U614" s="27"/>
    </row>
    <row r="615" spans="18:21" x14ac:dyDescent="0.25">
      <c r="R615" s="26"/>
      <c r="S615" s="26"/>
      <c r="T615" s="26"/>
      <c r="U615" s="27"/>
    </row>
    <row r="616" spans="18:21" x14ac:dyDescent="0.25">
      <c r="R616" s="26"/>
      <c r="S616" s="26"/>
      <c r="T616" s="26"/>
      <c r="U616" s="27"/>
    </row>
    <row r="617" spans="18:21" x14ac:dyDescent="0.25">
      <c r="R617" s="26"/>
      <c r="S617" s="26"/>
      <c r="T617" s="26"/>
      <c r="U617" s="27"/>
    </row>
    <row r="618" spans="18:21" x14ac:dyDescent="0.25">
      <c r="R618" s="26"/>
      <c r="S618" s="26"/>
      <c r="T618" s="26"/>
      <c r="U618" s="27"/>
    </row>
    <row r="619" spans="18:21" x14ac:dyDescent="0.25">
      <c r="R619" s="26"/>
      <c r="S619" s="26"/>
      <c r="T619" s="26"/>
      <c r="U619" s="27"/>
    </row>
    <row r="620" spans="18:21" x14ac:dyDescent="0.25">
      <c r="R620" s="26"/>
      <c r="S620" s="26"/>
      <c r="T620" s="26"/>
      <c r="U620" s="27"/>
    </row>
    <row r="621" spans="18:21" x14ac:dyDescent="0.25">
      <c r="R621" s="26"/>
      <c r="S621" s="26"/>
      <c r="T621" s="26"/>
      <c r="U621" s="27"/>
    </row>
    <row r="622" spans="18:21" x14ac:dyDescent="0.25">
      <c r="R622" s="26"/>
      <c r="S622" s="26"/>
      <c r="T622" s="26"/>
      <c r="U622" s="27"/>
    </row>
    <row r="623" spans="18:21" x14ac:dyDescent="0.25">
      <c r="R623" s="26"/>
      <c r="S623" s="26"/>
      <c r="T623" s="26"/>
      <c r="U623" s="27"/>
    </row>
    <row r="624" spans="18:21" x14ac:dyDescent="0.25">
      <c r="R624" s="26"/>
      <c r="S624" s="26"/>
      <c r="T624" s="26"/>
      <c r="U624" s="27"/>
    </row>
    <row r="625" spans="18:21" x14ac:dyDescent="0.25">
      <c r="R625" s="26"/>
      <c r="S625" s="26"/>
      <c r="T625" s="26"/>
      <c r="U625" s="27"/>
    </row>
    <row r="626" spans="18:21" x14ac:dyDescent="0.25">
      <c r="R626" s="26"/>
      <c r="S626" s="26"/>
      <c r="T626" s="26"/>
      <c r="U626" s="27"/>
    </row>
    <row r="627" spans="18:21" x14ac:dyDescent="0.25">
      <c r="R627" s="26"/>
      <c r="S627" s="26"/>
      <c r="T627" s="26"/>
      <c r="U627" s="27"/>
    </row>
    <row r="628" spans="18:21" x14ac:dyDescent="0.25">
      <c r="R628" s="26"/>
      <c r="S628" s="26"/>
      <c r="T628" s="26"/>
      <c r="U628" s="27"/>
    </row>
    <row r="629" spans="18:21" x14ac:dyDescent="0.25">
      <c r="R629" s="26"/>
      <c r="S629" s="26"/>
      <c r="T629" s="26"/>
      <c r="U629" s="27"/>
    </row>
    <row r="630" spans="18:21" x14ac:dyDescent="0.25">
      <c r="R630" s="26"/>
      <c r="S630" s="26"/>
      <c r="T630" s="26"/>
      <c r="U630" s="27"/>
    </row>
    <row r="631" spans="18:21" x14ac:dyDescent="0.25">
      <c r="R631" s="26"/>
      <c r="S631" s="26"/>
      <c r="T631" s="26"/>
      <c r="U631" s="27"/>
    </row>
    <row r="632" spans="18:21" x14ac:dyDescent="0.25">
      <c r="R632" s="26"/>
      <c r="S632" s="26"/>
      <c r="T632" s="26"/>
      <c r="U632" s="27"/>
    </row>
    <row r="633" spans="18:21" x14ac:dyDescent="0.25">
      <c r="R633" s="26"/>
      <c r="S633" s="26"/>
      <c r="T633" s="26"/>
      <c r="U633" s="27"/>
    </row>
    <row r="634" spans="18:21" x14ac:dyDescent="0.25">
      <c r="R634" s="26"/>
      <c r="S634" s="26"/>
      <c r="T634" s="26"/>
      <c r="U634" s="27"/>
    </row>
    <row r="635" spans="18:21" x14ac:dyDescent="0.25">
      <c r="R635" s="26"/>
      <c r="S635" s="26"/>
      <c r="T635" s="26"/>
      <c r="U635" s="27"/>
    </row>
    <row r="636" spans="18:21" x14ac:dyDescent="0.25">
      <c r="R636" s="26"/>
      <c r="S636" s="26"/>
      <c r="T636" s="26"/>
      <c r="U636" s="27"/>
    </row>
    <row r="637" spans="18:21" x14ac:dyDescent="0.25">
      <c r="R637" s="26"/>
      <c r="S637" s="26"/>
      <c r="T637" s="26"/>
      <c r="U637" s="27"/>
    </row>
    <row r="638" spans="18:21" x14ac:dyDescent="0.25">
      <c r="R638" s="26"/>
      <c r="S638" s="26"/>
      <c r="T638" s="26"/>
      <c r="U638" s="27"/>
    </row>
    <row r="639" spans="18:21" x14ac:dyDescent="0.25">
      <c r="R639" s="26"/>
      <c r="S639" s="26"/>
      <c r="T639" s="26"/>
      <c r="U639" s="27"/>
    </row>
    <row r="640" spans="18:21" x14ac:dyDescent="0.25">
      <c r="R640" s="26"/>
      <c r="S640" s="26"/>
      <c r="T640" s="26"/>
      <c r="U640" s="27"/>
    </row>
    <row r="641" spans="18:21" x14ac:dyDescent="0.25">
      <c r="R641" s="26"/>
      <c r="S641" s="26"/>
      <c r="T641" s="26"/>
      <c r="U641" s="27"/>
    </row>
    <row r="642" spans="18:21" x14ac:dyDescent="0.25">
      <c r="R642" s="26"/>
      <c r="S642" s="26"/>
      <c r="T642" s="26"/>
      <c r="U642" s="27"/>
    </row>
    <row r="643" spans="18:21" x14ac:dyDescent="0.25">
      <c r="R643" s="26"/>
      <c r="S643" s="26"/>
      <c r="T643" s="26"/>
      <c r="U643" s="27"/>
    </row>
    <row r="644" spans="18:21" x14ac:dyDescent="0.25">
      <c r="R644" s="26"/>
      <c r="S644" s="26"/>
      <c r="T644" s="26"/>
      <c r="U644" s="27"/>
    </row>
    <row r="645" spans="18:21" x14ac:dyDescent="0.25">
      <c r="R645" s="26"/>
      <c r="S645" s="26"/>
      <c r="T645" s="26"/>
      <c r="U645" s="27"/>
    </row>
    <row r="646" spans="18:21" x14ac:dyDescent="0.25">
      <c r="R646" s="26"/>
      <c r="S646" s="26"/>
      <c r="T646" s="26"/>
      <c r="U646" s="27"/>
    </row>
    <row r="647" spans="18:21" x14ac:dyDescent="0.25">
      <c r="R647" s="26"/>
      <c r="S647" s="26"/>
      <c r="T647" s="26"/>
      <c r="U647" s="27"/>
    </row>
    <row r="648" spans="18:21" x14ac:dyDescent="0.25">
      <c r="R648" s="26"/>
      <c r="S648" s="26"/>
      <c r="T648" s="26"/>
      <c r="U648" s="27"/>
    </row>
    <row r="649" spans="18:21" x14ac:dyDescent="0.25">
      <c r="R649" s="26"/>
      <c r="S649" s="26"/>
      <c r="T649" s="26"/>
      <c r="U649" s="27"/>
    </row>
    <row r="650" spans="18:21" x14ac:dyDescent="0.25">
      <c r="R650" s="26"/>
      <c r="S650" s="26"/>
      <c r="T650" s="26"/>
      <c r="U650" s="27"/>
    </row>
    <row r="651" spans="18:21" x14ac:dyDescent="0.25">
      <c r="R651" s="26"/>
      <c r="S651" s="26"/>
      <c r="T651" s="26"/>
      <c r="U651" s="27"/>
    </row>
    <row r="652" spans="18:21" x14ac:dyDescent="0.25">
      <c r="R652" s="26"/>
      <c r="S652" s="26"/>
      <c r="T652" s="26"/>
      <c r="U652" s="27"/>
    </row>
    <row r="653" spans="18:21" x14ac:dyDescent="0.25">
      <c r="R653" s="26"/>
      <c r="S653" s="26"/>
      <c r="T653" s="26"/>
      <c r="U653" s="27"/>
    </row>
    <row r="654" spans="18:21" x14ac:dyDescent="0.25">
      <c r="R654" s="26"/>
      <c r="S654" s="26"/>
      <c r="T654" s="26"/>
      <c r="U654" s="27"/>
    </row>
    <row r="655" spans="18:21" x14ac:dyDescent="0.25">
      <c r="R655" s="26"/>
      <c r="S655" s="26"/>
      <c r="T655" s="26"/>
      <c r="U655" s="27"/>
    </row>
    <row r="656" spans="18:21" x14ac:dyDescent="0.25">
      <c r="R656" s="26"/>
      <c r="S656" s="26"/>
      <c r="T656" s="26"/>
      <c r="U656" s="27"/>
    </row>
    <row r="657" spans="18:21" x14ac:dyDescent="0.25">
      <c r="R657" s="26"/>
      <c r="S657" s="26"/>
      <c r="T657" s="26"/>
      <c r="U657" s="27"/>
    </row>
    <row r="658" spans="18:21" x14ac:dyDescent="0.25">
      <c r="R658" s="26"/>
      <c r="S658" s="26"/>
      <c r="T658" s="26"/>
      <c r="U658" s="27"/>
    </row>
    <row r="659" spans="18:21" x14ac:dyDescent="0.25">
      <c r="R659" s="26"/>
      <c r="S659" s="26"/>
      <c r="T659" s="26"/>
      <c r="U659" s="27"/>
    </row>
    <row r="660" spans="18:21" x14ac:dyDescent="0.25">
      <c r="R660" s="26"/>
      <c r="S660" s="26"/>
      <c r="T660" s="26"/>
      <c r="U660" s="27"/>
    </row>
    <row r="661" spans="18:21" x14ac:dyDescent="0.25">
      <c r="R661" s="26"/>
      <c r="S661" s="26"/>
      <c r="T661" s="26"/>
      <c r="U661" s="27"/>
    </row>
    <row r="662" spans="18:21" x14ac:dyDescent="0.25">
      <c r="R662" s="26"/>
      <c r="S662" s="26"/>
      <c r="T662" s="26"/>
      <c r="U662" s="27"/>
    </row>
    <row r="663" spans="18:21" x14ac:dyDescent="0.25">
      <c r="R663" s="26"/>
      <c r="S663" s="26"/>
      <c r="T663" s="26"/>
      <c r="U663" s="27"/>
    </row>
    <row r="664" spans="18:21" x14ac:dyDescent="0.25">
      <c r="R664" s="26"/>
      <c r="S664" s="26"/>
      <c r="T664" s="26"/>
      <c r="U664" s="27"/>
    </row>
    <row r="665" spans="18:21" x14ac:dyDescent="0.25">
      <c r="R665" s="26"/>
      <c r="S665" s="26"/>
      <c r="T665" s="26"/>
      <c r="U665" s="27"/>
    </row>
    <row r="666" spans="18:21" x14ac:dyDescent="0.25">
      <c r="R666" s="26"/>
      <c r="S666" s="26"/>
      <c r="T666" s="26"/>
      <c r="U666" s="27"/>
    </row>
    <row r="667" spans="18:21" x14ac:dyDescent="0.25">
      <c r="R667" s="26"/>
      <c r="S667" s="26"/>
      <c r="T667" s="26"/>
      <c r="U667" s="27"/>
    </row>
    <row r="668" spans="18:21" x14ac:dyDescent="0.25">
      <c r="R668" s="26"/>
      <c r="S668" s="26"/>
      <c r="T668" s="26"/>
      <c r="U668" s="27"/>
    </row>
    <row r="669" spans="18:21" x14ac:dyDescent="0.25">
      <c r="R669" s="26"/>
      <c r="S669" s="26"/>
      <c r="T669" s="26"/>
      <c r="U669" s="27"/>
    </row>
    <row r="670" spans="18:21" x14ac:dyDescent="0.25">
      <c r="R670" s="26"/>
      <c r="S670" s="26"/>
      <c r="T670" s="26"/>
      <c r="U670" s="27"/>
    </row>
    <row r="671" spans="18:21" x14ac:dyDescent="0.25">
      <c r="R671" s="26"/>
      <c r="S671" s="26"/>
      <c r="T671" s="26"/>
      <c r="U671" s="27"/>
    </row>
    <row r="672" spans="18:21" x14ac:dyDescent="0.25">
      <c r="R672" s="26"/>
      <c r="S672" s="26"/>
      <c r="T672" s="26"/>
      <c r="U672" s="27"/>
    </row>
    <row r="673" spans="18:21" x14ac:dyDescent="0.25">
      <c r="R673" s="26"/>
      <c r="S673" s="26"/>
      <c r="T673" s="26"/>
      <c r="U673" s="27"/>
    </row>
    <row r="674" spans="18:21" x14ac:dyDescent="0.25">
      <c r="R674" s="26"/>
      <c r="S674" s="26"/>
      <c r="T674" s="26"/>
      <c r="U674" s="27"/>
    </row>
    <row r="675" spans="18:21" x14ac:dyDescent="0.25">
      <c r="R675" s="26"/>
      <c r="S675" s="26"/>
      <c r="T675" s="26"/>
      <c r="U675" s="27"/>
    </row>
    <row r="676" spans="18:21" x14ac:dyDescent="0.25">
      <c r="R676" s="26"/>
      <c r="S676" s="26"/>
      <c r="T676" s="26"/>
      <c r="U676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77</v>
      </c>
      <c r="B1" s="23" t="s">
        <v>78</v>
      </c>
      <c r="C1" s="24" t="s">
        <v>79</v>
      </c>
      <c r="D1" s="23" t="s">
        <v>80</v>
      </c>
      <c r="E1" s="23" t="s">
        <v>4</v>
      </c>
      <c r="F1" s="23" t="s">
        <v>81</v>
      </c>
      <c r="G1" s="24" t="s">
        <v>82</v>
      </c>
    </row>
    <row r="2" spans="1:7" x14ac:dyDescent="0.25">
      <c r="A2">
        <v>1</v>
      </c>
      <c r="B2" t="s">
        <v>101</v>
      </c>
      <c r="C2">
        <v>10</v>
      </c>
      <c r="D2" t="s">
        <v>102</v>
      </c>
      <c r="E2" t="s">
        <v>14</v>
      </c>
      <c r="F2">
        <v>1.4990000000000001</v>
      </c>
      <c r="G2" t="s">
        <v>15</v>
      </c>
    </row>
    <row r="3" spans="1:7" x14ac:dyDescent="0.25">
      <c r="A3">
        <v>1</v>
      </c>
      <c r="B3" t="s">
        <v>101</v>
      </c>
      <c r="C3">
        <v>20</v>
      </c>
      <c r="D3" t="s">
        <v>99</v>
      </c>
      <c r="E3" t="s">
        <v>14</v>
      </c>
      <c r="F3">
        <v>1.2450000000000001</v>
      </c>
      <c r="G3" t="s">
        <v>15</v>
      </c>
    </row>
    <row r="4" spans="1:7" x14ac:dyDescent="0.25">
      <c r="A4">
        <v>1</v>
      </c>
      <c r="B4" t="s">
        <v>101</v>
      </c>
      <c r="C4">
        <v>30</v>
      </c>
      <c r="D4" t="s">
        <v>103</v>
      </c>
      <c r="E4" t="s">
        <v>14</v>
      </c>
      <c r="F4">
        <v>6.2990000000000004</v>
      </c>
      <c r="G4" t="s">
        <v>13</v>
      </c>
    </row>
    <row r="5" spans="1:7" x14ac:dyDescent="0.25">
      <c r="A5">
        <v>1</v>
      </c>
      <c r="B5" t="s">
        <v>101</v>
      </c>
      <c r="C5">
        <v>40</v>
      </c>
      <c r="D5" t="s">
        <v>104</v>
      </c>
      <c r="E5" t="s">
        <v>14</v>
      </c>
      <c r="F5">
        <v>38.74</v>
      </c>
      <c r="G5" t="s">
        <v>13</v>
      </c>
    </row>
    <row r="6" spans="1:7" x14ac:dyDescent="0.25">
      <c r="A6">
        <v>1</v>
      </c>
      <c r="B6" t="s">
        <v>101</v>
      </c>
      <c r="C6">
        <v>50</v>
      </c>
      <c r="D6" t="s">
        <v>91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101</v>
      </c>
      <c r="C7">
        <v>60</v>
      </c>
      <c r="D7" t="s">
        <v>105</v>
      </c>
      <c r="E7" t="s">
        <v>11</v>
      </c>
      <c r="F7">
        <v>4</v>
      </c>
      <c r="G7" t="s">
        <v>13</v>
      </c>
    </row>
    <row r="8" spans="1:7" x14ac:dyDescent="0.25">
      <c r="A8">
        <v>1</v>
      </c>
      <c r="B8" t="s">
        <v>101</v>
      </c>
      <c r="C8">
        <v>70</v>
      </c>
      <c r="D8" t="s">
        <v>19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101</v>
      </c>
      <c r="C9">
        <v>80</v>
      </c>
      <c r="D9" t="s">
        <v>20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101</v>
      </c>
      <c r="C10">
        <v>90</v>
      </c>
      <c r="D10" t="s">
        <v>94</v>
      </c>
      <c r="E10" t="s">
        <v>12</v>
      </c>
      <c r="F10">
        <v>0.41299999999999998</v>
      </c>
      <c r="G10" t="s">
        <v>13</v>
      </c>
    </row>
    <row r="11" spans="1:7" x14ac:dyDescent="0.25">
      <c r="A11">
        <v>1</v>
      </c>
      <c r="B11" t="s">
        <v>101</v>
      </c>
      <c r="C11">
        <v>100</v>
      </c>
      <c r="D11" t="s">
        <v>106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101</v>
      </c>
      <c r="C12">
        <v>110</v>
      </c>
      <c r="D12" t="s">
        <v>95</v>
      </c>
      <c r="E12" t="s">
        <v>14</v>
      </c>
      <c r="F12">
        <v>172.822</v>
      </c>
      <c r="G12" t="s">
        <v>15</v>
      </c>
    </row>
    <row r="13" spans="1:7" x14ac:dyDescent="0.25">
      <c r="A13">
        <v>1</v>
      </c>
      <c r="B13" t="s">
        <v>101</v>
      </c>
      <c r="C13">
        <v>120</v>
      </c>
      <c r="D13" t="s">
        <v>98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101</v>
      </c>
      <c r="C14">
        <v>130</v>
      </c>
      <c r="D14" t="s">
        <v>97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101</v>
      </c>
      <c r="C15">
        <v>140</v>
      </c>
      <c r="D15" t="s">
        <v>100</v>
      </c>
      <c r="E15" t="s">
        <v>14</v>
      </c>
      <c r="F15">
        <v>20</v>
      </c>
      <c r="G15" t="s">
        <v>13</v>
      </c>
    </row>
    <row r="16" spans="1:7" x14ac:dyDescent="0.25">
      <c r="A16">
        <v>1</v>
      </c>
      <c r="B16" t="s">
        <v>101</v>
      </c>
      <c r="C16">
        <v>150</v>
      </c>
      <c r="D16" t="s">
        <v>107</v>
      </c>
      <c r="E16" t="s">
        <v>12</v>
      </c>
      <c r="F16">
        <v>0.6</v>
      </c>
      <c r="G16" t="s">
        <v>13</v>
      </c>
    </row>
    <row r="17" spans="1:7" x14ac:dyDescent="0.25">
      <c r="A17">
        <v>2</v>
      </c>
      <c r="B17" t="s">
        <v>108</v>
      </c>
      <c r="C17">
        <v>10</v>
      </c>
      <c r="D17" t="s">
        <v>102</v>
      </c>
      <c r="E17" t="s">
        <v>14</v>
      </c>
      <c r="F17">
        <v>2.1080000000000001</v>
      </c>
      <c r="G17" t="s">
        <v>15</v>
      </c>
    </row>
    <row r="18" spans="1:7" x14ac:dyDescent="0.25">
      <c r="A18">
        <v>2</v>
      </c>
      <c r="B18" t="s">
        <v>108</v>
      </c>
      <c r="C18">
        <v>20</v>
      </c>
      <c r="D18" t="s">
        <v>99</v>
      </c>
      <c r="E18" t="s">
        <v>14</v>
      </c>
      <c r="F18">
        <v>1.8540000000000001</v>
      </c>
      <c r="G18" t="s">
        <v>15</v>
      </c>
    </row>
    <row r="19" spans="1:7" x14ac:dyDescent="0.25">
      <c r="A19">
        <v>2</v>
      </c>
      <c r="B19" t="s">
        <v>108</v>
      </c>
      <c r="C19">
        <v>30</v>
      </c>
      <c r="D19" t="s">
        <v>103</v>
      </c>
      <c r="E19" t="s">
        <v>14</v>
      </c>
      <c r="F19">
        <v>7.5179999999999998</v>
      </c>
      <c r="G19" t="s">
        <v>13</v>
      </c>
    </row>
    <row r="20" spans="1:7" x14ac:dyDescent="0.25">
      <c r="A20">
        <v>2</v>
      </c>
      <c r="B20" t="s">
        <v>108</v>
      </c>
      <c r="C20">
        <v>40</v>
      </c>
      <c r="D20" t="s">
        <v>104</v>
      </c>
      <c r="E20" t="s">
        <v>14</v>
      </c>
      <c r="F20">
        <v>46.238</v>
      </c>
      <c r="G20" t="s">
        <v>13</v>
      </c>
    </row>
    <row r="21" spans="1:7" x14ac:dyDescent="0.25">
      <c r="A21">
        <v>2</v>
      </c>
      <c r="B21" t="s">
        <v>108</v>
      </c>
      <c r="C21">
        <v>50</v>
      </c>
      <c r="D21" t="s">
        <v>91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108</v>
      </c>
      <c r="C22">
        <v>60</v>
      </c>
      <c r="D22" t="s">
        <v>105</v>
      </c>
      <c r="E22" t="s">
        <v>11</v>
      </c>
      <c r="F22">
        <v>4</v>
      </c>
      <c r="G22" t="s">
        <v>13</v>
      </c>
    </row>
    <row r="23" spans="1:7" x14ac:dyDescent="0.25">
      <c r="A23">
        <v>2</v>
      </c>
      <c r="B23" t="s">
        <v>108</v>
      </c>
      <c r="C23">
        <v>70</v>
      </c>
      <c r="D23" t="s">
        <v>19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108</v>
      </c>
      <c r="C24">
        <v>80</v>
      </c>
      <c r="D24" t="s">
        <v>20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108</v>
      </c>
      <c r="C25">
        <v>90</v>
      </c>
      <c r="D25" t="s">
        <v>94</v>
      </c>
      <c r="E25" t="s">
        <v>12</v>
      </c>
      <c r="F25">
        <v>0.59299999999999997</v>
      </c>
      <c r="G25" t="s">
        <v>13</v>
      </c>
    </row>
    <row r="26" spans="1:7" x14ac:dyDescent="0.25">
      <c r="A26">
        <v>2</v>
      </c>
      <c r="B26" t="s">
        <v>108</v>
      </c>
      <c r="C26">
        <v>100</v>
      </c>
      <c r="D26" t="s">
        <v>109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108</v>
      </c>
      <c r="C27">
        <v>110</v>
      </c>
      <c r="D27" t="s">
        <v>95</v>
      </c>
      <c r="E27" t="s">
        <v>14</v>
      </c>
      <c r="F27">
        <v>206.959</v>
      </c>
      <c r="G27" t="s">
        <v>15</v>
      </c>
    </row>
    <row r="28" spans="1:7" x14ac:dyDescent="0.25">
      <c r="A28">
        <v>2</v>
      </c>
      <c r="B28" t="s">
        <v>108</v>
      </c>
      <c r="C28">
        <v>120</v>
      </c>
      <c r="D28" t="s">
        <v>98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108</v>
      </c>
      <c r="C29">
        <v>130</v>
      </c>
      <c r="D29" t="s">
        <v>97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108</v>
      </c>
      <c r="C30">
        <v>140</v>
      </c>
      <c r="D30" t="s">
        <v>100</v>
      </c>
      <c r="E30" t="s">
        <v>14</v>
      </c>
      <c r="F30">
        <v>20</v>
      </c>
      <c r="G30" t="s">
        <v>13</v>
      </c>
    </row>
    <row r="31" spans="1:7" x14ac:dyDescent="0.25">
      <c r="A31">
        <v>2</v>
      </c>
      <c r="B31" t="s">
        <v>108</v>
      </c>
      <c r="C31">
        <v>150</v>
      </c>
      <c r="D31" t="s">
        <v>110</v>
      </c>
      <c r="E31" t="s">
        <v>12</v>
      </c>
      <c r="F31">
        <v>0.8</v>
      </c>
      <c r="G31" t="s">
        <v>13</v>
      </c>
    </row>
    <row r="32" spans="1:7" x14ac:dyDescent="0.25">
      <c r="A32">
        <v>3</v>
      </c>
      <c r="B32" t="s">
        <v>111</v>
      </c>
      <c r="C32">
        <v>10</v>
      </c>
      <c r="D32" t="s">
        <v>102</v>
      </c>
      <c r="E32" t="s">
        <v>14</v>
      </c>
      <c r="F32">
        <v>1.143</v>
      </c>
      <c r="G32" t="s">
        <v>15</v>
      </c>
    </row>
    <row r="33" spans="1:7" x14ac:dyDescent="0.25">
      <c r="A33">
        <v>3</v>
      </c>
      <c r="B33" t="s">
        <v>111</v>
      </c>
      <c r="C33">
        <v>20</v>
      </c>
      <c r="D33" t="s">
        <v>99</v>
      </c>
      <c r="E33" t="s">
        <v>14</v>
      </c>
      <c r="F33">
        <v>0.94</v>
      </c>
      <c r="G33" t="s">
        <v>15</v>
      </c>
    </row>
    <row r="34" spans="1:7" x14ac:dyDescent="0.25">
      <c r="A34">
        <v>3</v>
      </c>
      <c r="B34" t="s">
        <v>111</v>
      </c>
      <c r="C34">
        <v>30</v>
      </c>
      <c r="D34" t="s">
        <v>103</v>
      </c>
      <c r="E34" t="s">
        <v>14</v>
      </c>
      <c r="F34">
        <v>5.8419999999999996</v>
      </c>
      <c r="G34" t="s">
        <v>13</v>
      </c>
    </row>
    <row r="35" spans="1:7" x14ac:dyDescent="0.25">
      <c r="A35">
        <v>3</v>
      </c>
      <c r="B35" t="s">
        <v>111</v>
      </c>
      <c r="C35">
        <v>40</v>
      </c>
      <c r="D35" t="s">
        <v>104</v>
      </c>
      <c r="E35" t="s">
        <v>14</v>
      </c>
      <c r="F35">
        <v>35.927999999999997</v>
      </c>
      <c r="G35" t="s">
        <v>13</v>
      </c>
    </row>
    <row r="36" spans="1:7" x14ac:dyDescent="0.25">
      <c r="A36">
        <v>3</v>
      </c>
      <c r="B36" t="s">
        <v>111</v>
      </c>
      <c r="C36">
        <v>50</v>
      </c>
      <c r="D36" t="s">
        <v>91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111</v>
      </c>
      <c r="C37">
        <v>60</v>
      </c>
      <c r="D37" t="s">
        <v>112</v>
      </c>
      <c r="E37" t="s">
        <v>11</v>
      </c>
      <c r="F37">
        <v>4</v>
      </c>
      <c r="G37" t="s">
        <v>13</v>
      </c>
    </row>
    <row r="38" spans="1:7" x14ac:dyDescent="0.25">
      <c r="A38">
        <v>3</v>
      </c>
      <c r="B38" t="s">
        <v>111</v>
      </c>
      <c r="C38">
        <v>70</v>
      </c>
      <c r="D38" t="s">
        <v>19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111</v>
      </c>
      <c r="C39">
        <v>80</v>
      </c>
      <c r="D39" t="s">
        <v>20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111</v>
      </c>
      <c r="C40">
        <v>90</v>
      </c>
      <c r="D40" t="s">
        <v>94</v>
      </c>
      <c r="E40" t="s">
        <v>12</v>
      </c>
      <c r="F40">
        <v>0.315</v>
      </c>
      <c r="G40" t="s">
        <v>13</v>
      </c>
    </row>
    <row r="41" spans="1:7" x14ac:dyDescent="0.25">
      <c r="A41">
        <v>3</v>
      </c>
      <c r="B41" t="s">
        <v>111</v>
      </c>
      <c r="C41">
        <v>100</v>
      </c>
      <c r="D41" t="s">
        <v>113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111</v>
      </c>
      <c r="C42">
        <v>110</v>
      </c>
      <c r="D42" t="s">
        <v>95</v>
      </c>
      <c r="E42" t="s">
        <v>14</v>
      </c>
      <c r="F42">
        <v>160.02000000000001</v>
      </c>
      <c r="G42" t="s">
        <v>15</v>
      </c>
    </row>
    <row r="43" spans="1:7" x14ac:dyDescent="0.25">
      <c r="A43">
        <v>3</v>
      </c>
      <c r="B43" t="s">
        <v>111</v>
      </c>
      <c r="C43">
        <v>120</v>
      </c>
      <c r="D43" t="s">
        <v>98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111</v>
      </c>
      <c r="C44">
        <v>130</v>
      </c>
      <c r="D44" t="s">
        <v>97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111</v>
      </c>
      <c r="C45">
        <v>140</v>
      </c>
      <c r="D45" t="s">
        <v>100</v>
      </c>
      <c r="E45" t="s">
        <v>14</v>
      </c>
      <c r="F45">
        <v>20</v>
      </c>
      <c r="G45" t="s">
        <v>13</v>
      </c>
    </row>
    <row r="46" spans="1:7" x14ac:dyDescent="0.25">
      <c r="A46">
        <v>3</v>
      </c>
      <c r="B46" t="s">
        <v>111</v>
      </c>
      <c r="C46">
        <v>150</v>
      </c>
      <c r="D46" t="s">
        <v>114</v>
      </c>
      <c r="E46" t="s">
        <v>12</v>
      </c>
      <c r="F46">
        <v>0.5</v>
      </c>
      <c r="G46" t="s">
        <v>13</v>
      </c>
    </row>
    <row r="47" spans="1:7" x14ac:dyDescent="0.25">
      <c r="A47">
        <v>4</v>
      </c>
      <c r="B47" t="s">
        <v>115</v>
      </c>
      <c r="C47">
        <v>10</v>
      </c>
      <c r="D47" t="s">
        <v>102</v>
      </c>
      <c r="E47" t="s">
        <v>14</v>
      </c>
      <c r="F47">
        <v>1.448</v>
      </c>
      <c r="G47" t="s">
        <v>15</v>
      </c>
    </row>
    <row r="48" spans="1:7" x14ac:dyDescent="0.25">
      <c r="A48">
        <v>4</v>
      </c>
      <c r="B48" t="s">
        <v>115</v>
      </c>
      <c r="C48">
        <v>20</v>
      </c>
      <c r="D48" t="s">
        <v>99</v>
      </c>
      <c r="E48" t="s">
        <v>14</v>
      </c>
      <c r="F48">
        <v>1.2450000000000001</v>
      </c>
      <c r="G48" t="s">
        <v>15</v>
      </c>
    </row>
    <row r="49" spans="1:7" x14ac:dyDescent="0.25">
      <c r="A49">
        <v>4</v>
      </c>
      <c r="B49" t="s">
        <v>115</v>
      </c>
      <c r="C49">
        <v>30</v>
      </c>
      <c r="D49" t="s">
        <v>103</v>
      </c>
      <c r="E49" t="s">
        <v>14</v>
      </c>
      <c r="F49">
        <v>6.452</v>
      </c>
      <c r="G49" t="s">
        <v>13</v>
      </c>
    </row>
    <row r="50" spans="1:7" x14ac:dyDescent="0.25">
      <c r="A50">
        <v>4</v>
      </c>
      <c r="B50" t="s">
        <v>115</v>
      </c>
      <c r="C50">
        <v>40</v>
      </c>
      <c r="D50" t="s">
        <v>104</v>
      </c>
      <c r="E50" t="s">
        <v>14</v>
      </c>
      <c r="F50">
        <v>39.677</v>
      </c>
      <c r="G50" t="s">
        <v>13</v>
      </c>
    </row>
    <row r="51" spans="1:7" x14ac:dyDescent="0.25">
      <c r="A51">
        <v>4</v>
      </c>
      <c r="B51" t="s">
        <v>115</v>
      </c>
      <c r="C51">
        <v>50</v>
      </c>
      <c r="D51" t="s">
        <v>91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115</v>
      </c>
      <c r="C52">
        <v>60</v>
      </c>
      <c r="D52" t="s">
        <v>112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115</v>
      </c>
      <c r="C53">
        <v>70</v>
      </c>
      <c r="D53" t="s">
        <v>19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115</v>
      </c>
      <c r="C54">
        <v>80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115</v>
      </c>
      <c r="C55">
        <v>90</v>
      </c>
      <c r="D55" t="s">
        <v>94</v>
      </c>
      <c r="E55" t="s">
        <v>12</v>
      </c>
      <c r="F55">
        <v>0.40500000000000003</v>
      </c>
      <c r="G55" t="s">
        <v>13</v>
      </c>
    </row>
    <row r="56" spans="1:7" x14ac:dyDescent="0.25">
      <c r="A56">
        <v>4</v>
      </c>
      <c r="B56" t="s">
        <v>115</v>
      </c>
      <c r="C56">
        <v>100</v>
      </c>
      <c r="D56" t="s">
        <v>116</v>
      </c>
      <c r="E56" t="s">
        <v>11</v>
      </c>
      <c r="F56">
        <v>1</v>
      </c>
      <c r="G56" t="s">
        <v>13</v>
      </c>
    </row>
    <row r="57" spans="1:7" x14ac:dyDescent="0.25">
      <c r="A57">
        <v>4</v>
      </c>
      <c r="B57" t="s">
        <v>115</v>
      </c>
      <c r="C57">
        <v>110</v>
      </c>
      <c r="D57" t="s">
        <v>95</v>
      </c>
      <c r="E57" t="s">
        <v>14</v>
      </c>
      <c r="F57">
        <v>177.089</v>
      </c>
      <c r="G57" t="s">
        <v>15</v>
      </c>
    </row>
    <row r="58" spans="1:7" x14ac:dyDescent="0.25">
      <c r="A58">
        <v>4</v>
      </c>
      <c r="B58" t="s">
        <v>115</v>
      </c>
      <c r="C58">
        <v>120</v>
      </c>
      <c r="D58" t="s">
        <v>98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115</v>
      </c>
      <c r="C59">
        <v>130</v>
      </c>
      <c r="D59" t="s">
        <v>97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115</v>
      </c>
      <c r="C60">
        <v>140</v>
      </c>
      <c r="D60" t="s">
        <v>100</v>
      </c>
      <c r="E60" t="s">
        <v>14</v>
      </c>
      <c r="F60">
        <v>20</v>
      </c>
      <c r="G60" t="s">
        <v>13</v>
      </c>
    </row>
    <row r="61" spans="1:7" x14ac:dyDescent="0.25">
      <c r="A61">
        <v>4</v>
      </c>
      <c r="B61" t="s">
        <v>115</v>
      </c>
      <c r="C61">
        <v>150</v>
      </c>
      <c r="D61" t="s">
        <v>107</v>
      </c>
      <c r="E61" t="s">
        <v>12</v>
      </c>
      <c r="F61">
        <v>0.6</v>
      </c>
      <c r="G61" t="s">
        <v>13</v>
      </c>
    </row>
    <row r="62" spans="1:7" x14ac:dyDescent="0.25">
      <c r="A62">
        <v>5</v>
      </c>
      <c r="B62" t="s">
        <v>117</v>
      </c>
      <c r="C62">
        <v>10</v>
      </c>
      <c r="D62" t="s">
        <v>102</v>
      </c>
      <c r="E62" t="s">
        <v>14</v>
      </c>
      <c r="F62">
        <v>1.4990000000000001</v>
      </c>
      <c r="G62" t="s">
        <v>15</v>
      </c>
    </row>
    <row r="63" spans="1:7" x14ac:dyDescent="0.25">
      <c r="A63">
        <v>5</v>
      </c>
      <c r="B63" t="s">
        <v>117</v>
      </c>
      <c r="C63">
        <v>20</v>
      </c>
      <c r="D63" t="s">
        <v>99</v>
      </c>
      <c r="E63" t="s">
        <v>14</v>
      </c>
      <c r="F63">
        <v>1.2450000000000001</v>
      </c>
      <c r="G63" t="s">
        <v>15</v>
      </c>
    </row>
    <row r="64" spans="1:7" x14ac:dyDescent="0.25">
      <c r="A64">
        <v>5</v>
      </c>
      <c r="B64" t="s">
        <v>117</v>
      </c>
      <c r="C64">
        <v>30</v>
      </c>
      <c r="D64" t="s">
        <v>103</v>
      </c>
      <c r="E64" t="s">
        <v>14</v>
      </c>
      <c r="F64">
        <v>6.452</v>
      </c>
      <c r="G64" t="s">
        <v>13</v>
      </c>
    </row>
    <row r="65" spans="1:7" x14ac:dyDescent="0.25">
      <c r="A65">
        <v>5</v>
      </c>
      <c r="B65" t="s">
        <v>117</v>
      </c>
      <c r="C65">
        <v>40</v>
      </c>
      <c r="D65" t="s">
        <v>104</v>
      </c>
      <c r="E65" t="s">
        <v>14</v>
      </c>
      <c r="F65">
        <v>39.677</v>
      </c>
      <c r="G65" t="s">
        <v>13</v>
      </c>
    </row>
    <row r="66" spans="1:7" x14ac:dyDescent="0.25">
      <c r="A66">
        <v>5</v>
      </c>
      <c r="B66" t="s">
        <v>117</v>
      </c>
      <c r="C66">
        <v>50</v>
      </c>
      <c r="D66" t="s">
        <v>91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117</v>
      </c>
      <c r="C67">
        <v>60</v>
      </c>
      <c r="D67" t="s">
        <v>105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117</v>
      </c>
      <c r="C68">
        <v>70</v>
      </c>
      <c r="D68" t="s">
        <v>19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117</v>
      </c>
      <c r="C69">
        <v>80</v>
      </c>
      <c r="D69" t="s">
        <v>20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117</v>
      </c>
      <c r="C70">
        <v>90</v>
      </c>
      <c r="D70" t="s">
        <v>94</v>
      </c>
      <c r="E70" t="s">
        <v>12</v>
      </c>
      <c r="F70">
        <v>0.41299999999999998</v>
      </c>
      <c r="G70" t="s">
        <v>13</v>
      </c>
    </row>
    <row r="71" spans="1:7" x14ac:dyDescent="0.25">
      <c r="A71">
        <v>5</v>
      </c>
      <c r="B71" t="s">
        <v>117</v>
      </c>
      <c r="C71">
        <v>100</v>
      </c>
      <c r="D71" t="s">
        <v>118</v>
      </c>
      <c r="E71" t="s">
        <v>11</v>
      </c>
      <c r="F71">
        <v>1</v>
      </c>
      <c r="G71" t="s">
        <v>13</v>
      </c>
    </row>
    <row r="72" spans="1:7" x14ac:dyDescent="0.25">
      <c r="A72">
        <v>5</v>
      </c>
      <c r="B72" t="s">
        <v>117</v>
      </c>
      <c r="C72">
        <v>110</v>
      </c>
      <c r="D72" t="s">
        <v>95</v>
      </c>
      <c r="E72" t="s">
        <v>14</v>
      </c>
      <c r="F72">
        <v>177.089</v>
      </c>
      <c r="G72" t="s">
        <v>15</v>
      </c>
    </row>
    <row r="73" spans="1:7" x14ac:dyDescent="0.25">
      <c r="A73">
        <v>5</v>
      </c>
      <c r="B73" t="s">
        <v>117</v>
      </c>
      <c r="C73">
        <v>120</v>
      </c>
      <c r="D73" t="s">
        <v>98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117</v>
      </c>
      <c r="C74">
        <v>130</v>
      </c>
      <c r="D74" t="s">
        <v>97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117</v>
      </c>
      <c r="C75">
        <v>140</v>
      </c>
      <c r="D75" t="s">
        <v>100</v>
      </c>
      <c r="E75" t="s">
        <v>14</v>
      </c>
      <c r="F75">
        <v>20</v>
      </c>
      <c r="G75" t="s">
        <v>13</v>
      </c>
    </row>
    <row r="76" spans="1:7" x14ac:dyDescent="0.25">
      <c r="A76">
        <v>5</v>
      </c>
      <c r="B76" t="s">
        <v>117</v>
      </c>
      <c r="C76">
        <v>150</v>
      </c>
      <c r="D76" t="s">
        <v>107</v>
      </c>
      <c r="E76" t="s">
        <v>12</v>
      </c>
      <c r="F76">
        <v>0.6</v>
      </c>
      <c r="G76" t="s">
        <v>13</v>
      </c>
    </row>
    <row r="77" spans="1:7" x14ac:dyDescent="0.25">
      <c r="A77">
        <v>6</v>
      </c>
      <c r="B77" t="s">
        <v>119</v>
      </c>
      <c r="C77">
        <v>10</v>
      </c>
      <c r="D77" t="s">
        <v>102</v>
      </c>
      <c r="E77" t="s">
        <v>14</v>
      </c>
      <c r="F77">
        <v>1.7529999999999999</v>
      </c>
      <c r="G77" t="s">
        <v>15</v>
      </c>
    </row>
    <row r="78" spans="1:7" x14ac:dyDescent="0.25">
      <c r="A78">
        <v>6</v>
      </c>
      <c r="B78" t="s">
        <v>119</v>
      </c>
      <c r="C78">
        <v>20</v>
      </c>
      <c r="D78" t="s">
        <v>99</v>
      </c>
      <c r="E78" t="s">
        <v>14</v>
      </c>
      <c r="F78">
        <v>1.5489999999999999</v>
      </c>
      <c r="G78" t="s">
        <v>15</v>
      </c>
    </row>
    <row r="79" spans="1:7" x14ac:dyDescent="0.25">
      <c r="A79">
        <v>6</v>
      </c>
      <c r="B79" t="s">
        <v>119</v>
      </c>
      <c r="C79">
        <v>30</v>
      </c>
      <c r="D79" t="s">
        <v>103</v>
      </c>
      <c r="E79" t="s">
        <v>14</v>
      </c>
      <c r="F79">
        <v>7.0609999999999999</v>
      </c>
      <c r="G79" t="s">
        <v>13</v>
      </c>
    </row>
    <row r="80" spans="1:7" x14ac:dyDescent="0.25">
      <c r="A80">
        <v>6</v>
      </c>
      <c r="B80" t="s">
        <v>119</v>
      </c>
      <c r="C80">
        <v>40</v>
      </c>
      <c r="D80" t="s">
        <v>104</v>
      </c>
      <c r="E80" t="s">
        <v>14</v>
      </c>
      <c r="F80">
        <v>43.426000000000002</v>
      </c>
      <c r="G80" t="s">
        <v>13</v>
      </c>
    </row>
    <row r="81" spans="1:7" x14ac:dyDescent="0.25">
      <c r="A81">
        <v>6</v>
      </c>
      <c r="B81" t="s">
        <v>119</v>
      </c>
      <c r="C81">
        <v>50</v>
      </c>
      <c r="D81" t="s">
        <v>91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119</v>
      </c>
      <c r="C82">
        <v>60</v>
      </c>
      <c r="D82" t="s">
        <v>112</v>
      </c>
      <c r="E82" t="s">
        <v>11</v>
      </c>
      <c r="F82">
        <v>4</v>
      </c>
      <c r="G82" t="s">
        <v>13</v>
      </c>
    </row>
    <row r="83" spans="1:7" x14ac:dyDescent="0.25">
      <c r="A83">
        <v>6</v>
      </c>
      <c r="B83" t="s">
        <v>119</v>
      </c>
      <c r="C83">
        <v>70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119</v>
      </c>
      <c r="C84">
        <v>80</v>
      </c>
      <c r="D84" t="s">
        <v>20</v>
      </c>
      <c r="E84" t="s">
        <v>11</v>
      </c>
      <c r="F84">
        <v>1</v>
      </c>
      <c r="G84" t="s">
        <v>13</v>
      </c>
    </row>
    <row r="85" spans="1:7" x14ac:dyDescent="0.25">
      <c r="A85">
        <v>6</v>
      </c>
      <c r="B85" t="s">
        <v>119</v>
      </c>
      <c r="C85">
        <v>90</v>
      </c>
      <c r="D85" t="s">
        <v>94</v>
      </c>
      <c r="E85" t="s">
        <v>12</v>
      </c>
      <c r="F85">
        <v>0.495</v>
      </c>
      <c r="G85" t="s">
        <v>13</v>
      </c>
    </row>
    <row r="86" spans="1:7" x14ac:dyDescent="0.25">
      <c r="A86">
        <v>6</v>
      </c>
      <c r="B86" t="s">
        <v>119</v>
      </c>
      <c r="C86">
        <v>100</v>
      </c>
      <c r="D86" t="s">
        <v>120</v>
      </c>
      <c r="E86" t="s">
        <v>11</v>
      </c>
      <c r="F86">
        <v>1</v>
      </c>
      <c r="G86" t="s">
        <v>13</v>
      </c>
    </row>
    <row r="87" spans="1:7" x14ac:dyDescent="0.25">
      <c r="A87">
        <v>6</v>
      </c>
      <c r="B87" t="s">
        <v>119</v>
      </c>
      <c r="C87">
        <v>110</v>
      </c>
      <c r="D87" t="s">
        <v>95</v>
      </c>
      <c r="E87" t="s">
        <v>14</v>
      </c>
      <c r="F87">
        <v>194.15799999999999</v>
      </c>
      <c r="G87" t="s">
        <v>15</v>
      </c>
    </row>
    <row r="88" spans="1:7" x14ac:dyDescent="0.25">
      <c r="A88">
        <v>6</v>
      </c>
      <c r="B88" t="s">
        <v>119</v>
      </c>
      <c r="C88">
        <v>120</v>
      </c>
      <c r="D88" t="s">
        <v>98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119</v>
      </c>
      <c r="C89">
        <v>130</v>
      </c>
      <c r="D89" t="s">
        <v>97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119</v>
      </c>
      <c r="C90">
        <v>140</v>
      </c>
      <c r="D90" t="s">
        <v>100</v>
      </c>
      <c r="E90" t="s">
        <v>14</v>
      </c>
      <c r="F90">
        <v>20</v>
      </c>
      <c r="G90" t="s">
        <v>13</v>
      </c>
    </row>
    <row r="91" spans="1:7" x14ac:dyDescent="0.25">
      <c r="A91">
        <v>6</v>
      </c>
      <c r="B91" t="s">
        <v>119</v>
      </c>
      <c r="C91">
        <v>150</v>
      </c>
      <c r="D91" t="s">
        <v>121</v>
      </c>
      <c r="E91" t="s">
        <v>12</v>
      </c>
      <c r="F91">
        <v>0.6</v>
      </c>
      <c r="G91" t="s">
        <v>13</v>
      </c>
    </row>
    <row r="92" spans="1:7" x14ac:dyDescent="0.25">
      <c r="A92">
        <v>7</v>
      </c>
      <c r="B92" t="s">
        <v>122</v>
      </c>
      <c r="C92">
        <v>10</v>
      </c>
      <c r="D92" t="s">
        <v>102</v>
      </c>
      <c r="E92" t="s">
        <v>14</v>
      </c>
      <c r="F92">
        <v>1.8029999999999999</v>
      </c>
      <c r="G92" t="s">
        <v>15</v>
      </c>
    </row>
    <row r="93" spans="1:7" x14ac:dyDescent="0.25">
      <c r="A93">
        <v>7</v>
      </c>
      <c r="B93" t="s">
        <v>122</v>
      </c>
      <c r="C93">
        <v>20</v>
      </c>
      <c r="D93" t="s">
        <v>99</v>
      </c>
      <c r="E93" t="s">
        <v>14</v>
      </c>
      <c r="F93">
        <v>1.5489999999999999</v>
      </c>
      <c r="G93" t="s">
        <v>15</v>
      </c>
    </row>
    <row r="94" spans="1:7" x14ac:dyDescent="0.25">
      <c r="A94">
        <v>7</v>
      </c>
      <c r="B94" t="s">
        <v>122</v>
      </c>
      <c r="C94">
        <v>30</v>
      </c>
      <c r="D94" t="s">
        <v>103</v>
      </c>
      <c r="E94" t="s">
        <v>14</v>
      </c>
      <c r="F94">
        <v>7.0609999999999999</v>
      </c>
      <c r="G94" t="s">
        <v>13</v>
      </c>
    </row>
    <row r="95" spans="1:7" x14ac:dyDescent="0.25">
      <c r="A95">
        <v>7</v>
      </c>
      <c r="B95" t="s">
        <v>122</v>
      </c>
      <c r="C95">
        <v>40</v>
      </c>
      <c r="D95" t="s">
        <v>104</v>
      </c>
      <c r="E95" t="s">
        <v>14</v>
      </c>
      <c r="F95">
        <v>43.426000000000002</v>
      </c>
      <c r="G95" t="s">
        <v>13</v>
      </c>
    </row>
    <row r="96" spans="1:7" x14ac:dyDescent="0.25">
      <c r="A96">
        <v>7</v>
      </c>
      <c r="B96" t="s">
        <v>122</v>
      </c>
      <c r="C96">
        <v>50</v>
      </c>
      <c r="D96" t="s">
        <v>91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122</v>
      </c>
      <c r="C97">
        <v>60</v>
      </c>
      <c r="D97" t="s">
        <v>105</v>
      </c>
      <c r="E97" t="s">
        <v>11</v>
      </c>
      <c r="F97">
        <v>4</v>
      </c>
      <c r="G97" t="s">
        <v>13</v>
      </c>
    </row>
    <row r="98" spans="1:7" x14ac:dyDescent="0.25">
      <c r="A98">
        <v>7</v>
      </c>
      <c r="B98" t="s">
        <v>122</v>
      </c>
      <c r="C98">
        <v>70</v>
      </c>
      <c r="D98" t="s">
        <v>19</v>
      </c>
      <c r="E98" t="s">
        <v>11</v>
      </c>
      <c r="F98">
        <v>1</v>
      </c>
      <c r="G98" t="s">
        <v>13</v>
      </c>
    </row>
    <row r="99" spans="1:7" x14ac:dyDescent="0.25">
      <c r="A99">
        <v>7</v>
      </c>
      <c r="B99" t="s">
        <v>122</v>
      </c>
      <c r="C99">
        <v>80</v>
      </c>
      <c r="D99" t="s">
        <v>20</v>
      </c>
      <c r="E99" t="s">
        <v>11</v>
      </c>
      <c r="F99">
        <v>1</v>
      </c>
      <c r="G99" t="s">
        <v>13</v>
      </c>
    </row>
    <row r="100" spans="1:7" x14ac:dyDescent="0.25">
      <c r="A100">
        <v>7</v>
      </c>
      <c r="B100" t="s">
        <v>122</v>
      </c>
      <c r="C100">
        <v>90</v>
      </c>
      <c r="D100" t="s">
        <v>94</v>
      </c>
      <c r="E100" t="s">
        <v>12</v>
      </c>
      <c r="F100">
        <v>0.503</v>
      </c>
      <c r="G100" t="s">
        <v>13</v>
      </c>
    </row>
    <row r="101" spans="1:7" x14ac:dyDescent="0.25">
      <c r="A101">
        <v>7</v>
      </c>
      <c r="B101" t="s">
        <v>122</v>
      </c>
      <c r="C101">
        <v>100</v>
      </c>
      <c r="D101" t="s">
        <v>123</v>
      </c>
      <c r="E101" t="s">
        <v>11</v>
      </c>
      <c r="F101">
        <v>1</v>
      </c>
      <c r="G101" t="s">
        <v>13</v>
      </c>
    </row>
    <row r="102" spans="1:7" x14ac:dyDescent="0.25">
      <c r="A102">
        <v>7</v>
      </c>
      <c r="B102" t="s">
        <v>122</v>
      </c>
      <c r="C102">
        <v>110</v>
      </c>
      <c r="D102" t="s">
        <v>95</v>
      </c>
      <c r="E102" t="s">
        <v>14</v>
      </c>
      <c r="F102">
        <v>194.15799999999999</v>
      </c>
      <c r="G102" t="s">
        <v>15</v>
      </c>
    </row>
    <row r="103" spans="1:7" x14ac:dyDescent="0.25">
      <c r="A103">
        <v>7</v>
      </c>
      <c r="B103" t="s">
        <v>122</v>
      </c>
      <c r="C103">
        <v>120</v>
      </c>
      <c r="D103" t="s">
        <v>98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122</v>
      </c>
      <c r="C104">
        <v>130</v>
      </c>
      <c r="D104" t="s">
        <v>97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122</v>
      </c>
      <c r="C105">
        <v>140</v>
      </c>
      <c r="D105" t="s">
        <v>100</v>
      </c>
      <c r="E105" t="s">
        <v>14</v>
      </c>
      <c r="F105">
        <v>20</v>
      </c>
      <c r="G105" t="s">
        <v>13</v>
      </c>
    </row>
    <row r="106" spans="1:7" x14ac:dyDescent="0.25">
      <c r="A106">
        <v>7</v>
      </c>
      <c r="B106" t="s">
        <v>122</v>
      </c>
      <c r="C106">
        <v>150</v>
      </c>
      <c r="D106" t="s">
        <v>121</v>
      </c>
      <c r="E106" t="s">
        <v>12</v>
      </c>
      <c r="F106">
        <v>0.6</v>
      </c>
      <c r="G106" t="s">
        <v>13</v>
      </c>
    </row>
    <row r="107" spans="1:7" x14ac:dyDescent="0.25">
      <c r="A107">
        <v>8</v>
      </c>
      <c r="B107" t="s">
        <v>124</v>
      </c>
      <c r="C107">
        <v>10</v>
      </c>
      <c r="D107" t="s">
        <v>102</v>
      </c>
      <c r="E107" t="s">
        <v>14</v>
      </c>
      <c r="F107">
        <v>2.1080000000000001</v>
      </c>
      <c r="G107" t="s">
        <v>15</v>
      </c>
    </row>
    <row r="108" spans="1:7" x14ac:dyDescent="0.25">
      <c r="A108">
        <v>8</v>
      </c>
      <c r="B108" t="s">
        <v>124</v>
      </c>
      <c r="C108">
        <v>20</v>
      </c>
      <c r="D108" t="s">
        <v>99</v>
      </c>
      <c r="E108" t="s">
        <v>14</v>
      </c>
      <c r="F108">
        <v>1.8540000000000001</v>
      </c>
      <c r="G108" t="s">
        <v>15</v>
      </c>
    </row>
    <row r="109" spans="1:7" x14ac:dyDescent="0.25">
      <c r="A109">
        <v>8</v>
      </c>
      <c r="B109" t="s">
        <v>124</v>
      </c>
      <c r="C109">
        <v>30</v>
      </c>
      <c r="D109" t="s">
        <v>103</v>
      </c>
      <c r="E109" t="s">
        <v>14</v>
      </c>
      <c r="F109">
        <v>7.6710000000000003</v>
      </c>
      <c r="G109" t="s">
        <v>13</v>
      </c>
    </row>
    <row r="110" spans="1:7" x14ac:dyDescent="0.25">
      <c r="A110">
        <v>8</v>
      </c>
      <c r="B110" t="s">
        <v>124</v>
      </c>
      <c r="C110">
        <v>40</v>
      </c>
      <c r="D110" t="s">
        <v>104</v>
      </c>
      <c r="E110" t="s">
        <v>14</v>
      </c>
      <c r="F110">
        <v>47.174999999999997</v>
      </c>
      <c r="G110" t="s">
        <v>13</v>
      </c>
    </row>
    <row r="111" spans="1:7" x14ac:dyDescent="0.25">
      <c r="A111">
        <v>8</v>
      </c>
      <c r="B111" t="s">
        <v>124</v>
      </c>
      <c r="C111">
        <v>50</v>
      </c>
      <c r="D111" t="s">
        <v>91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124</v>
      </c>
      <c r="C112">
        <v>60</v>
      </c>
      <c r="D112" t="s">
        <v>105</v>
      </c>
      <c r="E112" t="s">
        <v>11</v>
      </c>
      <c r="F112">
        <v>4</v>
      </c>
      <c r="G112" t="s">
        <v>13</v>
      </c>
    </row>
    <row r="113" spans="1:7" x14ac:dyDescent="0.25">
      <c r="A113">
        <v>8</v>
      </c>
      <c r="B113" t="s">
        <v>124</v>
      </c>
      <c r="C113">
        <v>70</v>
      </c>
      <c r="D113" t="s">
        <v>19</v>
      </c>
      <c r="E113" t="s">
        <v>11</v>
      </c>
      <c r="F113">
        <v>1</v>
      </c>
      <c r="G113" t="s">
        <v>13</v>
      </c>
    </row>
    <row r="114" spans="1:7" x14ac:dyDescent="0.25">
      <c r="A114">
        <v>8</v>
      </c>
      <c r="B114" t="s">
        <v>124</v>
      </c>
      <c r="C114">
        <v>80</v>
      </c>
      <c r="D114" t="s">
        <v>20</v>
      </c>
      <c r="E114" t="s">
        <v>11</v>
      </c>
      <c r="F114">
        <v>1</v>
      </c>
      <c r="G114" t="s">
        <v>13</v>
      </c>
    </row>
    <row r="115" spans="1:7" x14ac:dyDescent="0.25">
      <c r="A115">
        <v>8</v>
      </c>
      <c r="B115" t="s">
        <v>124</v>
      </c>
      <c r="C115">
        <v>90</v>
      </c>
      <c r="D115" t="s">
        <v>94</v>
      </c>
      <c r="E115" t="s">
        <v>12</v>
      </c>
      <c r="F115">
        <v>0.59299999999999997</v>
      </c>
      <c r="G115" t="s">
        <v>13</v>
      </c>
    </row>
    <row r="116" spans="1:7" x14ac:dyDescent="0.25">
      <c r="A116">
        <v>8</v>
      </c>
      <c r="B116" t="s">
        <v>124</v>
      </c>
      <c r="C116">
        <v>100</v>
      </c>
      <c r="D116" t="s">
        <v>125</v>
      </c>
      <c r="E116" t="s">
        <v>11</v>
      </c>
      <c r="F116">
        <v>1</v>
      </c>
      <c r="G116" t="s">
        <v>13</v>
      </c>
    </row>
    <row r="117" spans="1:7" x14ac:dyDescent="0.25">
      <c r="A117">
        <v>8</v>
      </c>
      <c r="B117" t="s">
        <v>124</v>
      </c>
      <c r="C117">
        <v>110</v>
      </c>
      <c r="D117" t="s">
        <v>95</v>
      </c>
      <c r="E117" t="s">
        <v>14</v>
      </c>
      <c r="F117">
        <v>211.226</v>
      </c>
      <c r="G117" t="s">
        <v>15</v>
      </c>
    </row>
    <row r="118" spans="1:7" x14ac:dyDescent="0.25">
      <c r="A118">
        <v>8</v>
      </c>
      <c r="B118" t="s">
        <v>124</v>
      </c>
      <c r="C118">
        <v>120</v>
      </c>
      <c r="D118" t="s">
        <v>98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124</v>
      </c>
      <c r="C119">
        <v>130</v>
      </c>
      <c r="D119" t="s">
        <v>97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124</v>
      </c>
      <c r="C120">
        <v>140</v>
      </c>
      <c r="D120" t="s">
        <v>100</v>
      </c>
      <c r="E120" t="s">
        <v>14</v>
      </c>
      <c r="F120">
        <v>20</v>
      </c>
      <c r="G120" t="s">
        <v>13</v>
      </c>
    </row>
    <row r="121" spans="1:7" x14ac:dyDescent="0.25">
      <c r="A121">
        <v>8</v>
      </c>
      <c r="B121" t="s">
        <v>124</v>
      </c>
      <c r="C121">
        <v>150</v>
      </c>
      <c r="D121" t="s">
        <v>110</v>
      </c>
      <c r="E121" t="s">
        <v>12</v>
      </c>
      <c r="F121">
        <v>0.8</v>
      </c>
      <c r="G121" t="s">
        <v>13</v>
      </c>
    </row>
    <row r="122" spans="1:7" x14ac:dyDescent="0.25">
      <c r="A122">
        <v>9</v>
      </c>
      <c r="B122" t="s">
        <v>126</v>
      </c>
      <c r="C122">
        <v>10</v>
      </c>
      <c r="D122" t="s">
        <v>102</v>
      </c>
      <c r="E122" t="s">
        <v>14</v>
      </c>
      <c r="F122">
        <v>2.2610000000000001</v>
      </c>
      <c r="G122" t="s">
        <v>15</v>
      </c>
    </row>
    <row r="123" spans="1:7" x14ac:dyDescent="0.25">
      <c r="A123">
        <v>9</v>
      </c>
      <c r="B123" t="s">
        <v>126</v>
      </c>
      <c r="C123">
        <v>20</v>
      </c>
      <c r="D123" t="s">
        <v>99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9</v>
      </c>
      <c r="B124" t="s">
        <v>126</v>
      </c>
      <c r="C124">
        <v>30</v>
      </c>
      <c r="D124" t="s">
        <v>103</v>
      </c>
      <c r="E124" t="s">
        <v>14</v>
      </c>
      <c r="F124">
        <v>6.6040000000000001</v>
      </c>
      <c r="G124" t="s">
        <v>13</v>
      </c>
    </row>
    <row r="125" spans="1:7" x14ac:dyDescent="0.25">
      <c r="A125">
        <v>9</v>
      </c>
      <c r="B125" t="s">
        <v>126</v>
      </c>
      <c r="C125">
        <v>40</v>
      </c>
      <c r="D125" t="s">
        <v>104</v>
      </c>
      <c r="E125" t="s">
        <v>14</v>
      </c>
      <c r="F125">
        <v>40.615000000000002</v>
      </c>
      <c r="G125" t="s">
        <v>13</v>
      </c>
    </row>
    <row r="126" spans="1:7" x14ac:dyDescent="0.25">
      <c r="A126">
        <v>9</v>
      </c>
      <c r="B126" t="s">
        <v>126</v>
      </c>
      <c r="C126">
        <v>50</v>
      </c>
      <c r="D126" t="s">
        <v>91</v>
      </c>
      <c r="E126" t="s">
        <v>11</v>
      </c>
      <c r="F126">
        <v>1</v>
      </c>
      <c r="G126" t="s">
        <v>13</v>
      </c>
    </row>
    <row r="127" spans="1:7" x14ac:dyDescent="0.25">
      <c r="A127">
        <v>9</v>
      </c>
      <c r="B127" t="s">
        <v>126</v>
      </c>
      <c r="C127">
        <v>60</v>
      </c>
      <c r="D127" t="s">
        <v>105</v>
      </c>
      <c r="E127" t="s">
        <v>11</v>
      </c>
      <c r="F127">
        <v>4</v>
      </c>
      <c r="G127" t="s">
        <v>13</v>
      </c>
    </row>
    <row r="128" spans="1:7" x14ac:dyDescent="0.25">
      <c r="A128">
        <v>9</v>
      </c>
      <c r="B128" t="s">
        <v>126</v>
      </c>
      <c r="C128">
        <v>70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9</v>
      </c>
      <c r="B129" t="s">
        <v>126</v>
      </c>
      <c r="C129">
        <v>80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9</v>
      </c>
      <c r="B130" t="s">
        <v>126</v>
      </c>
      <c r="C130">
        <v>90</v>
      </c>
      <c r="D130" t="s">
        <v>94</v>
      </c>
      <c r="E130" t="s">
        <v>12</v>
      </c>
      <c r="F130">
        <v>0.41299999999999998</v>
      </c>
      <c r="G130" t="s">
        <v>13</v>
      </c>
    </row>
    <row r="131" spans="1:7" x14ac:dyDescent="0.25">
      <c r="A131">
        <v>9</v>
      </c>
      <c r="B131" t="s">
        <v>126</v>
      </c>
      <c r="C131">
        <v>100</v>
      </c>
      <c r="D131" t="s">
        <v>127</v>
      </c>
      <c r="E131" t="s">
        <v>11</v>
      </c>
      <c r="F131">
        <v>1</v>
      </c>
      <c r="G131" t="s">
        <v>13</v>
      </c>
    </row>
    <row r="132" spans="1:7" x14ac:dyDescent="0.25">
      <c r="A132">
        <v>9</v>
      </c>
      <c r="B132" t="s">
        <v>126</v>
      </c>
      <c r="C132">
        <v>110</v>
      </c>
      <c r="D132" t="s">
        <v>95</v>
      </c>
      <c r="E132" t="s">
        <v>14</v>
      </c>
      <c r="F132">
        <v>181.35599999999999</v>
      </c>
      <c r="G132" t="s">
        <v>15</v>
      </c>
    </row>
    <row r="133" spans="1:7" x14ac:dyDescent="0.25">
      <c r="A133">
        <v>9</v>
      </c>
      <c r="B133" t="s">
        <v>126</v>
      </c>
      <c r="C133">
        <v>120</v>
      </c>
      <c r="D133" t="s">
        <v>98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126</v>
      </c>
      <c r="C134">
        <v>130</v>
      </c>
      <c r="D134" t="s">
        <v>97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126</v>
      </c>
      <c r="C135">
        <v>140</v>
      </c>
      <c r="D135" t="s">
        <v>100</v>
      </c>
      <c r="E135" t="s">
        <v>14</v>
      </c>
      <c r="F135">
        <v>20</v>
      </c>
      <c r="G135" t="s">
        <v>13</v>
      </c>
    </row>
    <row r="136" spans="1:7" x14ac:dyDescent="0.25">
      <c r="A136">
        <v>9</v>
      </c>
      <c r="B136" t="s">
        <v>126</v>
      </c>
      <c r="C136">
        <v>150</v>
      </c>
      <c r="D136" t="s">
        <v>107</v>
      </c>
      <c r="E136" t="s">
        <v>12</v>
      </c>
      <c r="F136">
        <v>0.6</v>
      </c>
      <c r="G136" t="s">
        <v>13</v>
      </c>
    </row>
    <row r="137" spans="1:7" x14ac:dyDescent="0.25">
      <c r="A137">
        <v>10</v>
      </c>
      <c r="B137" t="s">
        <v>128</v>
      </c>
      <c r="C137">
        <v>10</v>
      </c>
      <c r="D137" t="s">
        <v>102</v>
      </c>
      <c r="E137" t="s">
        <v>14</v>
      </c>
      <c r="F137">
        <v>2.2610000000000001</v>
      </c>
      <c r="G137" t="s">
        <v>15</v>
      </c>
    </row>
    <row r="138" spans="1:7" x14ac:dyDescent="0.25">
      <c r="A138">
        <v>10</v>
      </c>
      <c r="B138" t="s">
        <v>128</v>
      </c>
      <c r="C138">
        <v>20</v>
      </c>
      <c r="D138" t="s">
        <v>99</v>
      </c>
      <c r="E138" t="s">
        <v>14</v>
      </c>
      <c r="F138">
        <v>1.5489999999999999</v>
      </c>
      <c r="G138" t="s">
        <v>15</v>
      </c>
    </row>
    <row r="139" spans="1:7" x14ac:dyDescent="0.25">
      <c r="A139">
        <v>10</v>
      </c>
      <c r="B139" t="s">
        <v>128</v>
      </c>
      <c r="C139">
        <v>30</v>
      </c>
      <c r="D139" t="s">
        <v>103</v>
      </c>
      <c r="E139" t="s">
        <v>14</v>
      </c>
      <c r="F139">
        <v>7.2140000000000004</v>
      </c>
      <c r="G139" t="s">
        <v>13</v>
      </c>
    </row>
    <row r="140" spans="1:7" x14ac:dyDescent="0.25">
      <c r="A140">
        <v>10</v>
      </c>
      <c r="B140" t="s">
        <v>128</v>
      </c>
      <c r="C140">
        <v>40</v>
      </c>
      <c r="D140" t="s">
        <v>104</v>
      </c>
      <c r="E140" t="s">
        <v>14</v>
      </c>
      <c r="F140">
        <v>44.363999999999997</v>
      </c>
      <c r="G140" t="s">
        <v>13</v>
      </c>
    </row>
    <row r="141" spans="1:7" x14ac:dyDescent="0.25">
      <c r="A141">
        <v>10</v>
      </c>
      <c r="B141" t="s">
        <v>128</v>
      </c>
      <c r="C141">
        <v>50</v>
      </c>
      <c r="D141" t="s">
        <v>91</v>
      </c>
      <c r="E141" t="s">
        <v>11</v>
      </c>
      <c r="F141">
        <v>1</v>
      </c>
      <c r="G141" t="s">
        <v>13</v>
      </c>
    </row>
    <row r="142" spans="1:7" x14ac:dyDescent="0.25">
      <c r="A142">
        <v>10</v>
      </c>
      <c r="B142" t="s">
        <v>128</v>
      </c>
      <c r="C142">
        <v>60</v>
      </c>
      <c r="D142" t="s">
        <v>105</v>
      </c>
      <c r="E142" t="s">
        <v>11</v>
      </c>
      <c r="F142">
        <v>4</v>
      </c>
      <c r="G142" t="s">
        <v>13</v>
      </c>
    </row>
    <row r="143" spans="1:7" x14ac:dyDescent="0.25">
      <c r="A143">
        <v>10</v>
      </c>
      <c r="B143" t="s">
        <v>128</v>
      </c>
      <c r="C143">
        <v>70</v>
      </c>
      <c r="D143" t="s">
        <v>19</v>
      </c>
      <c r="E143" t="s">
        <v>11</v>
      </c>
      <c r="F143">
        <v>1</v>
      </c>
      <c r="G143" t="s">
        <v>13</v>
      </c>
    </row>
    <row r="144" spans="1:7" x14ac:dyDescent="0.25">
      <c r="A144">
        <v>10</v>
      </c>
      <c r="B144" t="s">
        <v>128</v>
      </c>
      <c r="C144">
        <v>80</v>
      </c>
      <c r="D144" t="s">
        <v>20</v>
      </c>
      <c r="E144" t="s">
        <v>11</v>
      </c>
      <c r="F144">
        <v>1</v>
      </c>
      <c r="G144" t="s">
        <v>13</v>
      </c>
    </row>
    <row r="145" spans="1:7" x14ac:dyDescent="0.25">
      <c r="A145">
        <v>10</v>
      </c>
      <c r="B145" t="s">
        <v>128</v>
      </c>
      <c r="C145">
        <v>90</v>
      </c>
      <c r="D145" t="s">
        <v>94</v>
      </c>
      <c r="E145" t="s">
        <v>12</v>
      </c>
      <c r="F145">
        <v>0.503</v>
      </c>
      <c r="G145" t="s">
        <v>13</v>
      </c>
    </row>
    <row r="146" spans="1:7" x14ac:dyDescent="0.25">
      <c r="A146">
        <v>10</v>
      </c>
      <c r="B146" t="s">
        <v>128</v>
      </c>
      <c r="C146">
        <v>100</v>
      </c>
      <c r="D146" t="s">
        <v>129</v>
      </c>
      <c r="E146" t="s">
        <v>11</v>
      </c>
      <c r="F146">
        <v>1</v>
      </c>
      <c r="G146" t="s">
        <v>13</v>
      </c>
    </row>
    <row r="147" spans="1:7" x14ac:dyDescent="0.25">
      <c r="A147">
        <v>10</v>
      </c>
      <c r="B147" t="s">
        <v>128</v>
      </c>
      <c r="C147">
        <v>110</v>
      </c>
      <c r="D147" t="s">
        <v>95</v>
      </c>
      <c r="E147" t="s">
        <v>14</v>
      </c>
      <c r="F147">
        <v>198.42500000000001</v>
      </c>
      <c r="G147" t="s">
        <v>15</v>
      </c>
    </row>
    <row r="148" spans="1:7" x14ac:dyDescent="0.25">
      <c r="A148">
        <v>10</v>
      </c>
      <c r="B148" t="s">
        <v>128</v>
      </c>
      <c r="C148">
        <v>120</v>
      </c>
      <c r="D148" t="s">
        <v>98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128</v>
      </c>
      <c r="C149">
        <v>130</v>
      </c>
      <c r="D149" t="s">
        <v>97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128</v>
      </c>
      <c r="C150">
        <v>140</v>
      </c>
      <c r="D150" t="s">
        <v>100</v>
      </c>
      <c r="E150" t="s">
        <v>14</v>
      </c>
      <c r="F150">
        <v>20</v>
      </c>
      <c r="G150" t="s">
        <v>13</v>
      </c>
    </row>
    <row r="151" spans="1:7" x14ac:dyDescent="0.25">
      <c r="A151">
        <v>10</v>
      </c>
      <c r="B151" t="s">
        <v>128</v>
      </c>
      <c r="C151">
        <v>150</v>
      </c>
      <c r="D151" t="s">
        <v>121</v>
      </c>
      <c r="E151" t="s">
        <v>12</v>
      </c>
      <c r="F151">
        <v>0.6</v>
      </c>
      <c r="G151" t="s">
        <v>13</v>
      </c>
    </row>
    <row r="152" spans="1:7" x14ac:dyDescent="0.25">
      <c r="A152">
        <v>11</v>
      </c>
      <c r="B152" t="s">
        <v>130</v>
      </c>
      <c r="C152">
        <v>10</v>
      </c>
      <c r="D152" t="s">
        <v>102</v>
      </c>
      <c r="E152" t="s">
        <v>14</v>
      </c>
      <c r="F152">
        <v>2.0569999999999999</v>
      </c>
      <c r="G152" t="s">
        <v>15</v>
      </c>
    </row>
    <row r="153" spans="1:7" x14ac:dyDescent="0.25">
      <c r="A153">
        <v>11</v>
      </c>
      <c r="B153" t="s">
        <v>130</v>
      </c>
      <c r="C153">
        <v>20</v>
      </c>
      <c r="D153" t="s">
        <v>99</v>
      </c>
      <c r="E153" t="s">
        <v>14</v>
      </c>
      <c r="F153">
        <v>1.8540000000000001</v>
      </c>
      <c r="G153" t="s">
        <v>15</v>
      </c>
    </row>
    <row r="154" spans="1:7" x14ac:dyDescent="0.25">
      <c r="A154">
        <v>11</v>
      </c>
      <c r="B154" t="s">
        <v>130</v>
      </c>
      <c r="C154">
        <v>30</v>
      </c>
      <c r="D154" t="s">
        <v>103</v>
      </c>
      <c r="E154" t="s">
        <v>14</v>
      </c>
      <c r="F154">
        <v>7.8230000000000004</v>
      </c>
      <c r="G154" t="s">
        <v>13</v>
      </c>
    </row>
    <row r="155" spans="1:7" x14ac:dyDescent="0.25">
      <c r="A155">
        <v>11</v>
      </c>
      <c r="B155" t="s">
        <v>130</v>
      </c>
      <c r="C155">
        <v>40</v>
      </c>
      <c r="D155" t="s">
        <v>104</v>
      </c>
      <c r="E155" t="s">
        <v>14</v>
      </c>
      <c r="F155">
        <v>48.113</v>
      </c>
      <c r="G155" t="s">
        <v>13</v>
      </c>
    </row>
    <row r="156" spans="1:7" x14ac:dyDescent="0.25">
      <c r="A156">
        <v>11</v>
      </c>
      <c r="B156" t="s">
        <v>130</v>
      </c>
      <c r="C156">
        <v>50</v>
      </c>
      <c r="D156" t="s">
        <v>91</v>
      </c>
      <c r="E156" t="s">
        <v>11</v>
      </c>
      <c r="F156">
        <v>1</v>
      </c>
      <c r="G156" t="s">
        <v>13</v>
      </c>
    </row>
    <row r="157" spans="1:7" x14ac:dyDescent="0.25">
      <c r="A157">
        <v>11</v>
      </c>
      <c r="B157" t="s">
        <v>130</v>
      </c>
      <c r="C157">
        <v>60</v>
      </c>
      <c r="D157" t="s">
        <v>112</v>
      </c>
      <c r="E157" t="s">
        <v>11</v>
      </c>
      <c r="F157">
        <v>4</v>
      </c>
      <c r="G157" t="s">
        <v>13</v>
      </c>
    </row>
    <row r="158" spans="1:7" x14ac:dyDescent="0.25">
      <c r="A158">
        <v>11</v>
      </c>
      <c r="B158" t="s">
        <v>130</v>
      </c>
      <c r="C158">
        <v>70</v>
      </c>
      <c r="D158" t="s">
        <v>19</v>
      </c>
      <c r="E158" t="s">
        <v>11</v>
      </c>
      <c r="F158">
        <v>1</v>
      </c>
      <c r="G158" t="s">
        <v>13</v>
      </c>
    </row>
    <row r="159" spans="1:7" x14ac:dyDescent="0.25">
      <c r="A159">
        <v>11</v>
      </c>
      <c r="B159" t="s">
        <v>130</v>
      </c>
      <c r="C159">
        <v>80</v>
      </c>
      <c r="D159" t="s">
        <v>20</v>
      </c>
      <c r="E159" t="s">
        <v>11</v>
      </c>
      <c r="F159">
        <v>1</v>
      </c>
      <c r="G159" t="s">
        <v>13</v>
      </c>
    </row>
    <row r="160" spans="1:7" x14ac:dyDescent="0.25">
      <c r="A160">
        <v>11</v>
      </c>
      <c r="B160" t="s">
        <v>130</v>
      </c>
      <c r="C160">
        <v>90</v>
      </c>
      <c r="D160" t="s">
        <v>94</v>
      </c>
      <c r="E160" t="s">
        <v>12</v>
      </c>
      <c r="F160">
        <v>0.58599999999999997</v>
      </c>
      <c r="G160" t="s">
        <v>13</v>
      </c>
    </row>
    <row r="161" spans="1:7" x14ac:dyDescent="0.25">
      <c r="A161">
        <v>11</v>
      </c>
      <c r="B161" t="s">
        <v>130</v>
      </c>
      <c r="C161">
        <v>100</v>
      </c>
      <c r="D161" t="s">
        <v>131</v>
      </c>
      <c r="E161" t="s">
        <v>11</v>
      </c>
      <c r="F161">
        <v>1</v>
      </c>
      <c r="G161" t="s">
        <v>13</v>
      </c>
    </row>
    <row r="162" spans="1:7" x14ac:dyDescent="0.25">
      <c r="A162">
        <v>11</v>
      </c>
      <c r="B162" t="s">
        <v>130</v>
      </c>
      <c r="C162">
        <v>110</v>
      </c>
      <c r="D162" t="s">
        <v>95</v>
      </c>
      <c r="E162" t="s">
        <v>14</v>
      </c>
      <c r="F162">
        <v>215.494</v>
      </c>
      <c r="G162" t="s">
        <v>15</v>
      </c>
    </row>
    <row r="163" spans="1:7" x14ac:dyDescent="0.25">
      <c r="A163">
        <v>11</v>
      </c>
      <c r="B163" t="s">
        <v>130</v>
      </c>
      <c r="C163">
        <v>120</v>
      </c>
      <c r="D163" t="s">
        <v>98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130</v>
      </c>
      <c r="C164">
        <v>130</v>
      </c>
      <c r="D164" t="s">
        <v>97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130</v>
      </c>
      <c r="C165">
        <v>140</v>
      </c>
      <c r="D165" t="s">
        <v>100</v>
      </c>
      <c r="E165" t="s">
        <v>14</v>
      </c>
      <c r="F165">
        <v>20</v>
      </c>
      <c r="G165" t="s">
        <v>13</v>
      </c>
    </row>
    <row r="166" spans="1:7" x14ac:dyDescent="0.25">
      <c r="A166">
        <v>11</v>
      </c>
      <c r="B166" t="s">
        <v>130</v>
      </c>
      <c r="C166">
        <v>150</v>
      </c>
      <c r="D166" t="s">
        <v>110</v>
      </c>
      <c r="E166" t="s">
        <v>12</v>
      </c>
      <c r="F166">
        <v>0.8</v>
      </c>
      <c r="G166" t="s">
        <v>13</v>
      </c>
    </row>
    <row r="167" spans="1:7" x14ac:dyDescent="0.25">
      <c r="A167">
        <v>12</v>
      </c>
      <c r="B167" t="s">
        <v>132</v>
      </c>
      <c r="C167">
        <v>10</v>
      </c>
      <c r="D167" t="s">
        <v>102</v>
      </c>
      <c r="E167" t="s">
        <v>14</v>
      </c>
      <c r="F167">
        <v>2.2610000000000001</v>
      </c>
      <c r="G167" t="s">
        <v>15</v>
      </c>
    </row>
    <row r="168" spans="1:7" x14ac:dyDescent="0.25">
      <c r="A168">
        <v>12</v>
      </c>
      <c r="B168" t="s">
        <v>132</v>
      </c>
      <c r="C168">
        <v>20</v>
      </c>
      <c r="D168" t="s">
        <v>99</v>
      </c>
      <c r="E168" t="s">
        <v>14</v>
      </c>
      <c r="F168">
        <v>1.8540000000000001</v>
      </c>
      <c r="G168" t="s">
        <v>15</v>
      </c>
    </row>
    <row r="169" spans="1:7" x14ac:dyDescent="0.25">
      <c r="A169">
        <v>12</v>
      </c>
      <c r="B169" t="s">
        <v>132</v>
      </c>
      <c r="C169">
        <v>30</v>
      </c>
      <c r="D169" t="s">
        <v>103</v>
      </c>
      <c r="E169" t="s">
        <v>14</v>
      </c>
      <c r="F169">
        <v>7.8230000000000004</v>
      </c>
      <c r="G169" t="s">
        <v>13</v>
      </c>
    </row>
    <row r="170" spans="1:7" x14ac:dyDescent="0.25">
      <c r="A170">
        <v>12</v>
      </c>
      <c r="B170" t="s">
        <v>132</v>
      </c>
      <c r="C170">
        <v>40</v>
      </c>
      <c r="D170" t="s">
        <v>104</v>
      </c>
      <c r="E170" t="s">
        <v>14</v>
      </c>
      <c r="F170">
        <v>48.113</v>
      </c>
      <c r="G170" t="s">
        <v>13</v>
      </c>
    </row>
    <row r="171" spans="1:7" x14ac:dyDescent="0.25">
      <c r="A171">
        <v>12</v>
      </c>
      <c r="B171" t="s">
        <v>132</v>
      </c>
      <c r="C171">
        <v>50</v>
      </c>
      <c r="D171" t="s">
        <v>91</v>
      </c>
      <c r="E171" t="s">
        <v>11</v>
      </c>
      <c r="F171">
        <v>1</v>
      </c>
      <c r="G171" t="s">
        <v>13</v>
      </c>
    </row>
    <row r="172" spans="1:7" x14ac:dyDescent="0.25">
      <c r="A172">
        <v>12</v>
      </c>
      <c r="B172" t="s">
        <v>132</v>
      </c>
      <c r="C172">
        <v>60</v>
      </c>
      <c r="D172" t="s">
        <v>105</v>
      </c>
      <c r="E172" t="s">
        <v>11</v>
      </c>
      <c r="F172">
        <v>4</v>
      </c>
      <c r="G172" t="s">
        <v>13</v>
      </c>
    </row>
    <row r="173" spans="1:7" x14ac:dyDescent="0.25">
      <c r="A173">
        <v>12</v>
      </c>
      <c r="B173" t="s">
        <v>132</v>
      </c>
      <c r="C173">
        <v>70</v>
      </c>
      <c r="D173" t="s">
        <v>19</v>
      </c>
      <c r="E173" t="s">
        <v>11</v>
      </c>
      <c r="F173">
        <v>1</v>
      </c>
      <c r="G173" t="s">
        <v>13</v>
      </c>
    </row>
    <row r="174" spans="1:7" x14ac:dyDescent="0.25">
      <c r="A174">
        <v>12</v>
      </c>
      <c r="B174" t="s">
        <v>132</v>
      </c>
      <c r="C174">
        <v>80</v>
      </c>
      <c r="D174" t="s">
        <v>20</v>
      </c>
      <c r="E174" t="s">
        <v>11</v>
      </c>
      <c r="F174">
        <v>1</v>
      </c>
      <c r="G174" t="s">
        <v>13</v>
      </c>
    </row>
    <row r="175" spans="1:7" x14ac:dyDescent="0.25">
      <c r="A175">
        <v>12</v>
      </c>
      <c r="B175" t="s">
        <v>132</v>
      </c>
      <c r="C175">
        <v>90</v>
      </c>
      <c r="D175" t="s">
        <v>94</v>
      </c>
      <c r="E175" t="s">
        <v>12</v>
      </c>
      <c r="F175">
        <v>0.59299999999999997</v>
      </c>
      <c r="G175" t="s">
        <v>13</v>
      </c>
    </row>
    <row r="176" spans="1:7" x14ac:dyDescent="0.25">
      <c r="A176">
        <v>12</v>
      </c>
      <c r="B176" t="s">
        <v>132</v>
      </c>
      <c r="C176">
        <v>100</v>
      </c>
      <c r="D176" t="s">
        <v>133</v>
      </c>
      <c r="E176" t="s">
        <v>11</v>
      </c>
      <c r="F176">
        <v>1</v>
      </c>
      <c r="G176" t="s">
        <v>13</v>
      </c>
    </row>
    <row r="177" spans="1:7" x14ac:dyDescent="0.25">
      <c r="A177">
        <v>12</v>
      </c>
      <c r="B177" t="s">
        <v>132</v>
      </c>
      <c r="C177">
        <v>110</v>
      </c>
      <c r="D177" t="s">
        <v>95</v>
      </c>
      <c r="E177" t="s">
        <v>14</v>
      </c>
      <c r="F177">
        <v>215.494</v>
      </c>
      <c r="G177" t="s">
        <v>15</v>
      </c>
    </row>
    <row r="178" spans="1:7" x14ac:dyDescent="0.25">
      <c r="A178">
        <v>12</v>
      </c>
      <c r="B178" t="s">
        <v>132</v>
      </c>
      <c r="C178">
        <v>120</v>
      </c>
      <c r="D178" t="s">
        <v>98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132</v>
      </c>
      <c r="C179">
        <v>130</v>
      </c>
      <c r="D179" t="s">
        <v>97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132</v>
      </c>
      <c r="C180">
        <v>140</v>
      </c>
      <c r="D180" t="s">
        <v>100</v>
      </c>
      <c r="E180" t="s">
        <v>14</v>
      </c>
      <c r="F180">
        <v>20</v>
      </c>
      <c r="G180" t="s">
        <v>13</v>
      </c>
    </row>
    <row r="181" spans="1:7" x14ac:dyDescent="0.25">
      <c r="A181">
        <v>12</v>
      </c>
      <c r="B181" t="s">
        <v>132</v>
      </c>
      <c r="C181">
        <v>150</v>
      </c>
      <c r="D181" t="s">
        <v>110</v>
      </c>
      <c r="E181" t="s">
        <v>12</v>
      </c>
      <c r="F181">
        <v>0.8</v>
      </c>
      <c r="G181" t="s">
        <v>13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84"/>
  <sheetViews>
    <sheetView tabSelected="1" zoomScale="85" zoomScaleNormal="85" workbookViewId="0">
      <selection activeCell="AN12" sqref="A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2" t="s">
        <v>23</v>
      </c>
      <c r="B1" s="53" t="s">
        <v>24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25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9" x14ac:dyDescent="0.25">
      <c r="A2" s="52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19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9" x14ac:dyDescent="0.25">
      <c r="A3" s="52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19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9" x14ac:dyDescent="0.25">
      <c r="A4" s="52"/>
      <c r="B4" s="20" t="s">
        <v>46</v>
      </c>
      <c r="C4" s="20" t="s">
        <v>47</v>
      </c>
      <c r="D4" s="47" t="s">
        <v>48</v>
      </c>
      <c r="E4" s="20" t="s">
        <v>3</v>
      </c>
      <c r="F4" s="47" t="s">
        <v>49</v>
      </c>
      <c r="G4" s="20" t="s">
        <v>50</v>
      </c>
      <c r="H4" s="20" t="s">
        <v>6</v>
      </c>
      <c r="I4" s="20" t="s">
        <v>51</v>
      </c>
      <c r="J4" s="47" t="s">
        <v>52</v>
      </c>
      <c r="K4" s="47" t="s">
        <v>53</v>
      </c>
      <c r="L4" s="47" t="s">
        <v>54</v>
      </c>
      <c r="M4" s="21" t="s">
        <v>55</v>
      </c>
      <c r="N4" s="22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9" x14ac:dyDescent="0.25">
      <c r="A5" s="3">
        <v>1</v>
      </c>
      <c r="B5" s="3" t="s">
        <v>134</v>
      </c>
      <c r="C5" s="3" t="s">
        <v>101</v>
      </c>
      <c r="D5" s="3"/>
      <c r="E5" s="3" t="s">
        <v>101</v>
      </c>
      <c r="F5" s="3"/>
      <c r="G5" s="3"/>
      <c r="H5" s="3"/>
      <c r="I5" s="3"/>
      <c r="J5" s="3"/>
      <c r="K5" s="3"/>
      <c r="L5" s="3" t="s">
        <v>135</v>
      </c>
      <c r="M5" s="3">
        <v>10</v>
      </c>
      <c r="N5" s="3" t="s">
        <v>102</v>
      </c>
      <c r="O5" s="3"/>
      <c r="P5" s="3"/>
      <c r="Q5" s="3">
        <v>1.4990000000000001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102</v>
      </c>
    </row>
    <row r="6" spans="1:39" x14ac:dyDescent="0.25">
      <c r="A6" s="3">
        <v>1</v>
      </c>
      <c r="B6" s="3" t="s">
        <v>134</v>
      </c>
      <c r="C6" s="3" t="s">
        <v>101</v>
      </c>
      <c r="D6" s="3"/>
      <c r="E6" s="3" t="s">
        <v>101</v>
      </c>
      <c r="F6" s="3"/>
      <c r="G6" s="3"/>
      <c r="H6" s="3"/>
      <c r="I6" s="3"/>
      <c r="J6" s="3"/>
      <c r="K6" s="3"/>
      <c r="L6" s="3" t="s">
        <v>135</v>
      </c>
      <c r="M6" s="3">
        <v>20</v>
      </c>
      <c r="N6" s="3" t="s">
        <v>99</v>
      </c>
      <c r="O6" s="3"/>
      <c r="P6" s="3"/>
      <c r="Q6" s="3">
        <v>1.2450000000000001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99</v>
      </c>
    </row>
    <row r="7" spans="1:39" x14ac:dyDescent="0.25">
      <c r="A7" s="3">
        <v>1</v>
      </c>
      <c r="B7" s="3" t="s">
        <v>134</v>
      </c>
      <c r="C7" s="3" t="s">
        <v>101</v>
      </c>
      <c r="D7" s="3"/>
      <c r="E7" s="3" t="s">
        <v>101</v>
      </c>
      <c r="F7" s="3"/>
      <c r="G7" s="3"/>
      <c r="H7" s="3"/>
      <c r="I7" s="3"/>
      <c r="J7" s="3"/>
      <c r="K7" s="3"/>
      <c r="L7" s="3" t="s">
        <v>135</v>
      </c>
      <c r="M7" s="3">
        <v>30</v>
      </c>
      <c r="N7" s="3" t="s">
        <v>103</v>
      </c>
      <c r="O7" s="3"/>
      <c r="P7" s="3"/>
      <c r="Q7" s="3">
        <v>6.2990000000000004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103</v>
      </c>
    </row>
    <row r="8" spans="1:39" x14ac:dyDescent="0.25">
      <c r="A8" s="3">
        <v>1</v>
      </c>
      <c r="B8" s="3" t="s">
        <v>134</v>
      </c>
      <c r="C8" s="3" t="s">
        <v>101</v>
      </c>
      <c r="D8" s="3"/>
      <c r="E8" s="3" t="s">
        <v>101</v>
      </c>
      <c r="F8" s="3"/>
      <c r="G8" s="3"/>
      <c r="H8" s="3"/>
      <c r="I8" s="3"/>
      <c r="J8" s="3"/>
      <c r="K8" s="3"/>
      <c r="L8" s="3" t="s">
        <v>135</v>
      </c>
      <c r="M8" s="3">
        <v>40</v>
      </c>
      <c r="N8" s="3" t="s">
        <v>104</v>
      </c>
      <c r="O8" s="3"/>
      <c r="P8" s="3"/>
      <c r="Q8" s="3">
        <v>38.74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104</v>
      </c>
    </row>
    <row r="9" spans="1:39" x14ac:dyDescent="0.25">
      <c r="A9" s="3">
        <v>1</v>
      </c>
      <c r="B9" s="3" t="s">
        <v>134</v>
      </c>
      <c r="C9" s="3" t="s">
        <v>101</v>
      </c>
      <c r="D9" s="3"/>
      <c r="E9" s="3" t="s">
        <v>101</v>
      </c>
      <c r="F9" s="3"/>
      <c r="G9" s="3"/>
      <c r="H9" s="3"/>
      <c r="I9" s="3"/>
      <c r="J9" s="3"/>
      <c r="K9" s="3"/>
      <c r="L9" s="3" t="s">
        <v>135</v>
      </c>
      <c r="M9" s="3">
        <v>50</v>
      </c>
      <c r="N9" s="3" t="s">
        <v>91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91</v>
      </c>
    </row>
    <row r="10" spans="1:39" x14ac:dyDescent="0.25">
      <c r="A10" s="3">
        <v>1</v>
      </c>
      <c r="B10" s="3" t="s">
        <v>134</v>
      </c>
      <c r="C10" s="3" t="s">
        <v>101</v>
      </c>
      <c r="D10" s="3"/>
      <c r="E10" s="3" t="s">
        <v>101</v>
      </c>
      <c r="F10" s="3"/>
      <c r="G10" s="3"/>
      <c r="H10" s="3"/>
      <c r="I10" s="3"/>
      <c r="J10" s="3"/>
      <c r="K10" s="3"/>
      <c r="L10" s="3" t="s">
        <v>135</v>
      </c>
      <c r="M10" s="3">
        <v>60</v>
      </c>
      <c r="N10" s="3" t="s">
        <v>105</v>
      </c>
      <c r="O10" s="3"/>
      <c r="P10" s="3"/>
      <c r="Q10" s="3">
        <v>4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105</v>
      </c>
    </row>
    <row r="11" spans="1:39" x14ac:dyDescent="0.25">
      <c r="A11" s="3">
        <v>1</v>
      </c>
      <c r="B11" s="3" t="s">
        <v>134</v>
      </c>
      <c r="C11" s="3" t="s">
        <v>101</v>
      </c>
      <c r="D11" s="3"/>
      <c r="E11" s="3" t="s">
        <v>101</v>
      </c>
      <c r="F11" s="3"/>
      <c r="G11" s="3"/>
      <c r="H11" s="3"/>
      <c r="I11" s="3"/>
      <c r="J11" s="3"/>
      <c r="K11" s="3"/>
      <c r="L11" s="3" t="s">
        <v>135</v>
      </c>
      <c r="M11" s="3">
        <v>70</v>
      </c>
      <c r="N11" s="3" t="s">
        <v>19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19</v>
      </c>
    </row>
    <row r="12" spans="1:39" x14ac:dyDescent="0.25">
      <c r="A12" s="3">
        <v>1</v>
      </c>
      <c r="B12" s="3" t="s">
        <v>134</v>
      </c>
      <c r="C12" s="3" t="s">
        <v>101</v>
      </c>
      <c r="D12" s="3"/>
      <c r="E12" s="3" t="s">
        <v>101</v>
      </c>
      <c r="F12" s="3"/>
      <c r="G12" s="3"/>
      <c r="H12" s="3"/>
      <c r="I12" s="3"/>
      <c r="J12" s="3"/>
      <c r="K12" s="3"/>
      <c r="L12" s="3" t="s">
        <v>135</v>
      </c>
      <c r="M12" s="3">
        <v>80</v>
      </c>
      <c r="N12" s="3" t="s">
        <v>20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20</v>
      </c>
    </row>
    <row r="13" spans="1:39" x14ac:dyDescent="0.25">
      <c r="A13" s="3">
        <v>1</v>
      </c>
      <c r="B13" s="3" t="s">
        <v>134</v>
      </c>
      <c r="C13" s="3" t="s">
        <v>101</v>
      </c>
      <c r="D13" s="3"/>
      <c r="E13" s="3" t="s">
        <v>101</v>
      </c>
      <c r="F13" s="3"/>
      <c r="G13" s="3"/>
      <c r="H13" s="3"/>
      <c r="I13" s="3"/>
      <c r="J13" s="3"/>
      <c r="K13" s="3"/>
      <c r="L13" s="3" t="s">
        <v>135</v>
      </c>
      <c r="M13" s="3">
        <v>90</v>
      </c>
      <c r="N13" s="3" t="s">
        <v>94</v>
      </c>
      <c r="O13" s="3"/>
      <c r="P13" s="3"/>
      <c r="Q13" s="3">
        <v>0.41299999999999998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94</v>
      </c>
    </row>
    <row r="14" spans="1:39" x14ac:dyDescent="0.25">
      <c r="A14" s="3">
        <v>1</v>
      </c>
      <c r="B14" s="3" t="s">
        <v>134</v>
      </c>
      <c r="C14" s="3" t="s">
        <v>101</v>
      </c>
      <c r="D14" s="3"/>
      <c r="E14" s="3" t="s">
        <v>101</v>
      </c>
      <c r="F14" s="3"/>
      <c r="G14" s="3"/>
      <c r="H14" s="3"/>
      <c r="I14" s="3"/>
      <c r="J14" s="3"/>
      <c r="K14" s="3"/>
      <c r="L14" s="3" t="s">
        <v>135</v>
      </c>
      <c r="M14" s="3">
        <v>100</v>
      </c>
      <c r="N14" s="3" t="s">
        <v>106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106</v>
      </c>
    </row>
    <row r="15" spans="1:39" x14ac:dyDescent="0.25">
      <c r="A15" s="3">
        <v>1</v>
      </c>
      <c r="B15" s="3" t="s">
        <v>134</v>
      </c>
      <c r="C15" s="3" t="s">
        <v>101</v>
      </c>
      <c r="D15" s="3"/>
      <c r="E15" s="3" t="s">
        <v>101</v>
      </c>
      <c r="F15" s="3"/>
      <c r="G15" s="3"/>
      <c r="H15" s="3"/>
      <c r="I15" s="3"/>
      <c r="J15" s="3"/>
      <c r="K15" s="3"/>
      <c r="L15" s="3" t="s">
        <v>135</v>
      </c>
      <c r="M15" s="3">
        <v>110</v>
      </c>
      <c r="N15" s="3" t="s">
        <v>95</v>
      </c>
      <c r="O15" s="3"/>
      <c r="P15" s="3"/>
      <c r="Q15" s="3">
        <v>172.822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95</v>
      </c>
    </row>
    <row r="16" spans="1:39" x14ac:dyDescent="0.25">
      <c r="A16" s="3">
        <v>1</v>
      </c>
      <c r="B16" s="3" t="s">
        <v>134</v>
      </c>
      <c r="C16" s="3" t="s">
        <v>101</v>
      </c>
      <c r="D16" s="3"/>
      <c r="E16" s="3" t="s">
        <v>101</v>
      </c>
      <c r="F16" s="3"/>
      <c r="G16" s="3"/>
      <c r="H16" s="3"/>
      <c r="I16" s="3"/>
      <c r="J16" s="3"/>
      <c r="K16" s="3"/>
      <c r="L16" s="3" t="s">
        <v>135</v>
      </c>
      <c r="M16" s="3">
        <v>120</v>
      </c>
      <c r="N16" s="3" t="s">
        <v>98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98</v>
      </c>
    </row>
    <row r="17" spans="1:39" x14ac:dyDescent="0.25">
      <c r="A17" s="3">
        <v>1</v>
      </c>
      <c r="B17" s="3" t="s">
        <v>134</v>
      </c>
      <c r="C17" s="3" t="s">
        <v>101</v>
      </c>
      <c r="D17" s="3"/>
      <c r="E17" s="3" t="s">
        <v>101</v>
      </c>
      <c r="F17" s="3"/>
      <c r="G17" s="3"/>
      <c r="H17" s="3"/>
      <c r="I17" s="3"/>
      <c r="J17" s="3"/>
      <c r="K17" s="3"/>
      <c r="L17" s="3" t="s">
        <v>135</v>
      </c>
      <c r="M17" s="3">
        <v>130</v>
      </c>
      <c r="N17" s="3" t="s">
        <v>97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97</v>
      </c>
    </row>
    <row r="18" spans="1:39" x14ac:dyDescent="0.25">
      <c r="A18" s="3">
        <v>1</v>
      </c>
      <c r="B18" s="3" t="s">
        <v>134</v>
      </c>
      <c r="C18" s="3" t="s">
        <v>101</v>
      </c>
      <c r="D18" s="3"/>
      <c r="E18" s="3" t="s">
        <v>101</v>
      </c>
      <c r="F18" s="3"/>
      <c r="G18" s="3"/>
      <c r="H18" s="3"/>
      <c r="I18" s="3"/>
      <c r="J18" s="3"/>
      <c r="K18" s="3"/>
      <c r="L18" s="3" t="s">
        <v>135</v>
      </c>
      <c r="M18" s="3">
        <v>140</v>
      </c>
      <c r="N18" s="3" t="s">
        <v>100</v>
      </c>
      <c r="O18" s="3"/>
      <c r="P18" s="3"/>
      <c r="Q18" s="3">
        <v>20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100</v>
      </c>
    </row>
    <row r="19" spans="1:39" x14ac:dyDescent="0.25">
      <c r="A19" s="3">
        <v>1</v>
      </c>
      <c r="B19" s="3" t="s">
        <v>134</v>
      </c>
      <c r="C19" s="3" t="s">
        <v>101</v>
      </c>
      <c r="D19" s="3"/>
      <c r="E19" s="3" t="s">
        <v>101</v>
      </c>
      <c r="F19" s="3"/>
      <c r="G19" s="3"/>
      <c r="H19" s="3"/>
      <c r="I19" s="3"/>
      <c r="J19" s="3"/>
      <c r="K19" s="3"/>
      <c r="L19" s="3" t="s">
        <v>135</v>
      </c>
      <c r="M19" s="3">
        <v>150</v>
      </c>
      <c r="N19" s="3" t="s">
        <v>107</v>
      </c>
      <c r="O19" s="3"/>
      <c r="P19" s="3"/>
      <c r="Q19" s="3">
        <v>0.6</v>
      </c>
      <c r="R19" s="3" t="s">
        <v>12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107</v>
      </c>
    </row>
    <row r="20" spans="1:39" x14ac:dyDescent="0.25">
      <c r="A20" s="3">
        <v>2</v>
      </c>
      <c r="B20" s="3" t="s">
        <v>134</v>
      </c>
      <c r="C20" s="3" t="s">
        <v>108</v>
      </c>
      <c r="D20" s="3"/>
      <c r="E20" s="3" t="s">
        <v>108</v>
      </c>
      <c r="F20" s="3"/>
      <c r="G20" s="3"/>
      <c r="H20" s="3"/>
      <c r="I20" s="3"/>
      <c r="J20" s="3"/>
      <c r="K20" s="3"/>
      <c r="L20" s="3" t="s">
        <v>135</v>
      </c>
      <c r="M20" s="3">
        <v>10</v>
      </c>
      <c r="N20" s="3" t="s">
        <v>102</v>
      </c>
      <c r="O20" s="3"/>
      <c r="P20" s="3"/>
      <c r="Q20" s="3">
        <v>2.1080000000000001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102</v>
      </c>
    </row>
    <row r="21" spans="1:39" x14ac:dyDescent="0.25">
      <c r="A21" s="3">
        <v>2</v>
      </c>
      <c r="B21" s="3" t="s">
        <v>134</v>
      </c>
      <c r="C21" s="3" t="s">
        <v>108</v>
      </c>
      <c r="D21" s="3"/>
      <c r="E21" s="3" t="s">
        <v>108</v>
      </c>
      <c r="F21" s="3"/>
      <c r="G21" s="3"/>
      <c r="H21" s="3"/>
      <c r="I21" s="3"/>
      <c r="J21" s="3"/>
      <c r="K21" s="3"/>
      <c r="L21" s="3" t="s">
        <v>135</v>
      </c>
      <c r="M21" s="3">
        <v>20</v>
      </c>
      <c r="N21" s="3" t="s">
        <v>99</v>
      </c>
      <c r="O21" s="3"/>
      <c r="P21" s="3"/>
      <c r="Q21" s="3">
        <v>1.8540000000000001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99</v>
      </c>
    </row>
    <row r="22" spans="1:39" x14ac:dyDescent="0.25">
      <c r="A22" s="3">
        <v>2</v>
      </c>
      <c r="B22" s="3" t="s">
        <v>134</v>
      </c>
      <c r="C22" s="3" t="s">
        <v>108</v>
      </c>
      <c r="D22" s="3"/>
      <c r="E22" s="3" t="s">
        <v>108</v>
      </c>
      <c r="F22" s="3"/>
      <c r="G22" s="3"/>
      <c r="H22" s="3"/>
      <c r="I22" s="3"/>
      <c r="J22" s="3"/>
      <c r="K22" s="3"/>
      <c r="L22" s="3" t="s">
        <v>135</v>
      </c>
      <c r="M22" s="3">
        <v>30</v>
      </c>
      <c r="N22" s="3" t="s">
        <v>103</v>
      </c>
      <c r="O22" s="3"/>
      <c r="P22" s="3"/>
      <c r="Q22" s="3">
        <v>7.5179999999999998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103</v>
      </c>
    </row>
    <row r="23" spans="1:39" x14ac:dyDescent="0.25">
      <c r="A23" s="3">
        <v>2</v>
      </c>
      <c r="B23" s="3" t="s">
        <v>134</v>
      </c>
      <c r="C23" s="3" t="s">
        <v>108</v>
      </c>
      <c r="D23" s="3"/>
      <c r="E23" s="3" t="s">
        <v>108</v>
      </c>
      <c r="F23" s="3"/>
      <c r="G23" s="3"/>
      <c r="H23" s="3"/>
      <c r="I23" s="3"/>
      <c r="J23" s="3"/>
      <c r="K23" s="3"/>
      <c r="L23" s="3" t="s">
        <v>135</v>
      </c>
      <c r="M23" s="3">
        <v>40</v>
      </c>
      <c r="N23" s="3" t="s">
        <v>104</v>
      </c>
      <c r="O23" s="3"/>
      <c r="P23" s="3"/>
      <c r="Q23" s="3">
        <v>46.238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104</v>
      </c>
    </row>
    <row r="24" spans="1:39" x14ac:dyDescent="0.25">
      <c r="A24" s="3">
        <v>2</v>
      </c>
      <c r="B24" s="3" t="s">
        <v>134</v>
      </c>
      <c r="C24" s="3" t="s">
        <v>108</v>
      </c>
      <c r="D24" s="3"/>
      <c r="E24" s="3" t="s">
        <v>108</v>
      </c>
      <c r="F24" s="3"/>
      <c r="G24" s="3"/>
      <c r="H24" s="3"/>
      <c r="I24" s="3"/>
      <c r="J24" s="3"/>
      <c r="K24" s="3"/>
      <c r="L24" s="3" t="s">
        <v>135</v>
      </c>
      <c r="M24" s="3">
        <v>50</v>
      </c>
      <c r="N24" s="3" t="s">
        <v>91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91</v>
      </c>
    </row>
    <row r="25" spans="1:39" x14ac:dyDescent="0.25">
      <c r="A25" s="3">
        <v>2</v>
      </c>
      <c r="B25" s="3" t="s">
        <v>134</v>
      </c>
      <c r="C25" s="3" t="s">
        <v>108</v>
      </c>
      <c r="D25" s="3"/>
      <c r="E25" s="3" t="s">
        <v>108</v>
      </c>
      <c r="F25" s="3"/>
      <c r="G25" s="3"/>
      <c r="H25" s="3"/>
      <c r="I25" s="3"/>
      <c r="J25" s="3"/>
      <c r="K25" s="3"/>
      <c r="L25" s="3" t="s">
        <v>135</v>
      </c>
      <c r="M25" s="3">
        <v>60</v>
      </c>
      <c r="N25" s="3" t="s">
        <v>105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105</v>
      </c>
    </row>
    <row r="26" spans="1:39" x14ac:dyDescent="0.25">
      <c r="A26" s="3">
        <v>2</v>
      </c>
      <c r="B26" s="3" t="s">
        <v>134</v>
      </c>
      <c r="C26" s="3" t="s">
        <v>108</v>
      </c>
      <c r="D26" s="3"/>
      <c r="E26" s="3" t="s">
        <v>108</v>
      </c>
      <c r="F26" s="3"/>
      <c r="G26" s="3"/>
      <c r="H26" s="3"/>
      <c r="I26" s="3"/>
      <c r="J26" s="3"/>
      <c r="K26" s="3"/>
      <c r="L26" s="3" t="s">
        <v>135</v>
      </c>
      <c r="M26" s="3">
        <v>70</v>
      </c>
      <c r="N26" s="3" t="s">
        <v>19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19</v>
      </c>
    </row>
    <row r="27" spans="1:39" x14ac:dyDescent="0.25">
      <c r="A27" s="3">
        <v>2</v>
      </c>
      <c r="B27" s="3" t="s">
        <v>134</v>
      </c>
      <c r="C27" s="3" t="s">
        <v>108</v>
      </c>
      <c r="D27" s="3"/>
      <c r="E27" s="3" t="s">
        <v>108</v>
      </c>
      <c r="F27" s="3"/>
      <c r="G27" s="3"/>
      <c r="H27" s="3"/>
      <c r="I27" s="3"/>
      <c r="J27" s="3"/>
      <c r="K27" s="3"/>
      <c r="L27" s="3" t="s">
        <v>135</v>
      </c>
      <c r="M27" s="3">
        <v>80</v>
      </c>
      <c r="N27" s="3" t="s">
        <v>20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20</v>
      </c>
    </row>
    <row r="28" spans="1:39" x14ac:dyDescent="0.25">
      <c r="A28" s="3">
        <v>2</v>
      </c>
      <c r="B28" s="3" t="s">
        <v>134</v>
      </c>
      <c r="C28" s="3" t="s">
        <v>108</v>
      </c>
      <c r="D28" s="3"/>
      <c r="E28" s="3" t="s">
        <v>108</v>
      </c>
      <c r="F28" s="3"/>
      <c r="G28" s="3"/>
      <c r="H28" s="3"/>
      <c r="I28" s="3"/>
      <c r="J28" s="3"/>
      <c r="K28" s="3"/>
      <c r="L28" s="3" t="s">
        <v>135</v>
      </c>
      <c r="M28" s="3">
        <v>90</v>
      </c>
      <c r="N28" s="3" t="s">
        <v>94</v>
      </c>
      <c r="O28" s="3"/>
      <c r="P28" s="3"/>
      <c r="Q28" s="3">
        <v>0.59299999999999997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94</v>
      </c>
    </row>
    <row r="29" spans="1:39" x14ac:dyDescent="0.25">
      <c r="A29" s="3">
        <v>2</v>
      </c>
      <c r="B29" s="3" t="s">
        <v>134</v>
      </c>
      <c r="C29" s="3" t="s">
        <v>108</v>
      </c>
      <c r="D29" s="3"/>
      <c r="E29" s="3" t="s">
        <v>108</v>
      </c>
      <c r="F29" s="3"/>
      <c r="G29" s="3"/>
      <c r="H29" s="3"/>
      <c r="I29" s="3"/>
      <c r="J29" s="3"/>
      <c r="K29" s="3"/>
      <c r="L29" s="3" t="s">
        <v>135</v>
      </c>
      <c r="M29" s="3">
        <v>100</v>
      </c>
      <c r="N29" s="3" t="s">
        <v>109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109</v>
      </c>
    </row>
    <row r="30" spans="1:39" x14ac:dyDescent="0.25">
      <c r="A30" s="3">
        <v>2</v>
      </c>
      <c r="B30" s="3" t="s">
        <v>134</v>
      </c>
      <c r="C30" s="3" t="s">
        <v>108</v>
      </c>
      <c r="D30" s="3"/>
      <c r="E30" s="3" t="s">
        <v>108</v>
      </c>
      <c r="F30" s="3"/>
      <c r="G30" s="3"/>
      <c r="H30" s="3"/>
      <c r="I30" s="3"/>
      <c r="J30" s="3"/>
      <c r="K30" s="3"/>
      <c r="L30" s="3" t="s">
        <v>135</v>
      </c>
      <c r="M30" s="3">
        <v>110</v>
      </c>
      <c r="N30" s="3" t="s">
        <v>95</v>
      </c>
      <c r="O30" s="3"/>
      <c r="P30" s="3"/>
      <c r="Q30" s="3">
        <v>206.959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95</v>
      </c>
    </row>
    <row r="31" spans="1:39" x14ac:dyDescent="0.25">
      <c r="A31" s="3">
        <v>2</v>
      </c>
      <c r="B31" s="3" t="s">
        <v>134</v>
      </c>
      <c r="C31" s="3" t="s">
        <v>108</v>
      </c>
      <c r="D31" s="3"/>
      <c r="E31" s="3" t="s">
        <v>108</v>
      </c>
      <c r="F31" s="3"/>
      <c r="G31" s="3"/>
      <c r="H31" s="3"/>
      <c r="I31" s="3"/>
      <c r="J31" s="3"/>
      <c r="K31" s="3"/>
      <c r="L31" s="3" t="s">
        <v>135</v>
      </c>
      <c r="M31" s="3">
        <v>120</v>
      </c>
      <c r="N31" s="3" t="s">
        <v>98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98</v>
      </c>
    </row>
    <row r="32" spans="1:39" x14ac:dyDescent="0.25">
      <c r="A32" s="3">
        <v>2</v>
      </c>
      <c r="B32" s="3" t="s">
        <v>134</v>
      </c>
      <c r="C32" s="3" t="s">
        <v>108</v>
      </c>
      <c r="D32" s="3"/>
      <c r="E32" s="3" t="s">
        <v>108</v>
      </c>
      <c r="F32" s="3"/>
      <c r="G32" s="3"/>
      <c r="H32" s="3"/>
      <c r="I32" s="3"/>
      <c r="J32" s="3"/>
      <c r="K32" s="3"/>
      <c r="L32" s="3" t="s">
        <v>135</v>
      </c>
      <c r="M32" s="3">
        <v>130</v>
      </c>
      <c r="N32" s="3" t="s">
        <v>97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97</v>
      </c>
    </row>
    <row r="33" spans="1:39" x14ac:dyDescent="0.25">
      <c r="A33" s="3">
        <v>2</v>
      </c>
      <c r="B33" s="3" t="s">
        <v>134</v>
      </c>
      <c r="C33" s="3" t="s">
        <v>108</v>
      </c>
      <c r="D33" s="3"/>
      <c r="E33" s="3" t="s">
        <v>108</v>
      </c>
      <c r="F33" s="3"/>
      <c r="G33" s="3"/>
      <c r="H33" s="3"/>
      <c r="I33" s="3"/>
      <c r="J33" s="3"/>
      <c r="K33" s="3"/>
      <c r="L33" s="3" t="s">
        <v>135</v>
      </c>
      <c r="M33" s="3">
        <v>140</v>
      </c>
      <c r="N33" s="3" t="s">
        <v>100</v>
      </c>
      <c r="O33" s="3"/>
      <c r="P33" s="3"/>
      <c r="Q33" s="3">
        <v>20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100</v>
      </c>
    </row>
    <row r="34" spans="1:39" x14ac:dyDescent="0.25">
      <c r="A34" s="3">
        <v>2</v>
      </c>
      <c r="B34" s="3" t="s">
        <v>134</v>
      </c>
      <c r="C34" s="3" t="s">
        <v>108</v>
      </c>
      <c r="D34" s="3"/>
      <c r="E34" s="3" t="s">
        <v>108</v>
      </c>
      <c r="F34" s="3"/>
      <c r="G34" s="3"/>
      <c r="H34" s="3"/>
      <c r="I34" s="3"/>
      <c r="J34" s="3"/>
      <c r="K34" s="3"/>
      <c r="L34" s="3" t="s">
        <v>135</v>
      </c>
      <c r="M34" s="3">
        <v>150</v>
      </c>
      <c r="N34" s="3" t="s">
        <v>110</v>
      </c>
      <c r="O34" s="3"/>
      <c r="P34" s="3"/>
      <c r="Q34" s="3">
        <v>0.8</v>
      </c>
      <c r="R34" s="3" t="s">
        <v>12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110</v>
      </c>
    </row>
    <row r="35" spans="1:39" x14ac:dyDescent="0.25">
      <c r="A35" s="3">
        <v>3</v>
      </c>
      <c r="B35" s="3" t="s">
        <v>134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135</v>
      </c>
      <c r="M35" s="3">
        <v>10</v>
      </c>
      <c r="N35" s="3" t="s">
        <v>102</v>
      </c>
      <c r="O35" s="3"/>
      <c r="P35" s="3"/>
      <c r="Q35" s="3">
        <v>1.143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102</v>
      </c>
    </row>
    <row r="36" spans="1:39" x14ac:dyDescent="0.25">
      <c r="A36" s="3">
        <v>3</v>
      </c>
      <c r="B36" s="3" t="s">
        <v>134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135</v>
      </c>
      <c r="M36" s="3">
        <v>20</v>
      </c>
      <c r="N36" s="3" t="s">
        <v>99</v>
      </c>
      <c r="O36" s="3"/>
      <c r="P36" s="3"/>
      <c r="Q36" s="3">
        <v>0.94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99</v>
      </c>
    </row>
    <row r="37" spans="1:39" x14ac:dyDescent="0.25">
      <c r="A37" s="3">
        <v>3</v>
      </c>
      <c r="B37" s="3" t="s">
        <v>134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135</v>
      </c>
      <c r="M37" s="3">
        <v>30</v>
      </c>
      <c r="N37" s="3" t="s">
        <v>103</v>
      </c>
      <c r="O37" s="3"/>
      <c r="P37" s="3"/>
      <c r="Q37" s="3">
        <v>5.8419999999999996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103</v>
      </c>
    </row>
    <row r="38" spans="1:39" x14ac:dyDescent="0.25">
      <c r="A38" s="3">
        <v>3</v>
      </c>
      <c r="B38" s="3" t="s">
        <v>134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135</v>
      </c>
      <c r="M38" s="3">
        <v>40</v>
      </c>
      <c r="N38" s="3" t="s">
        <v>104</v>
      </c>
      <c r="O38" s="3"/>
      <c r="P38" s="3"/>
      <c r="Q38" s="3">
        <v>35.927999999999997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104</v>
      </c>
    </row>
    <row r="39" spans="1:39" x14ac:dyDescent="0.25">
      <c r="A39" s="3">
        <v>3</v>
      </c>
      <c r="B39" s="3" t="s">
        <v>134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135</v>
      </c>
      <c r="M39" s="3">
        <v>50</v>
      </c>
      <c r="N39" s="3" t="s">
        <v>91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91</v>
      </c>
    </row>
    <row r="40" spans="1:39" x14ac:dyDescent="0.25">
      <c r="A40" s="3">
        <v>3</v>
      </c>
      <c r="B40" s="3" t="s">
        <v>134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135</v>
      </c>
      <c r="M40" s="3">
        <v>60</v>
      </c>
      <c r="N40" s="3" t="s">
        <v>112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112</v>
      </c>
    </row>
    <row r="41" spans="1:39" x14ac:dyDescent="0.25">
      <c r="A41" s="3">
        <v>3</v>
      </c>
      <c r="B41" s="3" t="s">
        <v>134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135</v>
      </c>
      <c r="M41" s="3">
        <v>70</v>
      </c>
      <c r="N41" s="3" t="s">
        <v>19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19</v>
      </c>
    </row>
    <row r="42" spans="1:39" x14ac:dyDescent="0.25">
      <c r="A42" s="3">
        <v>3</v>
      </c>
      <c r="B42" s="3" t="s">
        <v>134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135</v>
      </c>
      <c r="M42" s="3">
        <v>80</v>
      </c>
      <c r="N42" s="3" t="s">
        <v>20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20</v>
      </c>
    </row>
    <row r="43" spans="1:39" x14ac:dyDescent="0.25">
      <c r="A43" s="3">
        <v>3</v>
      </c>
      <c r="B43" s="3" t="s">
        <v>134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135</v>
      </c>
      <c r="M43" s="3">
        <v>90</v>
      </c>
      <c r="N43" s="3" t="s">
        <v>94</v>
      </c>
      <c r="O43" s="3"/>
      <c r="P43" s="3"/>
      <c r="Q43" s="3">
        <v>0.315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94</v>
      </c>
    </row>
    <row r="44" spans="1:39" x14ac:dyDescent="0.25">
      <c r="A44" s="3">
        <v>3</v>
      </c>
      <c r="B44" s="3" t="s">
        <v>134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135</v>
      </c>
      <c r="M44" s="3">
        <v>100</v>
      </c>
      <c r="N44" s="3" t="s">
        <v>113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113</v>
      </c>
    </row>
    <row r="45" spans="1:39" x14ac:dyDescent="0.25">
      <c r="A45" s="3">
        <v>3</v>
      </c>
      <c r="B45" s="3" t="s">
        <v>134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135</v>
      </c>
      <c r="M45" s="3">
        <v>110</v>
      </c>
      <c r="N45" s="3" t="s">
        <v>95</v>
      </c>
      <c r="O45" s="3"/>
      <c r="P45" s="3"/>
      <c r="Q45" s="3">
        <v>160.02000000000001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95</v>
      </c>
    </row>
    <row r="46" spans="1:39" x14ac:dyDescent="0.25">
      <c r="A46" s="3">
        <v>3</v>
      </c>
      <c r="B46" s="3" t="s">
        <v>134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135</v>
      </c>
      <c r="M46" s="3">
        <v>120</v>
      </c>
      <c r="N46" s="3" t="s">
        <v>98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98</v>
      </c>
    </row>
    <row r="47" spans="1:39" x14ac:dyDescent="0.25">
      <c r="A47" s="3">
        <v>3</v>
      </c>
      <c r="B47" s="3" t="s">
        <v>134</v>
      </c>
      <c r="C47" s="3" t="s">
        <v>111</v>
      </c>
      <c r="D47" s="3"/>
      <c r="E47" s="3" t="s">
        <v>111</v>
      </c>
      <c r="F47" s="3"/>
      <c r="G47" s="3"/>
      <c r="H47" s="3"/>
      <c r="I47" s="3"/>
      <c r="J47" s="3"/>
      <c r="K47" s="3"/>
      <c r="L47" s="3" t="s">
        <v>135</v>
      </c>
      <c r="M47" s="3">
        <v>130</v>
      </c>
      <c r="N47" s="3" t="s">
        <v>97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97</v>
      </c>
    </row>
    <row r="48" spans="1:39" x14ac:dyDescent="0.25">
      <c r="A48" s="3">
        <v>3</v>
      </c>
      <c r="B48" s="3" t="s">
        <v>134</v>
      </c>
      <c r="C48" s="3" t="s">
        <v>111</v>
      </c>
      <c r="D48" s="3"/>
      <c r="E48" s="3" t="s">
        <v>111</v>
      </c>
      <c r="F48" s="3"/>
      <c r="G48" s="3"/>
      <c r="H48" s="3"/>
      <c r="I48" s="3"/>
      <c r="J48" s="3"/>
      <c r="K48" s="3"/>
      <c r="L48" s="3" t="s">
        <v>135</v>
      </c>
      <c r="M48" s="3">
        <v>140</v>
      </c>
      <c r="N48" s="3" t="s">
        <v>100</v>
      </c>
      <c r="O48" s="3"/>
      <c r="P48" s="3"/>
      <c r="Q48" s="3">
        <v>20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100</v>
      </c>
    </row>
    <row r="49" spans="1:39" x14ac:dyDescent="0.25">
      <c r="A49" s="3">
        <v>3</v>
      </c>
      <c r="B49" s="3" t="s">
        <v>134</v>
      </c>
      <c r="C49" s="3" t="s">
        <v>111</v>
      </c>
      <c r="D49" s="3"/>
      <c r="E49" s="3" t="s">
        <v>111</v>
      </c>
      <c r="F49" s="3"/>
      <c r="G49" s="3"/>
      <c r="H49" s="3"/>
      <c r="I49" s="3"/>
      <c r="J49" s="3"/>
      <c r="K49" s="3"/>
      <c r="L49" s="3" t="s">
        <v>135</v>
      </c>
      <c r="M49" s="3">
        <v>150</v>
      </c>
      <c r="N49" s="3" t="s">
        <v>114</v>
      </c>
      <c r="O49" s="3"/>
      <c r="P49" s="3"/>
      <c r="Q49" s="3">
        <v>0.5</v>
      </c>
      <c r="R49" s="3" t="s">
        <v>12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114</v>
      </c>
    </row>
    <row r="50" spans="1:39" x14ac:dyDescent="0.25">
      <c r="A50" s="3">
        <v>4</v>
      </c>
      <c r="B50" s="3" t="s">
        <v>134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135</v>
      </c>
      <c r="M50" s="3">
        <v>10</v>
      </c>
      <c r="N50" s="3" t="s">
        <v>102</v>
      </c>
      <c r="O50" s="3"/>
      <c r="P50" s="3"/>
      <c r="Q50" s="3">
        <v>1.448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102</v>
      </c>
    </row>
    <row r="51" spans="1:39" x14ac:dyDescent="0.25">
      <c r="A51" s="3">
        <v>4</v>
      </c>
      <c r="B51" s="3" t="s">
        <v>134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135</v>
      </c>
      <c r="M51" s="3">
        <v>20</v>
      </c>
      <c r="N51" s="3" t="s">
        <v>99</v>
      </c>
      <c r="O51" s="3"/>
      <c r="P51" s="3"/>
      <c r="Q51" s="3">
        <v>1.2450000000000001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99</v>
      </c>
    </row>
    <row r="52" spans="1:39" x14ac:dyDescent="0.25">
      <c r="A52" s="3">
        <v>4</v>
      </c>
      <c r="B52" s="3" t="s">
        <v>134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135</v>
      </c>
      <c r="M52" s="3">
        <v>30</v>
      </c>
      <c r="N52" s="3" t="s">
        <v>103</v>
      </c>
      <c r="O52" s="3"/>
      <c r="P52" s="3"/>
      <c r="Q52" s="3">
        <v>6.452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103</v>
      </c>
    </row>
    <row r="53" spans="1:39" x14ac:dyDescent="0.25">
      <c r="A53" s="3">
        <v>4</v>
      </c>
      <c r="B53" s="3" t="s">
        <v>134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135</v>
      </c>
      <c r="M53" s="3">
        <v>40</v>
      </c>
      <c r="N53" s="3" t="s">
        <v>104</v>
      </c>
      <c r="O53" s="3"/>
      <c r="P53" s="3"/>
      <c r="Q53" s="3">
        <v>39.677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104</v>
      </c>
    </row>
    <row r="54" spans="1:39" x14ac:dyDescent="0.25">
      <c r="A54" s="3">
        <v>4</v>
      </c>
      <c r="B54" s="3" t="s">
        <v>134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135</v>
      </c>
      <c r="M54" s="3">
        <v>50</v>
      </c>
      <c r="N54" s="3" t="s">
        <v>91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91</v>
      </c>
    </row>
    <row r="55" spans="1:39" x14ac:dyDescent="0.25">
      <c r="A55" s="3">
        <v>4</v>
      </c>
      <c r="B55" s="3" t="s">
        <v>134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135</v>
      </c>
      <c r="M55" s="3">
        <v>60</v>
      </c>
      <c r="N55" s="3" t="s">
        <v>112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112</v>
      </c>
    </row>
    <row r="56" spans="1:39" x14ac:dyDescent="0.25">
      <c r="A56" s="3">
        <v>4</v>
      </c>
      <c r="B56" s="3" t="s">
        <v>134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135</v>
      </c>
      <c r="M56" s="3">
        <v>70</v>
      </c>
      <c r="N56" s="3" t="s">
        <v>19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19</v>
      </c>
    </row>
    <row r="57" spans="1:39" x14ac:dyDescent="0.25">
      <c r="A57" s="3">
        <v>4</v>
      </c>
      <c r="B57" s="3" t="s">
        <v>134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135</v>
      </c>
      <c r="M57" s="3">
        <v>80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20</v>
      </c>
    </row>
    <row r="58" spans="1:39" x14ac:dyDescent="0.25">
      <c r="A58" s="3">
        <v>4</v>
      </c>
      <c r="B58" s="3" t="s">
        <v>134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135</v>
      </c>
      <c r="M58" s="3">
        <v>90</v>
      </c>
      <c r="N58" s="3" t="s">
        <v>94</v>
      </c>
      <c r="O58" s="3"/>
      <c r="P58" s="3"/>
      <c r="Q58" s="3">
        <v>0.40500000000000003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94</v>
      </c>
    </row>
    <row r="59" spans="1:39" x14ac:dyDescent="0.25">
      <c r="A59" s="3">
        <v>4</v>
      </c>
      <c r="B59" s="3" t="s">
        <v>134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135</v>
      </c>
      <c r="M59" s="3">
        <v>100</v>
      </c>
      <c r="N59" s="3" t="s">
        <v>116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116</v>
      </c>
    </row>
    <row r="60" spans="1:39" x14ac:dyDescent="0.25">
      <c r="A60" s="3">
        <v>4</v>
      </c>
      <c r="B60" s="3" t="s">
        <v>134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135</v>
      </c>
      <c r="M60" s="3">
        <v>110</v>
      </c>
      <c r="N60" s="3" t="s">
        <v>95</v>
      </c>
      <c r="O60" s="3"/>
      <c r="P60" s="3"/>
      <c r="Q60" s="3">
        <v>177.089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95</v>
      </c>
    </row>
    <row r="61" spans="1:39" x14ac:dyDescent="0.25">
      <c r="A61" s="3">
        <v>4</v>
      </c>
      <c r="B61" s="3" t="s">
        <v>134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135</v>
      </c>
      <c r="M61" s="3">
        <v>120</v>
      </c>
      <c r="N61" s="3" t="s">
        <v>98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98</v>
      </c>
    </row>
    <row r="62" spans="1:39" x14ac:dyDescent="0.25">
      <c r="A62" s="3">
        <v>4</v>
      </c>
      <c r="B62" s="3" t="s">
        <v>134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135</v>
      </c>
      <c r="M62" s="3">
        <v>130</v>
      </c>
      <c r="N62" s="3" t="s">
        <v>97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97</v>
      </c>
    </row>
    <row r="63" spans="1:39" x14ac:dyDescent="0.25">
      <c r="A63" s="3">
        <v>4</v>
      </c>
      <c r="B63" s="3" t="s">
        <v>134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135</v>
      </c>
      <c r="M63" s="3">
        <v>140</v>
      </c>
      <c r="N63" s="3" t="s">
        <v>100</v>
      </c>
      <c r="O63" s="3"/>
      <c r="P63" s="3"/>
      <c r="Q63" s="3">
        <v>20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100</v>
      </c>
    </row>
    <row r="64" spans="1:39" x14ac:dyDescent="0.25">
      <c r="A64" s="3">
        <v>4</v>
      </c>
      <c r="B64" s="3" t="s">
        <v>134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135</v>
      </c>
      <c r="M64" s="3">
        <v>150</v>
      </c>
      <c r="N64" s="3" t="s">
        <v>107</v>
      </c>
      <c r="O64" s="3"/>
      <c r="P64" s="3"/>
      <c r="Q64" s="3">
        <v>0.6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107</v>
      </c>
    </row>
    <row r="65" spans="1:39" x14ac:dyDescent="0.25">
      <c r="A65" s="3">
        <v>5</v>
      </c>
      <c r="B65" s="3" t="s">
        <v>134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135</v>
      </c>
      <c r="M65" s="3">
        <v>10</v>
      </c>
      <c r="N65" s="3" t="s">
        <v>102</v>
      </c>
      <c r="O65" s="3"/>
      <c r="P65" s="3"/>
      <c r="Q65" s="3">
        <v>1.4990000000000001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102</v>
      </c>
    </row>
    <row r="66" spans="1:39" x14ac:dyDescent="0.25">
      <c r="A66" s="3">
        <v>5</v>
      </c>
      <c r="B66" s="3" t="s">
        <v>134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135</v>
      </c>
      <c r="M66" s="3">
        <v>20</v>
      </c>
      <c r="N66" s="3" t="s">
        <v>99</v>
      </c>
      <c r="O66" s="3"/>
      <c r="P66" s="3"/>
      <c r="Q66" s="3">
        <v>1.2450000000000001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99</v>
      </c>
    </row>
    <row r="67" spans="1:39" x14ac:dyDescent="0.25">
      <c r="A67" s="3">
        <v>5</v>
      </c>
      <c r="B67" s="3" t="s">
        <v>134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135</v>
      </c>
      <c r="M67" s="3">
        <v>30</v>
      </c>
      <c r="N67" s="3" t="s">
        <v>103</v>
      </c>
      <c r="O67" s="3"/>
      <c r="P67" s="3"/>
      <c r="Q67" s="3">
        <v>6.452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103</v>
      </c>
    </row>
    <row r="68" spans="1:39" x14ac:dyDescent="0.25">
      <c r="A68" s="3">
        <v>5</v>
      </c>
      <c r="B68" s="3" t="s">
        <v>134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135</v>
      </c>
      <c r="M68" s="3">
        <v>40</v>
      </c>
      <c r="N68" s="3" t="s">
        <v>104</v>
      </c>
      <c r="O68" s="3"/>
      <c r="P68" s="3"/>
      <c r="Q68" s="3">
        <v>39.677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104</v>
      </c>
    </row>
    <row r="69" spans="1:39" x14ac:dyDescent="0.25">
      <c r="A69" s="3">
        <v>5</v>
      </c>
      <c r="B69" s="3" t="s">
        <v>134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135</v>
      </c>
      <c r="M69" s="3">
        <v>50</v>
      </c>
      <c r="N69" s="3" t="s">
        <v>91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91</v>
      </c>
    </row>
    <row r="70" spans="1:39" x14ac:dyDescent="0.25">
      <c r="A70" s="3">
        <v>5</v>
      </c>
      <c r="B70" s="3" t="s">
        <v>134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135</v>
      </c>
      <c r="M70" s="3">
        <v>60</v>
      </c>
      <c r="N70" s="3" t="s">
        <v>105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105</v>
      </c>
    </row>
    <row r="71" spans="1:39" x14ac:dyDescent="0.25">
      <c r="A71" s="3">
        <v>5</v>
      </c>
      <c r="B71" s="3" t="s">
        <v>134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135</v>
      </c>
      <c r="M71" s="3">
        <v>70</v>
      </c>
      <c r="N71" s="3" t="s">
        <v>19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19</v>
      </c>
    </row>
    <row r="72" spans="1:39" x14ac:dyDescent="0.25">
      <c r="A72" s="3">
        <v>5</v>
      </c>
      <c r="B72" s="3" t="s">
        <v>134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135</v>
      </c>
      <c r="M72" s="3">
        <v>80</v>
      </c>
      <c r="N72" s="3" t="s">
        <v>20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20</v>
      </c>
    </row>
    <row r="73" spans="1:39" x14ac:dyDescent="0.25">
      <c r="A73" s="3">
        <v>5</v>
      </c>
      <c r="B73" s="3" t="s">
        <v>134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135</v>
      </c>
      <c r="M73" s="3">
        <v>90</v>
      </c>
      <c r="N73" s="3" t="s">
        <v>94</v>
      </c>
      <c r="O73" s="3"/>
      <c r="P73" s="3"/>
      <c r="Q73" s="3">
        <v>0.41299999999999998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94</v>
      </c>
    </row>
    <row r="74" spans="1:39" x14ac:dyDescent="0.25">
      <c r="A74" s="3">
        <v>5</v>
      </c>
      <c r="B74" s="3" t="s">
        <v>134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135</v>
      </c>
      <c r="M74" s="3">
        <v>100</v>
      </c>
      <c r="N74" s="3" t="s">
        <v>118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118</v>
      </c>
    </row>
    <row r="75" spans="1:39" x14ac:dyDescent="0.25">
      <c r="A75" s="3">
        <v>5</v>
      </c>
      <c r="B75" s="3" t="s">
        <v>134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135</v>
      </c>
      <c r="M75" s="3">
        <v>110</v>
      </c>
      <c r="N75" s="3" t="s">
        <v>95</v>
      </c>
      <c r="O75" s="3"/>
      <c r="P75" s="3"/>
      <c r="Q75" s="3">
        <v>177.089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95</v>
      </c>
    </row>
    <row r="76" spans="1:39" x14ac:dyDescent="0.25">
      <c r="A76" s="3">
        <v>5</v>
      </c>
      <c r="B76" s="3" t="s">
        <v>134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135</v>
      </c>
      <c r="M76" s="3">
        <v>120</v>
      </c>
      <c r="N76" s="3" t="s">
        <v>98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98</v>
      </c>
    </row>
    <row r="77" spans="1:39" x14ac:dyDescent="0.25">
      <c r="A77" s="3">
        <v>5</v>
      </c>
      <c r="B77" s="3" t="s">
        <v>134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135</v>
      </c>
      <c r="M77" s="3">
        <v>130</v>
      </c>
      <c r="N77" s="3" t="s">
        <v>97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97</v>
      </c>
    </row>
    <row r="78" spans="1:39" x14ac:dyDescent="0.25">
      <c r="A78" s="3">
        <v>5</v>
      </c>
      <c r="B78" s="3" t="s">
        <v>134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135</v>
      </c>
      <c r="M78" s="3">
        <v>140</v>
      </c>
      <c r="N78" s="3" t="s">
        <v>100</v>
      </c>
      <c r="O78" s="3"/>
      <c r="P78" s="3"/>
      <c r="Q78" s="3">
        <v>20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100</v>
      </c>
    </row>
    <row r="79" spans="1:39" x14ac:dyDescent="0.25">
      <c r="A79" s="3">
        <v>5</v>
      </c>
      <c r="B79" s="3" t="s">
        <v>134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135</v>
      </c>
      <c r="M79" s="3">
        <v>150</v>
      </c>
      <c r="N79" s="3" t="s">
        <v>107</v>
      </c>
      <c r="O79" s="3"/>
      <c r="P79" s="3"/>
      <c r="Q79" s="3">
        <v>0.6</v>
      </c>
      <c r="R79" s="3" t="s">
        <v>12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107</v>
      </c>
    </row>
    <row r="80" spans="1:39" x14ac:dyDescent="0.25">
      <c r="A80" s="3">
        <v>6</v>
      </c>
      <c r="B80" s="3" t="s">
        <v>134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135</v>
      </c>
      <c r="M80" s="3">
        <v>10</v>
      </c>
      <c r="N80" s="3" t="s">
        <v>102</v>
      </c>
      <c r="O80" s="3"/>
      <c r="P80" s="3"/>
      <c r="Q80" s="3">
        <v>1.7529999999999999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102</v>
      </c>
    </row>
    <row r="81" spans="1:39" x14ac:dyDescent="0.25">
      <c r="A81" s="3">
        <v>6</v>
      </c>
      <c r="B81" s="3" t="s">
        <v>134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135</v>
      </c>
      <c r="M81" s="3">
        <v>20</v>
      </c>
      <c r="N81" s="3" t="s">
        <v>99</v>
      </c>
      <c r="O81" s="3"/>
      <c r="P81" s="3"/>
      <c r="Q81" s="3">
        <v>1.5489999999999999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99</v>
      </c>
    </row>
    <row r="82" spans="1:39" x14ac:dyDescent="0.25">
      <c r="A82" s="3">
        <v>6</v>
      </c>
      <c r="B82" s="3" t="s">
        <v>134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135</v>
      </c>
      <c r="M82" s="3">
        <v>30</v>
      </c>
      <c r="N82" s="3" t="s">
        <v>103</v>
      </c>
      <c r="O82" s="3"/>
      <c r="P82" s="3"/>
      <c r="Q82" s="3">
        <v>7.0609999999999999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103</v>
      </c>
    </row>
    <row r="83" spans="1:39" x14ac:dyDescent="0.25">
      <c r="A83" s="3">
        <v>6</v>
      </c>
      <c r="B83" s="3" t="s">
        <v>134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135</v>
      </c>
      <c r="M83" s="3">
        <v>40</v>
      </c>
      <c r="N83" s="3" t="s">
        <v>104</v>
      </c>
      <c r="O83" s="3"/>
      <c r="P83" s="3"/>
      <c r="Q83" s="3">
        <v>43.426000000000002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104</v>
      </c>
    </row>
    <row r="84" spans="1:39" x14ac:dyDescent="0.25">
      <c r="A84" s="3">
        <v>6</v>
      </c>
      <c r="B84" s="3" t="s">
        <v>134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135</v>
      </c>
      <c r="M84" s="3">
        <v>50</v>
      </c>
      <c r="N84" s="3" t="s">
        <v>91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91</v>
      </c>
    </row>
    <row r="85" spans="1:39" x14ac:dyDescent="0.25">
      <c r="A85" s="3">
        <v>6</v>
      </c>
      <c r="B85" s="3" t="s">
        <v>134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135</v>
      </c>
      <c r="M85" s="3">
        <v>60</v>
      </c>
      <c r="N85" s="3" t="s">
        <v>112</v>
      </c>
      <c r="O85" s="3"/>
      <c r="P85" s="3"/>
      <c r="Q85" s="3">
        <v>4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112</v>
      </c>
    </row>
    <row r="86" spans="1:39" x14ac:dyDescent="0.25">
      <c r="A86" s="3">
        <v>6</v>
      </c>
      <c r="B86" s="3" t="s">
        <v>134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135</v>
      </c>
      <c r="M86" s="3">
        <v>70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19</v>
      </c>
    </row>
    <row r="87" spans="1:39" x14ac:dyDescent="0.25">
      <c r="A87" s="3">
        <v>6</v>
      </c>
      <c r="B87" s="3" t="s">
        <v>134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135</v>
      </c>
      <c r="M87" s="3">
        <v>80</v>
      </c>
      <c r="N87" s="3" t="s">
        <v>20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20</v>
      </c>
    </row>
    <row r="88" spans="1:39" x14ac:dyDescent="0.25">
      <c r="A88" s="3">
        <v>6</v>
      </c>
      <c r="B88" s="3" t="s">
        <v>134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135</v>
      </c>
      <c r="M88" s="3">
        <v>90</v>
      </c>
      <c r="N88" s="3" t="s">
        <v>94</v>
      </c>
      <c r="O88" s="3"/>
      <c r="P88" s="3"/>
      <c r="Q88" s="3">
        <v>0.495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94</v>
      </c>
    </row>
    <row r="89" spans="1:39" x14ac:dyDescent="0.25">
      <c r="A89" s="3">
        <v>6</v>
      </c>
      <c r="B89" s="3" t="s">
        <v>134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135</v>
      </c>
      <c r="M89" s="3">
        <v>100</v>
      </c>
      <c r="N89" s="3" t="s">
        <v>120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120</v>
      </c>
    </row>
    <row r="90" spans="1:39" x14ac:dyDescent="0.25">
      <c r="A90" s="3">
        <v>6</v>
      </c>
      <c r="B90" s="3" t="s">
        <v>134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135</v>
      </c>
      <c r="M90" s="3">
        <v>110</v>
      </c>
      <c r="N90" s="3" t="s">
        <v>95</v>
      </c>
      <c r="O90" s="3"/>
      <c r="P90" s="3"/>
      <c r="Q90" s="3">
        <v>194.15799999999999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95</v>
      </c>
    </row>
    <row r="91" spans="1:39" x14ac:dyDescent="0.25">
      <c r="A91" s="3">
        <v>6</v>
      </c>
      <c r="B91" s="3" t="s">
        <v>134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135</v>
      </c>
      <c r="M91" s="3">
        <v>120</v>
      </c>
      <c r="N91" s="3" t="s">
        <v>98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98</v>
      </c>
    </row>
    <row r="92" spans="1:39" x14ac:dyDescent="0.25">
      <c r="A92" s="3">
        <v>6</v>
      </c>
      <c r="B92" s="3" t="s">
        <v>134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135</v>
      </c>
      <c r="M92" s="3">
        <v>130</v>
      </c>
      <c r="N92" s="3" t="s">
        <v>97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97</v>
      </c>
    </row>
    <row r="93" spans="1:39" x14ac:dyDescent="0.25">
      <c r="A93" s="3">
        <v>6</v>
      </c>
      <c r="B93" s="3" t="s">
        <v>134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135</v>
      </c>
      <c r="M93" s="3">
        <v>140</v>
      </c>
      <c r="N93" s="3" t="s">
        <v>100</v>
      </c>
      <c r="O93" s="3"/>
      <c r="P93" s="3"/>
      <c r="Q93" s="3">
        <v>20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100</v>
      </c>
    </row>
    <row r="94" spans="1:39" x14ac:dyDescent="0.25">
      <c r="A94" s="3">
        <v>6</v>
      </c>
      <c r="B94" s="3" t="s">
        <v>134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135</v>
      </c>
      <c r="M94" s="3">
        <v>150</v>
      </c>
      <c r="N94" s="3" t="s">
        <v>121</v>
      </c>
      <c r="O94" s="3"/>
      <c r="P94" s="3"/>
      <c r="Q94" s="3">
        <v>0.6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121</v>
      </c>
    </row>
    <row r="95" spans="1:39" x14ac:dyDescent="0.25">
      <c r="A95" s="3">
        <v>7</v>
      </c>
      <c r="B95" s="3" t="s">
        <v>134</v>
      </c>
      <c r="C95" s="3" t="s">
        <v>122</v>
      </c>
      <c r="D95" s="3"/>
      <c r="E95" s="3" t="s">
        <v>122</v>
      </c>
      <c r="F95" s="3"/>
      <c r="G95" s="3"/>
      <c r="H95" s="3"/>
      <c r="I95" s="3"/>
      <c r="J95" s="3"/>
      <c r="K95" s="3"/>
      <c r="L95" s="3" t="s">
        <v>135</v>
      </c>
      <c r="M95" s="3">
        <v>10</v>
      </c>
      <c r="N95" s="3" t="s">
        <v>102</v>
      </c>
      <c r="O95" s="3"/>
      <c r="P95" s="3"/>
      <c r="Q95" s="3">
        <v>1.8029999999999999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102</v>
      </c>
    </row>
    <row r="96" spans="1:39" x14ac:dyDescent="0.25">
      <c r="A96" s="3">
        <v>7</v>
      </c>
      <c r="B96" s="3" t="s">
        <v>134</v>
      </c>
      <c r="C96" s="3" t="s">
        <v>122</v>
      </c>
      <c r="D96" s="3"/>
      <c r="E96" s="3" t="s">
        <v>122</v>
      </c>
      <c r="F96" s="3"/>
      <c r="G96" s="3"/>
      <c r="H96" s="3"/>
      <c r="I96" s="3"/>
      <c r="J96" s="3"/>
      <c r="K96" s="3"/>
      <c r="L96" s="3" t="s">
        <v>135</v>
      </c>
      <c r="M96" s="3">
        <v>20</v>
      </c>
      <c r="N96" s="3" t="s">
        <v>99</v>
      </c>
      <c r="O96" s="3"/>
      <c r="P96" s="3"/>
      <c r="Q96" s="3">
        <v>1.5489999999999999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99</v>
      </c>
    </row>
    <row r="97" spans="1:39" x14ac:dyDescent="0.25">
      <c r="A97" s="3">
        <v>7</v>
      </c>
      <c r="B97" s="3" t="s">
        <v>134</v>
      </c>
      <c r="C97" s="3" t="s">
        <v>122</v>
      </c>
      <c r="D97" s="3"/>
      <c r="E97" s="3" t="s">
        <v>122</v>
      </c>
      <c r="F97" s="3"/>
      <c r="G97" s="3"/>
      <c r="H97" s="3"/>
      <c r="I97" s="3"/>
      <c r="J97" s="3"/>
      <c r="K97" s="3"/>
      <c r="L97" s="3" t="s">
        <v>135</v>
      </c>
      <c r="M97" s="3">
        <v>30</v>
      </c>
      <c r="N97" s="3" t="s">
        <v>103</v>
      </c>
      <c r="O97" s="3"/>
      <c r="P97" s="3"/>
      <c r="Q97" s="3">
        <v>7.0609999999999999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103</v>
      </c>
    </row>
    <row r="98" spans="1:39" x14ac:dyDescent="0.25">
      <c r="A98" s="3">
        <v>7</v>
      </c>
      <c r="B98" s="3" t="s">
        <v>134</v>
      </c>
      <c r="C98" s="3" t="s">
        <v>122</v>
      </c>
      <c r="D98" s="3"/>
      <c r="E98" s="3" t="s">
        <v>122</v>
      </c>
      <c r="F98" s="3"/>
      <c r="G98" s="3"/>
      <c r="H98" s="3"/>
      <c r="I98" s="3"/>
      <c r="J98" s="3"/>
      <c r="K98" s="3"/>
      <c r="L98" s="3" t="s">
        <v>135</v>
      </c>
      <c r="M98" s="3">
        <v>40</v>
      </c>
      <c r="N98" s="3" t="s">
        <v>104</v>
      </c>
      <c r="O98" s="3"/>
      <c r="P98" s="3"/>
      <c r="Q98" s="3">
        <v>43.426000000000002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104</v>
      </c>
    </row>
    <row r="99" spans="1:39" x14ac:dyDescent="0.25">
      <c r="A99" s="3">
        <v>7</v>
      </c>
      <c r="B99" s="3" t="s">
        <v>134</v>
      </c>
      <c r="C99" s="3" t="s">
        <v>122</v>
      </c>
      <c r="D99" s="3"/>
      <c r="E99" s="3" t="s">
        <v>122</v>
      </c>
      <c r="F99" s="3"/>
      <c r="G99" s="3"/>
      <c r="H99" s="3"/>
      <c r="I99" s="3"/>
      <c r="J99" s="3"/>
      <c r="K99" s="3"/>
      <c r="L99" s="3" t="s">
        <v>135</v>
      </c>
      <c r="M99" s="3">
        <v>50</v>
      </c>
      <c r="N99" s="3" t="s">
        <v>91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91</v>
      </c>
    </row>
    <row r="100" spans="1:39" x14ac:dyDescent="0.25">
      <c r="A100" s="3">
        <v>7</v>
      </c>
      <c r="B100" s="3" t="s">
        <v>134</v>
      </c>
      <c r="C100" s="3" t="s">
        <v>122</v>
      </c>
      <c r="D100" s="3"/>
      <c r="E100" s="3" t="s">
        <v>122</v>
      </c>
      <c r="F100" s="3"/>
      <c r="G100" s="3"/>
      <c r="H100" s="3"/>
      <c r="I100" s="3"/>
      <c r="J100" s="3"/>
      <c r="K100" s="3"/>
      <c r="L100" s="3" t="s">
        <v>135</v>
      </c>
      <c r="M100" s="3">
        <v>60</v>
      </c>
      <c r="N100" s="3" t="s">
        <v>105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105</v>
      </c>
    </row>
    <row r="101" spans="1:39" x14ac:dyDescent="0.25">
      <c r="A101" s="3">
        <v>7</v>
      </c>
      <c r="B101" s="3" t="s">
        <v>134</v>
      </c>
      <c r="C101" s="3" t="s">
        <v>122</v>
      </c>
      <c r="D101" s="3"/>
      <c r="E101" s="3" t="s">
        <v>122</v>
      </c>
      <c r="F101" s="3"/>
      <c r="G101" s="3"/>
      <c r="H101" s="3"/>
      <c r="I101" s="3"/>
      <c r="J101" s="3"/>
      <c r="K101" s="3"/>
      <c r="L101" s="3" t="s">
        <v>135</v>
      </c>
      <c r="M101" s="3">
        <v>70</v>
      </c>
      <c r="N101" s="3" t="s">
        <v>19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19</v>
      </c>
    </row>
    <row r="102" spans="1:39" x14ac:dyDescent="0.25">
      <c r="A102" s="3">
        <v>7</v>
      </c>
      <c r="B102" s="3" t="s">
        <v>134</v>
      </c>
      <c r="C102" s="3" t="s">
        <v>122</v>
      </c>
      <c r="D102" s="3"/>
      <c r="E102" s="3" t="s">
        <v>122</v>
      </c>
      <c r="F102" s="3"/>
      <c r="G102" s="3"/>
      <c r="H102" s="3"/>
      <c r="I102" s="3"/>
      <c r="J102" s="3"/>
      <c r="K102" s="3"/>
      <c r="L102" s="3" t="s">
        <v>135</v>
      </c>
      <c r="M102" s="3">
        <v>80</v>
      </c>
      <c r="N102" s="3" t="s">
        <v>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20</v>
      </c>
    </row>
    <row r="103" spans="1:39" x14ac:dyDescent="0.25">
      <c r="A103" s="3">
        <v>7</v>
      </c>
      <c r="B103" s="3" t="s">
        <v>134</v>
      </c>
      <c r="C103" s="3" t="s">
        <v>122</v>
      </c>
      <c r="D103" s="3"/>
      <c r="E103" s="3" t="s">
        <v>122</v>
      </c>
      <c r="F103" s="3"/>
      <c r="G103" s="3"/>
      <c r="H103" s="3"/>
      <c r="I103" s="3"/>
      <c r="J103" s="3"/>
      <c r="K103" s="3"/>
      <c r="L103" s="3" t="s">
        <v>135</v>
      </c>
      <c r="M103" s="3">
        <v>90</v>
      </c>
      <c r="N103" s="3" t="s">
        <v>94</v>
      </c>
      <c r="O103" s="3"/>
      <c r="P103" s="3"/>
      <c r="Q103" s="3">
        <v>0.503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94</v>
      </c>
    </row>
    <row r="104" spans="1:39" x14ac:dyDescent="0.25">
      <c r="A104" s="3">
        <v>7</v>
      </c>
      <c r="B104" s="3" t="s">
        <v>134</v>
      </c>
      <c r="C104" s="3" t="s">
        <v>122</v>
      </c>
      <c r="D104" s="3"/>
      <c r="E104" s="3" t="s">
        <v>122</v>
      </c>
      <c r="F104" s="3"/>
      <c r="G104" s="3"/>
      <c r="H104" s="3"/>
      <c r="I104" s="3"/>
      <c r="J104" s="3"/>
      <c r="K104" s="3"/>
      <c r="L104" s="3" t="s">
        <v>135</v>
      </c>
      <c r="M104" s="3">
        <v>100</v>
      </c>
      <c r="N104" s="3" t="s">
        <v>123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123</v>
      </c>
    </row>
    <row r="105" spans="1:39" x14ac:dyDescent="0.25">
      <c r="A105" s="3">
        <v>7</v>
      </c>
      <c r="B105" s="3" t="s">
        <v>134</v>
      </c>
      <c r="C105" s="3" t="s">
        <v>122</v>
      </c>
      <c r="D105" s="3"/>
      <c r="E105" s="3" t="s">
        <v>122</v>
      </c>
      <c r="F105" s="3"/>
      <c r="G105" s="3"/>
      <c r="H105" s="3"/>
      <c r="I105" s="3"/>
      <c r="J105" s="3"/>
      <c r="K105" s="3"/>
      <c r="L105" s="3" t="s">
        <v>135</v>
      </c>
      <c r="M105" s="3">
        <v>110</v>
      </c>
      <c r="N105" s="3" t="s">
        <v>95</v>
      </c>
      <c r="O105" s="3"/>
      <c r="P105" s="3"/>
      <c r="Q105" s="3">
        <v>194.15799999999999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95</v>
      </c>
    </row>
    <row r="106" spans="1:39" x14ac:dyDescent="0.25">
      <c r="A106" s="3">
        <v>7</v>
      </c>
      <c r="B106" s="3" t="s">
        <v>134</v>
      </c>
      <c r="C106" s="3" t="s">
        <v>122</v>
      </c>
      <c r="D106" s="3"/>
      <c r="E106" s="3" t="s">
        <v>122</v>
      </c>
      <c r="F106" s="3"/>
      <c r="G106" s="3"/>
      <c r="H106" s="3"/>
      <c r="I106" s="3"/>
      <c r="J106" s="3"/>
      <c r="K106" s="3"/>
      <c r="L106" s="3" t="s">
        <v>135</v>
      </c>
      <c r="M106" s="3">
        <v>120</v>
      </c>
      <c r="N106" s="3" t="s">
        <v>98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98</v>
      </c>
    </row>
    <row r="107" spans="1:39" x14ac:dyDescent="0.25">
      <c r="A107" s="3">
        <v>7</v>
      </c>
      <c r="B107" s="3" t="s">
        <v>134</v>
      </c>
      <c r="C107" s="3" t="s">
        <v>122</v>
      </c>
      <c r="D107" s="3"/>
      <c r="E107" s="3" t="s">
        <v>122</v>
      </c>
      <c r="F107" s="3"/>
      <c r="G107" s="3"/>
      <c r="H107" s="3"/>
      <c r="I107" s="3"/>
      <c r="J107" s="3"/>
      <c r="K107" s="3"/>
      <c r="L107" s="3" t="s">
        <v>135</v>
      </c>
      <c r="M107" s="3">
        <v>130</v>
      </c>
      <c r="N107" s="3" t="s">
        <v>97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97</v>
      </c>
    </row>
    <row r="108" spans="1:39" x14ac:dyDescent="0.25">
      <c r="A108" s="3">
        <v>7</v>
      </c>
      <c r="B108" s="3" t="s">
        <v>134</v>
      </c>
      <c r="C108" s="3" t="s">
        <v>122</v>
      </c>
      <c r="D108" s="3"/>
      <c r="E108" s="3" t="s">
        <v>122</v>
      </c>
      <c r="F108" s="3"/>
      <c r="G108" s="3"/>
      <c r="H108" s="3"/>
      <c r="I108" s="3"/>
      <c r="J108" s="3"/>
      <c r="K108" s="3"/>
      <c r="L108" s="3" t="s">
        <v>135</v>
      </c>
      <c r="M108" s="3">
        <v>140</v>
      </c>
      <c r="N108" s="3" t="s">
        <v>100</v>
      </c>
      <c r="O108" s="3"/>
      <c r="P108" s="3"/>
      <c r="Q108" s="3">
        <v>20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100</v>
      </c>
    </row>
    <row r="109" spans="1:39" x14ac:dyDescent="0.25">
      <c r="A109" s="3">
        <v>7</v>
      </c>
      <c r="B109" s="3" t="s">
        <v>134</v>
      </c>
      <c r="C109" s="3" t="s">
        <v>122</v>
      </c>
      <c r="D109" s="3"/>
      <c r="E109" s="3" t="s">
        <v>122</v>
      </c>
      <c r="F109" s="3"/>
      <c r="G109" s="3"/>
      <c r="H109" s="3"/>
      <c r="I109" s="3"/>
      <c r="J109" s="3"/>
      <c r="K109" s="3"/>
      <c r="L109" s="3" t="s">
        <v>135</v>
      </c>
      <c r="M109" s="3">
        <v>150</v>
      </c>
      <c r="N109" s="3" t="s">
        <v>121</v>
      </c>
      <c r="O109" s="3"/>
      <c r="P109" s="3"/>
      <c r="Q109" s="3">
        <v>0.6</v>
      </c>
      <c r="R109" s="3" t="s">
        <v>12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121</v>
      </c>
    </row>
    <row r="110" spans="1:39" x14ac:dyDescent="0.25">
      <c r="A110" s="3">
        <v>8</v>
      </c>
      <c r="B110" s="3" t="s">
        <v>134</v>
      </c>
      <c r="C110" s="3" t="s">
        <v>124</v>
      </c>
      <c r="D110" s="3"/>
      <c r="E110" s="3" t="s">
        <v>124</v>
      </c>
      <c r="F110" s="3"/>
      <c r="G110" s="3"/>
      <c r="H110" s="3"/>
      <c r="I110" s="3"/>
      <c r="J110" s="3"/>
      <c r="K110" s="3"/>
      <c r="L110" s="3" t="s">
        <v>135</v>
      </c>
      <c r="M110" s="3">
        <v>10</v>
      </c>
      <c r="N110" s="3" t="s">
        <v>102</v>
      </c>
      <c r="O110" s="3"/>
      <c r="P110" s="3"/>
      <c r="Q110" s="3">
        <v>2.1080000000000001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102</v>
      </c>
    </row>
    <row r="111" spans="1:39" x14ac:dyDescent="0.25">
      <c r="A111" s="3">
        <v>8</v>
      </c>
      <c r="B111" s="3" t="s">
        <v>134</v>
      </c>
      <c r="C111" s="3" t="s">
        <v>124</v>
      </c>
      <c r="D111" s="3"/>
      <c r="E111" s="3" t="s">
        <v>124</v>
      </c>
      <c r="F111" s="3"/>
      <c r="G111" s="3"/>
      <c r="H111" s="3"/>
      <c r="I111" s="3"/>
      <c r="J111" s="3"/>
      <c r="K111" s="3"/>
      <c r="L111" s="3" t="s">
        <v>135</v>
      </c>
      <c r="M111" s="3">
        <v>20</v>
      </c>
      <c r="N111" s="3" t="s">
        <v>99</v>
      </c>
      <c r="O111" s="3"/>
      <c r="P111" s="3"/>
      <c r="Q111" s="3">
        <v>1.8540000000000001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99</v>
      </c>
    </row>
    <row r="112" spans="1:39" x14ac:dyDescent="0.25">
      <c r="A112" s="3">
        <v>8</v>
      </c>
      <c r="B112" s="3" t="s">
        <v>134</v>
      </c>
      <c r="C112" s="3" t="s">
        <v>124</v>
      </c>
      <c r="D112" s="3"/>
      <c r="E112" s="3" t="s">
        <v>124</v>
      </c>
      <c r="F112" s="3"/>
      <c r="G112" s="3"/>
      <c r="H112" s="3"/>
      <c r="I112" s="3"/>
      <c r="J112" s="3"/>
      <c r="K112" s="3"/>
      <c r="L112" s="3" t="s">
        <v>135</v>
      </c>
      <c r="M112" s="3">
        <v>30</v>
      </c>
      <c r="N112" s="3" t="s">
        <v>103</v>
      </c>
      <c r="O112" s="3"/>
      <c r="P112" s="3"/>
      <c r="Q112" s="3">
        <v>7.6710000000000003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103</v>
      </c>
    </row>
    <row r="113" spans="1:39" x14ac:dyDescent="0.25">
      <c r="A113" s="3">
        <v>8</v>
      </c>
      <c r="B113" s="3" t="s">
        <v>134</v>
      </c>
      <c r="C113" s="3" t="s">
        <v>124</v>
      </c>
      <c r="D113" s="3"/>
      <c r="E113" s="3" t="s">
        <v>124</v>
      </c>
      <c r="F113" s="3"/>
      <c r="G113" s="3"/>
      <c r="H113" s="3"/>
      <c r="I113" s="3"/>
      <c r="J113" s="3"/>
      <c r="K113" s="3"/>
      <c r="L113" s="3" t="s">
        <v>135</v>
      </c>
      <c r="M113" s="3">
        <v>40</v>
      </c>
      <c r="N113" s="3" t="s">
        <v>104</v>
      </c>
      <c r="O113" s="3"/>
      <c r="P113" s="3"/>
      <c r="Q113" s="3">
        <v>47.174999999999997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104</v>
      </c>
    </row>
    <row r="114" spans="1:39" x14ac:dyDescent="0.25">
      <c r="A114" s="3">
        <v>8</v>
      </c>
      <c r="B114" s="3" t="s">
        <v>134</v>
      </c>
      <c r="C114" s="3" t="s">
        <v>124</v>
      </c>
      <c r="D114" s="3"/>
      <c r="E114" s="3" t="s">
        <v>124</v>
      </c>
      <c r="F114" s="3"/>
      <c r="G114" s="3"/>
      <c r="H114" s="3"/>
      <c r="I114" s="3"/>
      <c r="J114" s="3"/>
      <c r="K114" s="3"/>
      <c r="L114" s="3" t="s">
        <v>135</v>
      </c>
      <c r="M114" s="3">
        <v>50</v>
      </c>
      <c r="N114" s="3" t="s">
        <v>91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91</v>
      </c>
    </row>
    <row r="115" spans="1:39" x14ac:dyDescent="0.25">
      <c r="A115" s="3">
        <v>8</v>
      </c>
      <c r="B115" s="3" t="s">
        <v>134</v>
      </c>
      <c r="C115" s="3" t="s">
        <v>124</v>
      </c>
      <c r="D115" s="3"/>
      <c r="E115" s="3" t="s">
        <v>124</v>
      </c>
      <c r="F115" s="3"/>
      <c r="G115" s="3"/>
      <c r="H115" s="3"/>
      <c r="I115" s="3"/>
      <c r="J115" s="3"/>
      <c r="K115" s="3"/>
      <c r="L115" s="3" t="s">
        <v>135</v>
      </c>
      <c r="M115" s="3">
        <v>60</v>
      </c>
      <c r="N115" s="3" t="s">
        <v>105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105</v>
      </c>
    </row>
    <row r="116" spans="1:39" x14ac:dyDescent="0.25">
      <c r="A116" s="3">
        <v>8</v>
      </c>
      <c r="B116" s="3" t="s">
        <v>134</v>
      </c>
      <c r="C116" s="3" t="s">
        <v>124</v>
      </c>
      <c r="D116" s="3"/>
      <c r="E116" s="3" t="s">
        <v>124</v>
      </c>
      <c r="F116" s="3"/>
      <c r="G116" s="3"/>
      <c r="H116" s="3"/>
      <c r="I116" s="3"/>
      <c r="J116" s="3"/>
      <c r="K116" s="3"/>
      <c r="L116" s="3" t="s">
        <v>135</v>
      </c>
      <c r="M116" s="3">
        <v>70</v>
      </c>
      <c r="N116" s="3" t="s">
        <v>19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19</v>
      </c>
    </row>
    <row r="117" spans="1:39" x14ac:dyDescent="0.25">
      <c r="A117" s="3">
        <v>8</v>
      </c>
      <c r="B117" s="3" t="s">
        <v>134</v>
      </c>
      <c r="C117" s="3" t="s">
        <v>124</v>
      </c>
      <c r="D117" s="3"/>
      <c r="E117" s="3" t="s">
        <v>124</v>
      </c>
      <c r="F117" s="3"/>
      <c r="G117" s="3"/>
      <c r="H117" s="3"/>
      <c r="I117" s="3"/>
      <c r="J117" s="3"/>
      <c r="K117" s="3"/>
      <c r="L117" s="3" t="s">
        <v>135</v>
      </c>
      <c r="M117" s="3">
        <v>80</v>
      </c>
      <c r="N117" s="3" t="s">
        <v>20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20</v>
      </c>
    </row>
    <row r="118" spans="1:39" x14ac:dyDescent="0.25">
      <c r="A118" s="3">
        <v>8</v>
      </c>
      <c r="B118" s="3" t="s">
        <v>134</v>
      </c>
      <c r="C118" s="3" t="s">
        <v>124</v>
      </c>
      <c r="D118" s="3"/>
      <c r="E118" s="3" t="s">
        <v>124</v>
      </c>
      <c r="F118" s="3"/>
      <c r="G118" s="3"/>
      <c r="H118" s="3"/>
      <c r="I118" s="3"/>
      <c r="J118" s="3"/>
      <c r="K118" s="3"/>
      <c r="L118" s="3" t="s">
        <v>135</v>
      </c>
      <c r="M118" s="3">
        <v>90</v>
      </c>
      <c r="N118" s="3" t="s">
        <v>94</v>
      </c>
      <c r="O118" s="3"/>
      <c r="P118" s="3"/>
      <c r="Q118" s="3">
        <v>0.59299999999999997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94</v>
      </c>
    </row>
    <row r="119" spans="1:39" x14ac:dyDescent="0.25">
      <c r="A119" s="3">
        <v>8</v>
      </c>
      <c r="B119" s="3" t="s">
        <v>134</v>
      </c>
      <c r="C119" s="3" t="s">
        <v>124</v>
      </c>
      <c r="D119" s="3"/>
      <c r="E119" s="3" t="s">
        <v>124</v>
      </c>
      <c r="F119" s="3"/>
      <c r="G119" s="3"/>
      <c r="H119" s="3"/>
      <c r="I119" s="3"/>
      <c r="J119" s="3"/>
      <c r="K119" s="3"/>
      <c r="L119" s="3" t="s">
        <v>135</v>
      </c>
      <c r="M119" s="3">
        <v>100</v>
      </c>
      <c r="N119" s="3" t="s">
        <v>125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125</v>
      </c>
    </row>
    <row r="120" spans="1:39" x14ac:dyDescent="0.25">
      <c r="A120" s="3">
        <v>8</v>
      </c>
      <c r="B120" s="3" t="s">
        <v>134</v>
      </c>
      <c r="C120" s="3" t="s">
        <v>124</v>
      </c>
      <c r="D120" s="3"/>
      <c r="E120" s="3" t="s">
        <v>124</v>
      </c>
      <c r="F120" s="3"/>
      <c r="G120" s="3"/>
      <c r="H120" s="3"/>
      <c r="I120" s="3"/>
      <c r="J120" s="3"/>
      <c r="K120" s="3"/>
      <c r="L120" s="3" t="s">
        <v>135</v>
      </c>
      <c r="M120" s="3">
        <v>110</v>
      </c>
      <c r="N120" s="3" t="s">
        <v>95</v>
      </c>
      <c r="O120" s="3"/>
      <c r="P120" s="3"/>
      <c r="Q120" s="3">
        <v>211.226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95</v>
      </c>
    </row>
    <row r="121" spans="1:39" x14ac:dyDescent="0.25">
      <c r="A121" s="3">
        <v>8</v>
      </c>
      <c r="B121" s="3" t="s">
        <v>134</v>
      </c>
      <c r="C121" s="3" t="s">
        <v>124</v>
      </c>
      <c r="D121" s="3"/>
      <c r="E121" s="3" t="s">
        <v>124</v>
      </c>
      <c r="F121" s="3"/>
      <c r="G121" s="3"/>
      <c r="H121" s="3"/>
      <c r="I121" s="3"/>
      <c r="J121" s="3"/>
      <c r="K121" s="3"/>
      <c r="L121" s="3" t="s">
        <v>135</v>
      </c>
      <c r="M121" s="3">
        <v>120</v>
      </c>
      <c r="N121" s="3" t="s">
        <v>98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98</v>
      </c>
    </row>
    <row r="122" spans="1:39" x14ac:dyDescent="0.25">
      <c r="A122" s="3">
        <v>8</v>
      </c>
      <c r="B122" s="3" t="s">
        <v>134</v>
      </c>
      <c r="C122" s="3" t="s">
        <v>124</v>
      </c>
      <c r="D122" s="3"/>
      <c r="E122" s="3" t="s">
        <v>124</v>
      </c>
      <c r="F122" s="3"/>
      <c r="G122" s="3"/>
      <c r="H122" s="3"/>
      <c r="I122" s="3"/>
      <c r="J122" s="3"/>
      <c r="K122" s="3"/>
      <c r="L122" s="3" t="s">
        <v>135</v>
      </c>
      <c r="M122" s="3">
        <v>130</v>
      </c>
      <c r="N122" s="3" t="s">
        <v>97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97</v>
      </c>
    </row>
    <row r="123" spans="1:39" x14ac:dyDescent="0.25">
      <c r="A123" s="3">
        <v>8</v>
      </c>
      <c r="B123" s="3" t="s">
        <v>134</v>
      </c>
      <c r="C123" s="3" t="s">
        <v>124</v>
      </c>
      <c r="D123" s="3"/>
      <c r="E123" s="3" t="s">
        <v>124</v>
      </c>
      <c r="F123" s="3"/>
      <c r="G123" s="3"/>
      <c r="H123" s="3"/>
      <c r="I123" s="3"/>
      <c r="J123" s="3"/>
      <c r="K123" s="3"/>
      <c r="L123" s="3" t="s">
        <v>135</v>
      </c>
      <c r="M123" s="3">
        <v>140</v>
      </c>
      <c r="N123" s="3" t="s">
        <v>100</v>
      </c>
      <c r="O123" s="3"/>
      <c r="P123" s="3"/>
      <c r="Q123" s="3">
        <v>20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100</v>
      </c>
    </row>
    <row r="124" spans="1:39" x14ac:dyDescent="0.25">
      <c r="A124" s="3">
        <v>8</v>
      </c>
      <c r="B124" s="3" t="s">
        <v>134</v>
      </c>
      <c r="C124" s="3" t="s">
        <v>124</v>
      </c>
      <c r="D124" s="3"/>
      <c r="E124" s="3" t="s">
        <v>124</v>
      </c>
      <c r="F124" s="3"/>
      <c r="G124" s="3"/>
      <c r="H124" s="3"/>
      <c r="I124" s="3"/>
      <c r="J124" s="3"/>
      <c r="K124" s="3"/>
      <c r="L124" s="3" t="s">
        <v>135</v>
      </c>
      <c r="M124" s="3">
        <v>150</v>
      </c>
      <c r="N124" s="3" t="s">
        <v>110</v>
      </c>
      <c r="O124" s="3"/>
      <c r="P124" s="3"/>
      <c r="Q124" s="3">
        <v>0.8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110</v>
      </c>
    </row>
    <row r="125" spans="1:39" x14ac:dyDescent="0.25">
      <c r="A125" s="3">
        <v>9</v>
      </c>
      <c r="B125" s="3" t="s">
        <v>134</v>
      </c>
      <c r="C125" s="3" t="s">
        <v>126</v>
      </c>
      <c r="D125" s="3"/>
      <c r="E125" s="3" t="s">
        <v>126</v>
      </c>
      <c r="F125" s="3"/>
      <c r="G125" s="3"/>
      <c r="H125" s="3"/>
      <c r="I125" s="3"/>
      <c r="J125" s="3"/>
      <c r="K125" s="3"/>
      <c r="L125" s="3" t="s">
        <v>135</v>
      </c>
      <c r="M125" s="3">
        <v>10</v>
      </c>
      <c r="N125" s="3" t="s">
        <v>102</v>
      </c>
      <c r="O125" s="3"/>
      <c r="P125" s="3"/>
      <c r="Q125" s="3">
        <v>2.2610000000000001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102</v>
      </c>
    </row>
    <row r="126" spans="1:39" x14ac:dyDescent="0.25">
      <c r="A126" s="3">
        <v>9</v>
      </c>
      <c r="B126" s="3" t="s">
        <v>134</v>
      </c>
      <c r="C126" s="3" t="s">
        <v>126</v>
      </c>
      <c r="D126" s="3"/>
      <c r="E126" s="3" t="s">
        <v>126</v>
      </c>
      <c r="F126" s="3"/>
      <c r="G126" s="3"/>
      <c r="H126" s="3"/>
      <c r="I126" s="3"/>
      <c r="J126" s="3"/>
      <c r="K126" s="3"/>
      <c r="L126" s="3" t="s">
        <v>135</v>
      </c>
      <c r="M126" s="3">
        <v>20</v>
      </c>
      <c r="N126" s="3" t="s">
        <v>99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99</v>
      </c>
    </row>
    <row r="127" spans="1:39" x14ac:dyDescent="0.25">
      <c r="A127" s="3">
        <v>9</v>
      </c>
      <c r="B127" s="3" t="s">
        <v>134</v>
      </c>
      <c r="C127" s="3" t="s">
        <v>126</v>
      </c>
      <c r="D127" s="3"/>
      <c r="E127" s="3" t="s">
        <v>126</v>
      </c>
      <c r="F127" s="3"/>
      <c r="G127" s="3"/>
      <c r="H127" s="3"/>
      <c r="I127" s="3"/>
      <c r="J127" s="3"/>
      <c r="K127" s="3"/>
      <c r="L127" s="3" t="s">
        <v>135</v>
      </c>
      <c r="M127" s="3">
        <v>30</v>
      </c>
      <c r="N127" s="3" t="s">
        <v>103</v>
      </c>
      <c r="O127" s="3"/>
      <c r="P127" s="3"/>
      <c r="Q127" s="3">
        <v>6.6040000000000001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103</v>
      </c>
    </row>
    <row r="128" spans="1:39" x14ac:dyDescent="0.25">
      <c r="A128" s="3">
        <v>9</v>
      </c>
      <c r="B128" s="3" t="s">
        <v>134</v>
      </c>
      <c r="C128" s="3" t="s">
        <v>126</v>
      </c>
      <c r="D128" s="3"/>
      <c r="E128" s="3" t="s">
        <v>126</v>
      </c>
      <c r="F128" s="3"/>
      <c r="G128" s="3"/>
      <c r="H128" s="3"/>
      <c r="I128" s="3"/>
      <c r="J128" s="3"/>
      <c r="K128" s="3"/>
      <c r="L128" s="3" t="s">
        <v>135</v>
      </c>
      <c r="M128" s="3">
        <v>40</v>
      </c>
      <c r="N128" s="3" t="s">
        <v>104</v>
      </c>
      <c r="O128" s="3"/>
      <c r="P128" s="3"/>
      <c r="Q128" s="3">
        <v>40.615000000000002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104</v>
      </c>
    </row>
    <row r="129" spans="1:39" x14ac:dyDescent="0.25">
      <c r="A129" s="3">
        <v>9</v>
      </c>
      <c r="B129" s="3" t="s">
        <v>134</v>
      </c>
      <c r="C129" s="3" t="s">
        <v>126</v>
      </c>
      <c r="D129" s="3"/>
      <c r="E129" s="3" t="s">
        <v>126</v>
      </c>
      <c r="F129" s="3"/>
      <c r="G129" s="3"/>
      <c r="H129" s="3"/>
      <c r="I129" s="3"/>
      <c r="J129" s="3"/>
      <c r="K129" s="3"/>
      <c r="L129" s="3" t="s">
        <v>135</v>
      </c>
      <c r="M129" s="3">
        <v>50</v>
      </c>
      <c r="N129" s="3" t="s">
        <v>91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91</v>
      </c>
    </row>
    <row r="130" spans="1:39" x14ac:dyDescent="0.25">
      <c r="A130" s="3">
        <v>9</v>
      </c>
      <c r="B130" s="3" t="s">
        <v>134</v>
      </c>
      <c r="C130" s="3" t="s">
        <v>126</v>
      </c>
      <c r="D130" s="3"/>
      <c r="E130" s="3" t="s">
        <v>126</v>
      </c>
      <c r="F130" s="3"/>
      <c r="G130" s="3"/>
      <c r="H130" s="3"/>
      <c r="I130" s="3"/>
      <c r="J130" s="3"/>
      <c r="K130" s="3"/>
      <c r="L130" s="3" t="s">
        <v>135</v>
      </c>
      <c r="M130" s="3">
        <v>60</v>
      </c>
      <c r="N130" s="3" t="s">
        <v>105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105</v>
      </c>
    </row>
    <row r="131" spans="1:39" x14ac:dyDescent="0.25">
      <c r="A131" s="3">
        <v>9</v>
      </c>
      <c r="B131" s="3" t="s">
        <v>134</v>
      </c>
      <c r="C131" s="3" t="s">
        <v>126</v>
      </c>
      <c r="D131" s="3"/>
      <c r="E131" s="3" t="s">
        <v>126</v>
      </c>
      <c r="F131" s="3"/>
      <c r="G131" s="3"/>
      <c r="H131" s="3"/>
      <c r="I131" s="3"/>
      <c r="J131" s="3"/>
      <c r="K131" s="3"/>
      <c r="L131" s="3" t="s">
        <v>135</v>
      </c>
      <c r="M131" s="3">
        <v>70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19</v>
      </c>
    </row>
    <row r="132" spans="1:39" x14ac:dyDescent="0.25">
      <c r="A132" s="3">
        <v>9</v>
      </c>
      <c r="B132" s="3" t="s">
        <v>134</v>
      </c>
      <c r="C132" s="3" t="s">
        <v>126</v>
      </c>
      <c r="D132" s="3"/>
      <c r="E132" s="3" t="s">
        <v>126</v>
      </c>
      <c r="F132" s="3"/>
      <c r="G132" s="3"/>
      <c r="H132" s="3"/>
      <c r="I132" s="3"/>
      <c r="J132" s="3"/>
      <c r="K132" s="3"/>
      <c r="L132" s="3" t="s">
        <v>135</v>
      </c>
      <c r="M132" s="3">
        <v>80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20</v>
      </c>
    </row>
    <row r="133" spans="1:39" x14ac:dyDescent="0.25">
      <c r="A133" s="3">
        <v>9</v>
      </c>
      <c r="B133" s="3" t="s">
        <v>134</v>
      </c>
      <c r="C133" s="3" t="s">
        <v>126</v>
      </c>
      <c r="D133" s="3"/>
      <c r="E133" s="3" t="s">
        <v>126</v>
      </c>
      <c r="F133" s="3"/>
      <c r="G133" s="3"/>
      <c r="H133" s="3"/>
      <c r="I133" s="3"/>
      <c r="J133" s="3"/>
      <c r="K133" s="3"/>
      <c r="L133" s="3" t="s">
        <v>135</v>
      </c>
      <c r="M133" s="3">
        <v>90</v>
      </c>
      <c r="N133" s="3" t="s">
        <v>94</v>
      </c>
      <c r="O133" s="3"/>
      <c r="P133" s="3"/>
      <c r="Q133" s="3">
        <v>0.41299999999999998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94</v>
      </c>
    </row>
    <row r="134" spans="1:39" x14ac:dyDescent="0.25">
      <c r="A134" s="3">
        <v>9</v>
      </c>
      <c r="B134" s="3" t="s">
        <v>134</v>
      </c>
      <c r="C134" s="3" t="s">
        <v>126</v>
      </c>
      <c r="D134" s="3"/>
      <c r="E134" s="3" t="s">
        <v>126</v>
      </c>
      <c r="F134" s="3"/>
      <c r="G134" s="3"/>
      <c r="H134" s="3"/>
      <c r="I134" s="3"/>
      <c r="J134" s="3"/>
      <c r="K134" s="3"/>
      <c r="L134" s="3" t="s">
        <v>135</v>
      </c>
      <c r="M134" s="3">
        <v>100</v>
      </c>
      <c r="N134" s="3" t="s">
        <v>127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127</v>
      </c>
    </row>
    <row r="135" spans="1:39" x14ac:dyDescent="0.25">
      <c r="A135" s="3">
        <v>9</v>
      </c>
      <c r="B135" s="3" t="s">
        <v>134</v>
      </c>
      <c r="C135" s="3" t="s">
        <v>126</v>
      </c>
      <c r="D135" s="3"/>
      <c r="E135" s="3" t="s">
        <v>126</v>
      </c>
      <c r="F135" s="3"/>
      <c r="G135" s="3"/>
      <c r="H135" s="3"/>
      <c r="I135" s="3"/>
      <c r="J135" s="3"/>
      <c r="K135" s="3"/>
      <c r="L135" s="3" t="s">
        <v>135</v>
      </c>
      <c r="M135" s="3">
        <v>110</v>
      </c>
      <c r="N135" s="3" t="s">
        <v>95</v>
      </c>
      <c r="O135" s="3"/>
      <c r="P135" s="3"/>
      <c r="Q135" s="3">
        <v>181.35599999999999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95</v>
      </c>
    </row>
    <row r="136" spans="1:39" x14ac:dyDescent="0.25">
      <c r="A136" s="3">
        <v>9</v>
      </c>
      <c r="B136" s="3" t="s">
        <v>134</v>
      </c>
      <c r="C136" s="3" t="s">
        <v>126</v>
      </c>
      <c r="D136" s="3"/>
      <c r="E136" s="3" t="s">
        <v>126</v>
      </c>
      <c r="F136" s="3"/>
      <c r="G136" s="3"/>
      <c r="H136" s="3"/>
      <c r="I136" s="3"/>
      <c r="J136" s="3"/>
      <c r="K136" s="3"/>
      <c r="L136" s="3" t="s">
        <v>135</v>
      </c>
      <c r="M136" s="3">
        <v>120</v>
      </c>
      <c r="N136" s="3" t="s">
        <v>98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98</v>
      </c>
    </row>
    <row r="137" spans="1:39" x14ac:dyDescent="0.25">
      <c r="A137" s="3">
        <v>9</v>
      </c>
      <c r="B137" s="3" t="s">
        <v>134</v>
      </c>
      <c r="C137" s="3" t="s">
        <v>126</v>
      </c>
      <c r="D137" s="3"/>
      <c r="E137" s="3" t="s">
        <v>126</v>
      </c>
      <c r="F137" s="3"/>
      <c r="G137" s="3"/>
      <c r="H137" s="3"/>
      <c r="I137" s="3"/>
      <c r="J137" s="3"/>
      <c r="K137" s="3"/>
      <c r="L137" s="3" t="s">
        <v>135</v>
      </c>
      <c r="M137" s="3">
        <v>130</v>
      </c>
      <c r="N137" s="3" t="s">
        <v>97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97</v>
      </c>
    </row>
    <row r="138" spans="1:39" x14ac:dyDescent="0.25">
      <c r="A138" s="3">
        <v>9</v>
      </c>
      <c r="B138" s="3" t="s">
        <v>134</v>
      </c>
      <c r="C138" s="3" t="s">
        <v>126</v>
      </c>
      <c r="D138" s="3"/>
      <c r="E138" s="3" t="s">
        <v>126</v>
      </c>
      <c r="F138" s="3"/>
      <c r="G138" s="3"/>
      <c r="H138" s="3"/>
      <c r="I138" s="3"/>
      <c r="J138" s="3"/>
      <c r="K138" s="3"/>
      <c r="L138" s="3" t="s">
        <v>135</v>
      </c>
      <c r="M138" s="3">
        <v>140</v>
      </c>
      <c r="N138" s="3" t="s">
        <v>100</v>
      </c>
      <c r="O138" s="3"/>
      <c r="P138" s="3"/>
      <c r="Q138" s="3">
        <v>20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100</v>
      </c>
    </row>
    <row r="139" spans="1:39" x14ac:dyDescent="0.25">
      <c r="A139" s="3">
        <v>9</v>
      </c>
      <c r="B139" s="3" t="s">
        <v>134</v>
      </c>
      <c r="C139" s="3" t="s">
        <v>126</v>
      </c>
      <c r="D139" s="3"/>
      <c r="E139" s="3" t="s">
        <v>126</v>
      </c>
      <c r="F139" s="3"/>
      <c r="G139" s="3"/>
      <c r="H139" s="3"/>
      <c r="I139" s="3"/>
      <c r="J139" s="3"/>
      <c r="K139" s="3"/>
      <c r="L139" s="3" t="s">
        <v>135</v>
      </c>
      <c r="M139" s="3">
        <v>150</v>
      </c>
      <c r="N139" s="3" t="s">
        <v>107</v>
      </c>
      <c r="O139" s="3"/>
      <c r="P139" s="3"/>
      <c r="Q139" s="3">
        <v>0.6</v>
      </c>
      <c r="R139" s="3" t="s">
        <v>12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107</v>
      </c>
    </row>
    <row r="140" spans="1:39" x14ac:dyDescent="0.25">
      <c r="A140" s="3">
        <v>10</v>
      </c>
      <c r="B140" s="3" t="s">
        <v>134</v>
      </c>
      <c r="C140" s="3" t="s">
        <v>128</v>
      </c>
      <c r="D140" s="3"/>
      <c r="E140" s="3" t="s">
        <v>128</v>
      </c>
      <c r="F140" s="3"/>
      <c r="G140" s="3"/>
      <c r="H140" s="3"/>
      <c r="I140" s="3"/>
      <c r="J140" s="3"/>
      <c r="K140" s="3"/>
      <c r="L140" s="3" t="s">
        <v>135</v>
      </c>
      <c r="M140" s="3">
        <v>10</v>
      </c>
      <c r="N140" s="3" t="s">
        <v>102</v>
      </c>
      <c r="O140" s="3"/>
      <c r="P140" s="3"/>
      <c r="Q140" s="3">
        <v>2.2610000000000001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102</v>
      </c>
    </row>
    <row r="141" spans="1:39" x14ac:dyDescent="0.25">
      <c r="A141" s="3">
        <v>10</v>
      </c>
      <c r="B141" s="3" t="s">
        <v>134</v>
      </c>
      <c r="C141" s="3" t="s">
        <v>128</v>
      </c>
      <c r="D141" s="3"/>
      <c r="E141" s="3" t="s">
        <v>128</v>
      </c>
      <c r="F141" s="3"/>
      <c r="G141" s="3"/>
      <c r="H141" s="3"/>
      <c r="I141" s="3"/>
      <c r="J141" s="3"/>
      <c r="K141" s="3"/>
      <c r="L141" s="3" t="s">
        <v>135</v>
      </c>
      <c r="M141" s="3">
        <v>20</v>
      </c>
      <c r="N141" s="3" t="s">
        <v>99</v>
      </c>
      <c r="O141" s="3"/>
      <c r="P141" s="3"/>
      <c r="Q141" s="3">
        <v>1.5489999999999999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99</v>
      </c>
    </row>
    <row r="142" spans="1:39" x14ac:dyDescent="0.25">
      <c r="A142" s="3">
        <v>10</v>
      </c>
      <c r="B142" s="3" t="s">
        <v>134</v>
      </c>
      <c r="C142" s="3" t="s">
        <v>128</v>
      </c>
      <c r="D142" s="3"/>
      <c r="E142" s="3" t="s">
        <v>128</v>
      </c>
      <c r="F142" s="3"/>
      <c r="G142" s="3"/>
      <c r="H142" s="3"/>
      <c r="I142" s="3"/>
      <c r="J142" s="3"/>
      <c r="K142" s="3"/>
      <c r="L142" s="3" t="s">
        <v>135</v>
      </c>
      <c r="M142" s="3">
        <v>30</v>
      </c>
      <c r="N142" s="3" t="s">
        <v>103</v>
      </c>
      <c r="O142" s="3"/>
      <c r="P142" s="3"/>
      <c r="Q142" s="3">
        <v>7.2140000000000004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103</v>
      </c>
    </row>
    <row r="143" spans="1:39" x14ac:dyDescent="0.25">
      <c r="A143" s="3">
        <v>10</v>
      </c>
      <c r="B143" s="3" t="s">
        <v>134</v>
      </c>
      <c r="C143" s="3" t="s">
        <v>128</v>
      </c>
      <c r="D143" s="3"/>
      <c r="E143" s="3" t="s">
        <v>128</v>
      </c>
      <c r="F143" s="3"/>
      <c r="G143" s="3"/>
      <c r="H143" s="3"/>
      <c r="I143" s="3"/>
      <c r="J143" s="3"/>
      <c r="K143" s="3"/>
      <c r="L143" s="3" t="s">
        <v>135</v>
      </c>
      <c r="M143" s="3">
        <v>40</v>
      </c>
      <c r="N143" s="3" t="s">
        <v>104</v>
      </c>
      <c r="O143" s="3"/>
      <c r="P143" s="3"/>
      <c r="Q143" s="3">
        <v>44.363999999999997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104</v>
      </c>
    </row>
    <row r="144" spans="1:39" x14ac:dyDescent="0.25">
      <c r="A144" s="3">
        <v>10</v>
      </c>
      <c r="B144" s="3" t="s">
        <v>134</v>
      </c>
      <c r="C144" s="3" t="s">
        <v>128</v>
      </c>
      <c r="D144" s="3"/>
      <c r="E144" s="3" t="s">
        <v>128</v>
      </c>
      <c r="F144" s="3"/>
      <c r="G144" s="3"/>
      <c r="H144" s="3"/>
      <c r="I144" s="3"/>
      <c r="J144" s="3"/>
      <c r="K144" s="3"/>
      <c r="L144" s="3" t="s">
        <v>135</v>
      </c>
      <c r="M144" s="3">
        <v>50</v>
      </c>
      <c r="N144" s="3" t="s">
        <v>91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91</v>
      </c>
    </row>
    <row r="145" spans="1:39" x14ac:dyDescent="0.25">
      <c r="A145" s="3">
        <v>10</v>
      </c>
      <c r="B145" s="3" t="s">
        <v>134</v>
      </c>
      <c r="C145" s="3" t="s">
        <v>128</v>
      </c>
      <c r="D145" s="3"/>
      <c r="E145" s="3" t="s">
        <v>128</v>
      </c>
      <c r="F145" s="3"/>
      <c r="G145" s="3"/>
      <c r="H145" s="3"/>
      <c r="I145" s="3"/>
      <c r="J145" s="3"/>
      <c r="K145" s="3"/>
      <c r="L145" s="3" t="s">
        <v>135</v>
      </c>
      <c r="M145" s="3">
        <v>60</v>
      </c>
      <c r="N145" s="3" t="s">
        <v>105</v>
      </c>
      <c r="O145" s="3"/>
      <c r="P145" s="3"/>
      <c r="Q145" s="3">
        <v>4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105</v>
      </c>
    </row>
    <row r="146" spans="1:39" x14ac:dyDescent="0.25">
      <c r="A146" s="3">
        <v>10</v>
      </c>
      <c r="B146" s="3" t="s">
        <v>134</v>
      </c>
      <c r="C146" s="3" t="s">
        <v>128</v>
      </c>
      <c r="D146" s="3"/>
      <c r="E146" s="3" t="s">
        <v>128</v>
      </c>
      <c r="F146" s="3"/>
      <c r="G146" s="3"/>
      <c r="H146" s="3"/>
      <c r="I146" s="3"/>
      <c r="J146" s="3"/>
      <c r="K146" s="3"/>
      <c r="L146" s="3" t="s">
        <v>135</v>
      </c>
      <c r="M146" s="3">
        <v>70</v>
      </c>
      <c r="N146" s="3" t="s">
        <v>19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19</v>
      </c>
    </row>
    <row r="147" spans="1:39" x14ac:dyDescent="0.25">
      <c r="A147" s="3">
        <v>10</v>
      </c>
      <c r="B147" s="3" t="s">
        <v>134</v>
      </c>
      <c r="C147" s="3" t="s">
        <v>128</v>
      </c>
      <c r="D147" s="3"/>
      <c r="E147" s="3" t="s">
        <v>128</v>
      </c>
      <c r="F147" s="3"/>
      <c r="G147" s="3"/>
      <c r="H147" s="3"/>
      <c r="I147" s="3"/>
      <c r="J147" s="3"/>
      <c r="K147" s="3"/>
      <c r="L147" s="3" t="s">
        <v>135</v>
      </c>
      <c r="M147" s="3">
        <v>80</v>
      </c>
      <c r="N147" s="3" t="s">
        <v>20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20</v>
      </c>
    </row>
    <row r="148" spans="1:39" x14ac:dyDescent="0.25">
      <c r="A148" s="3">
        <v>10</v>
      </c>
      <c r="B148" s="3" t="s">
        <v>134</v>
      </c>
      <c r="C148" s="3" t="s">
        <v>128</v>
      </c>
      <c r="D148" s="3"/>
      <c r="E148" s="3" t="s">
        <v>128</v>
      </c>
      <c r="F148" s="3"/>
      <c r="G148" s="3"/>
      <c r="H148" s="3"/>
      <c r="I148" s="3"/>
      <c r="J148" s="3"/>
      <c r="K148" s="3"/>
      <c r="L148" s="3" t="s">
        <v>135</v>
      </c>
      <c r="M148" s="3">
        <v>90</v>
      </c>
      <c r="N148" s="3" t="s">
        <v>94</v>
      </c>
      <c r="O148" s="3"/>
      <c r="P148" s="3"/>
      <c r="Q148" s="3">
        <v>0.503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94</v>
      </c>
    </row>
    <row r="149" spans="1:39" x14ac:dyDescent="0.25">
      <c r="A149" s="3">
        <v>10</v>
      </c>
      <c r="B149" s="3" t="s">
        <v>134</v>
      </c>
      <c r="C149" s="3" t="s">
        <v>128</v>
      </c>
      <c r="D149" s="3"/>
      <c r="E149" s="3" t="s">
        <v>128</v>
      </c>
      <c r="F149" s="3"/>
      <c r="G149" s="3"/>
      <c r="H149" s="3"/>
      <c r="I149" s="3"/>
      <c r="J149" s="3"/>
      <c r="K149" s="3"/>
      <c r="L149" s="3" t="s">
        <v>135</v>
      </c>
      <c r="M149" s="3">
        <v>100</v>
      </c>
      <c r="N149" s="3" t="s">
        <v>129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129</v>
      </c>
    </row>
    <row r="150" spans="1:39" x14ac:dyDescent="0.25">
      <c r="A150" s="3">
        <v>10</v>
      </c>
      <c r="B150" s="3" t="s">
        <v>134</v>
      </c>
      <c r="C150" s="3" t="s">
        <v>128</v>
      </c>
      <c r="D150" s="3"/>
      <c r="E150" s="3" t="s">
        <v>128</v>
      </c>
      <c r="F150" s="3"/>
      <c r="G150" s="3"/>
      <c r="H150" s="3"/>
      <c r="I150" s="3"/>
      <c r="J150" s="3"/>
      <c r="K150" s="3"/>
      <c r="L150" s="3" t="s">
        <v>135</v>
      </c>
      <c r="M150" s="3">
        <v>110</v>
      </c>
      <c r="N150" s="3" t="s">
        <v>95</v>
      </c>
      <c r="O150" s="3"/>
      <c r="P150" s="3"/>
      <c r="Q150" s="3">
        <v>198.42500000000001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95</v>
      </c>
    </row>
    <row r="151" spans="1:39" x14ac:dyDescent="0.25">
      <c r="A151" s="3">
        <v>10</v>
      </c>
      <c r="B151" s="3" t="s">
        <v>134</v>
      </c>
      <c r="C151" s="3" t="s">
        <v>128</v>
      </c>
      <c r="D151" s="3"/>
      <c r="E151" s="3" t="s">
        <v>128</v>
      </c>
      <c r="F151" s="3"/>
      <c r="G151" s="3"/>
      <c r="H151" s="3"/>
      <c r="I151" s="3"/>
      <c r="J151" s="3"/>
      <c r="K151" s="3"/>
      <c r="L151" s="3" t="s">
        <v>135</v>
      </c>
      <c r="M151" s="3">
        <v>120</v>
      </c>
      <c r="N151" s="3" t="s">
        <v>98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98</v>
      </c>
    </row>
    <row r="152" spans="1:39" x14ac:dyDescent="0.25">
      <c r="A152" s="3">
        <v>10</v>
      </c>
      <c r="B152" s="3" t="s">
        <v>134</v>
      </c>
      <c r="C152" s="3" t="s">
        <v>128</v>
      </c>
      <c r="D152" s="3"/>
      <c r="E152" s="3" t="s">
        <v>128</v>
      </c>
      <c r="F152" s="3"/>
      <c r="G152" s="3"/>
      <c r="H152" s="3"/>
      <c r="I152" s="3"/>
      <c r="J152" s="3"/>
      <c r="K152" s="3"/>
      <c r="L152" s="3" t="s">
        <v>135</v>
      </c>
      <c r="M152" s="3">
        <v>130</v>
      </c>
      <c r="N152" s="3" t="s">
        <v>97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97</v>
      </c>
    </row>
    <row r="153" spans="1:39" x14ac:dyDescent="0.25">
      <c r="A153" s="3">
        <v>10</v>
      </c>
      <c r="B153" s="3" t="s">
        <v>134</v>
      </c>
      <c r="C153" s="3" t="s">
        <v>128</v>
      </c>
      <c r="D153" s="3"/>
      <c r="E153" s="3" t="s">
        <v>128</v>
      </c>
      <c r="F153" s="3"/>
      <c r="G153" s="3"/>
      <c r="H153" s="3"/>
      <c r="I153" s="3"/>
      <c r="J153" s="3"/>
      <c r="K153" s="3"/>
      <c r="L153" s="3" t="s">
        <v>135</v>
      </c>
      <c r="M153" s="3">
        <v>140</v>
      </c>
      <c r="N153" s="3" t="s">
        <v>100</v>
      </c>
      <c r="O153" s="3"/>
      <c r="P153" s="3"/>
      <c r="Q153" s="3">
        <v>20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100</v>
      </c>
    </row>
    <row r="154" spans="1:39" x14ac:dyDescent="0.25">
      <c r="A154" s="3">
        <v>10</v>
      </c>
      <c r="B154" s="3" t="s">
        <v>134</v>
      </c>
      <c r="C154" s="3" t="s">
        <v>128</v>
      </c>
      <c r="D154" s="3"/>
      <c r="E154" s="3" t="s">
        <v>128</v>
      </c>
      <c r="F154" s="3"/>
      <c r="G154" s="3"/>
      <c r="H154" s="3"/>
      <c r="I154" s="3"/>
      <c r="J154" s="3"/>
      <c r="K154" s="3"/>
      <c r="L154" s="3" t="s">
        <v>135</v>
      </c>
      <c r="M154" s="3">
        <v>150</v>
      </c>
      <c r="N154" s="3" t="s">
        <v>121</v>
      </c>
      <c r="O154" s="3"/>
      <c r="P154" s="3"/>
      <c r="Q154" s="3">
        <v>0.6</v>
      </c>
      <c r="R154" s="3" t="s">
        <v>12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121</v>
      </c>
    </row>
    <row r="155" spans="1:39" x14ac:dyDescent="0.25">
      <c r="A155" s="3">
        <v>11</v>
      </c>
      <c r="B155" s="3" t="s">
        <v>134</v>
      </c>
      <c r="C155" s="3" t="s">
        <v>130</v>
      </c>
      <c r="D155" s="3"/>
      <c r="E155" s="3" t="s">
        <v>130</v>
      </c>
      <c r="F155" s="3"/>
      <c r="G155" s="3"/>
      <c r="H155" s="3"/>
      <c r="I155" s="3"/>
      <c r="J155" s="3"/>
      <c r="K155" s="3"/>
      <c r="L155" s="3" t="s">
        <v>135</v>
      </c>
      <c r="M155" s="3">
        <v>10</v>
      </c>
      <c r="N155" s="3" t="s">
        <v>102</v>
      </c>
      <c r="O155" s="3"/>
      <c r="P155" s="3"/>
      <c r="Q155" s="3">
        <v>2.0569999999999999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102</v>
      </c>
    </row>
    <row r="156" spans="1:39" x14ac:dyDescent="0.25">
      <c r="A156" s="3">
        <v>11</v>
      </c>
      <c r="B156" s="3" t="s">
        <v>134</v>
      </c>
      <c r="C156" s="3" t="s">
        <v>130</v>
      </c>
      <c r="D156" s="3"/>
      <c r="E156" s="3" t="s">
        <v>130</v>
      </c>
      <c r="F156" s="3"/>
      <c r="G156" s="3"/>
      <c r="H156" s="3"/>
      <c r="I156" s="3"/>
      <c r="J156" s="3"/>
      <c r="K156" s="3"/>
      <c r="L156" s="3" t="s">
        <v>135</v>
      </c>
      <c r="M156" s="3">
        <v>20</v>
      </c>
      <c r="N156" s="3" t="s">
        <v>99</v>
      </c>
      <c r="O156" s="3"/>
      <c r="P156" s="3"/>
      <c r="Q156" s="3">
        <v>1.8540000000000001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99</v>
      </c>
    </row>
    <row r="157" spans="1:39" x14ac:dyDescent="0.25">
      <c r="A157" s="3">
        <v>11</v>
      </c>
      <c r="B157" s="3" t="s">
        <v>134</v>
      </c>
      <c r="C157" s="3" t="s">
        <v>130</v>
      </c>
      <c r="D157" s="3"/>
      <c r="E157" s="3" t="s">
        <v>130</v>
      </c>
      <c r="F157" s="3"/>
      <c r="G157" s="3"/>
      <c r="H157" s="3"/>
      <c r="I157" s="3"/>
      <c r="J157" s="3"/>
      <c r="K157" s="3"/>
      <c r="L157" s="3" t="s">
        <v>135</v>
      </c>
      <c r="M157" s="3">
        <v>30</v>
      </c>
      <c r="N157" s="3" t="s">
        <v>103</v>
      </c>
      <c r="O157" s="3"/>
      <c r="P157" s="3"/>
      <c r="Q157" s="3">
        <v>7.8230000000000004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103</v>
      </c>
    </row>
    <row r="158" spans="1:39" x14ac:dyDescent="0.25">
      <c r="A158" s="3">
        <v>11</v>
      </c>
      <c r="B158" s="3" t="s">
        <v>134</v>
      </c>
      <c r="C158" s="3" t="s">
        <v>130</v>
      </c>
      <c r="D158" s="3"/>
      <c r="E158" s="3" t="s">
        <v>130</v>
      </c>
      <c r="F158" s="3"/>
      <c r="G158" s="3"/>
      <c r="H158" s="3"/>
      <c r="I158" s="3"/>
      <c r="J158" s="3"/>
      <c r="K158" s="3"/>
      <c r="L158" s="3" t="s">
        <v>135</v>
      </c>
      <c r="M158" s="3">
        <v>40</v>
      </c>
      <c r="N158" s="3" t="s">
        <v>104</v>
      </c>
      <c r="O158" s="3"/>
      <c r="P158" s="3"/>
      <c r="Q158" s="3">
        <v>48.113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104</v>
      </c>
    </row>
    <row r="159" spans="1:39" x14ac:dyDescent="0.25">
      <c r="A159" s="3">
        <v>11</v>
      </c>
      <c r="B159" s="3" t="s">
        <v>134</v>
      </c>
      <c r="C159" s="3" t="s">
        <v>130</v>
      </c>
      <c r="D159" s="3"/>
      <c r="E159" s="3" t="s">
        <v>130</v>
      </c>
      <c r="F159" s="3"/>
      <c r="G159" s="3"/>
      <c r="H159" s="3"/>
      <c r="I159" s="3"/>
      <c r="J159" s="3"/>
      <c r="K159" s="3"/>
      <c r="L159" s="3" t="s">
        <v>135</v>
      </c>
      <c r="M159" s="3">
        <v>50</v>
      </c>
      <c r="N159" s="3" t="s">
        <v>91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91</v>
      </c>
    </row>
    <row r="160" spans="1:39" x14ac:dyDescent="0.25">
      <c r="A160" s="3">
        <v>11</v>
      </c>
      <c r="B160" s="3" t="s">
        <v>134</v>
      </c>
      <c r="C160" s="3" t="s">
        <v>130</v>
      </c>
      <c r="D160" s="3"/>
      <c r="E160" s="3" t="s">
        <v>130</v>
      </c>
      <c r="F160" s="3"/>
      <c r="G160" s="3"/>
      <c r="H160" s="3"/>
      <c r="I160" s="3"/>
      <c r="J160" s="3"/>
      <c r="K160" s="3"/>
      <c r="L160" s="3" t="s">
        <v>135</v>
      </c>
      <c r="M160" s="3">
        <v>60</v>
      </c>
      <c r="N160" s="3" t="s">
        <v>112</v>
      </c>
      <c r="O160" s="3"/>
      <c r="P160" s="3"/>
      <c r="Q160" s="3">
        <v>4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112</v>
      </c>
    </row>
    <row r="161" spans="1:39" x14ac:dyDescent="0.25">
      <c r="A161" s="3">
        <v>11</v>
      </c>
      <c r="B161" s="3" t="s">
        <v>134</v>
      </c>
      <c r="C161" s="3" t="s">
        <v>130</v>
      </c>
      <c r="D161" s="3"/>
      <c r="E161" s="3" t="s">
        <v>130</v>
      </c>
      <c r="F161" s="3"/>
      <c r="G161" s="3"/>
      <c r="H161" s="3"/>
      <c r="I161" s="3"/>
      <c r="J161" s="3"/>
      <c r="K161" s="3"/>
      <c r="L161" s="3" t="s">
        <v>135</v>
      </c>
      <c r="M161" s="3">
        <v>70</v>
      </c>
      <c r="N161" s="3" t="s">
        <v>19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19</v>
      </c>
    </row>
    <row r="162" spans="1:39" x14ac:dyDescent="0.25">
      <c r="A162" s="3">
        <v>11</v>
      </c>
      <c r="B162" s="3" t="s">
        <v>134</v>
      </c>
      <c r="C162" s="3" t="s">
        <v>130</v>
      </c>
      <c r="D162" s="3"/>
      <c r="E162" s="3" t="s">
        <v>130</v>
      </c>
      <c r="F162" s="3"/>
      <c r="G162" s="3"/>
      <c r="H162" s="3"/>
      <c r="I162" s="3"/>
      <c r="J162" s="3"/>
      <c r="K162" s="3"/>
      <c r="L162" s="3" t="s">
        <v>135</v>
      </c>
      <c r="M162" s="3">
        <v>80</v>
      </c>
      <c r="N162" s="3" t="s">
        <v>20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20</v>
      </c>
    </row>
    <row r="163" spans="1:39" x14ac:dyDescent="0.25">
      <c r="A163" s="3">
        <v>11</v>
      </c>
      <c r="B163" s="3" t="s">
        <v>134</v>
      </c>
      <c r="C163" s="3" t="s">
        <v>130</v>
      </c>
      <c r="D163" s="3"/>
      <c r="E163" s="3" t="s">
        <v>130</v>
      </c>
      <c r="F163" s="3"/>
      <c r="G163" s="3"/>
      <c r="H163" s="3"/>
      <c r="I163" s="3"/>
      <c r="J163" s="3"/>
      <c r="K163" s="3"/>
      <c r="L163" s="3" t="s">
        <v>135</v>
      </c>
      <c r="M163" s="3">
        <v>90</v>
      </c>
      <c r="N163" s="3" t="s">
        <v>94</v>
      </c>
      <c r="O163" s="3"/>
      <c r="P163" s="3"/>
      <c r="Q163" s="3">
        <v>0.58599999999999997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94</v>
      </c>
    </row>
    <row r="164" spans="1:39" x14ac:dyDescent="0.25">
      <c r="A164" s="3">
        <v>11</v>
      </c>
      <c r="B164" s="3" t="s">
        <v>134</v>
      </c>
      <c r="C164" s="3" t="s">
        <v>130</v>
      </c>
      <c r="D164" s="3"/>
      <c r="E164" s="3" t="s">
        <v>130</v>
      </c>
      <c r="F164" s="3"/>
      <c r="G164" s="3"/>
      <c r="H164" s="3"/>
      <c r="I164" s="3"/>
      <c r="J164" s="3"/>
      <c r="K164" s="3"/>
      <c r="L164" s="3" t="s">
        <v>135</v>
      </c>
      <c r="M164" s="3">
        <v>100</v>
      </c>
      <c r="N164" s="3" t="s">
        <v>131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131</v>
      </c>
    </row>
    <row r="165" spans="1:39" x14ac:dyDescent="0.25">
      <c r="A165" s="3">
        <v>11</v>
      </c>
      <c r="B165" s="3" t="s">
        <v>134</v>
      </c>
      <c r="C165" s="3" t="s">
        <v>130</v>
      </c>
      <c r="D165" s="3"/>
      <c r="E165" s="3" t="s">
        <v>130</v>
      </c>
      <c r="F165" s="3"/>
      <c r="G165" s="3"/>
      <c r="H165" s="3"/>
      <c r="I165" s="3"/>
      <c r="J165" s="3"/>
      <c r="K165" s="3"/>
      <c r="L165" s="3" t="s">
        <v>135</v>
      </c>
      <c r="M165" s="3">
        <v>110</v>
      </c>
      <c r="N165" s="3" t="s">
        <v>95</v>
      </c>
      <c r="O165" s="3"/>
      <c r="P165" s="3"/>
      <c r="Q165" s="3">
        <v>215.494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95</v>
      </c>
    </row>
    <row r="166" spans="1:39" x14ac:dyDescent="0.25">
      <c r="A166" s="3">
        <v>11</v>
      </c>
      <c r="B166" s="3" t="s">
        <v>134</v>
      </c>
      <c r="C166" s="3" t="s">
        <v>130</v>
      </c>
      <c r="D166" s="3"/>
      <c r="E166" s="3" t="s">
        <v>130</v>
      </c>
      <c r="F166" s="3"/>
      <c r="G166" s="3"/>
      <c r="H166" s="3"/>
      <c r="I166" s="3"/>
      <c r="J166" s="3"/>
      <c r="K166" s="3"/>
      <c r="L166" s="3" t="s">
        <v>135</v>
      </c>
      <c r="M166" s="3">
        <v>120</v>
      </c>
      <c r="N166" s="3" t="s">
        <v>98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98</v>
      </c>
    </row>
    <row r="167" spans="1:39" x14ac:dyDescent="0.25">
      <c r="A167" s="3">
        <v>11</v>
      </c>
      <c r="B167" s="3" t="s">
        <v>134</v>
      </c>
      <c r="C167" s="3" t="s">
        <v>130</v>
      </c>
      <c r="D167" s="3"/>
      <c r="E167" s="3" t="s">
        <v>130</v>
      </c>
      <c r="F167" s="3"/>
      <c r="G167" s="3"/>
      <c r="H167" s="3"/>
      <c r="I167" s="3"/>
      <c r="J167" s="3"/>
      <c r="K167" s="3"/>
      <c r="L167" s="3" t="s">
        <v>135</v>
      </c>
      <c r="M167" s="3">
        <v>130</v>
      </c>
      <c r="N167" s="3" t="s">
        <v>97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97</v>
      </c>
    </row>
    <row r="168" spans="1:39" x14ac:dyDescent="0.25">
      <c r="A168" s="3">
        <v>11</v>
      </c>
      <c r="B168" s="3" t="s">
        <v>134</v>
      </c>
      <c r="C168" s="3" t="s">
        <v>130</v>
      </c>
      <c r="D168" s="3"/>
      <c r="E168" s="3" t="s">
        <v>130</v>
      </c>
      <c r="F168" s="3"/>
      <c r="G168" s="3"/>
      <c r="H168" s="3"/>
      <c r="I168" s="3"/>
      <c r="J168" s="3"/>
      <c r="K168" s="3"/>
      <c r="L168" s="3" t="s">
        <v>135</v>
      </c>
      <c r="M168" s="3">
        <v>140</v>
      </c>
      <c r="N168" s="3" t="s">
        <v>100</v>
      </c>
      <c r="O168" s="3"/>
      <c r="P168" s="3"/>
      <c r="Q168" s="3">
        <v>20</v>
      </c>
      <c r="R168" s="3" t="s">
        <v>14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100</v>
      </c>
    </row>
    <row r="169" spans="1:39" x14ac:dyDescent="0.25">
      <c r="A169" s="3">
        <v>11</v>
      </c>
      <c r="B169" s="3" t="s">
        <v>134</v>
      </c>
      <c r="C169" s="3" t="s">
        <v>130</v>
      </c>
      <c r="D169" s="3"/>
      <c r="E169" s="3" t="s">
        <v>130</v>
      </c>
      <c r="F169" s="3"/>
      <c r="G169" s="3"/>
      <c r="H169" s="3"/>
      <c r="I169" s="3"/>
      <c r="J169" s="3"/>
      <c r="K169" s="3"/>
      <c r="L169" s="3" t="s">
        <v>135</v>
      </c>
      <c r="M169" s="3">
        <v>150</v>
      </c>
      <c r="N169" s="3" t="s">
        <v>110</v>
      </c>
      <c r="O169" s="3"/>
      <c r="P169" s="3"/>
      <c r="Q169" s="3">
        <v>0.8</v>
      </c>
      <c r="R169" s="3" t="s">
        <v>12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110</v>
      </c>
    </row>
    <row r="170" spans="1:39" x14ac:dyDescent="0.25">
      <c r="A170" s="3">
        <v>12</v>
      </c>
      <c r="B170" s="3" t="s">
        <v>134</v>
      </c>
      <c r="C170" s="3" t="s">
        <v>132</v>
      </c>
      <c r="D170" s="3"/>
      <c r="E170" s="3" t="s">
        <v>132</v>
      </c>
      <c r="F170" s="3"/>
      <c r="G170" s="3"/>
      <c r="H170" s="3"/>
      <c r="I170" s="3"/>
      <c r="J170" s="3"/>
      <c r="K170" s="3"/>
      <c r="L170" s="3" t="s">
        <v>135</v>
      </c>
      <c r="M170" s="3">
        <v>10</v>
      </c>
      <c r="N170" s="3" t="s">
        <v>102</v>
      </c>
      <c r="O170" s="3"/>
      <c r="P170" s="3"/>
      <c r="Q170" s="3">
        <v>2.2610000000000001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102</v>
      </c>
    </row>
    <row r="171" spans="1:39" x14ac:dyDescent="0.25">
      <c r="A171" s="3">
        <v>12</v>
      </c>
      <c r="B171" s="3" t="s">
        <v>134</v>
      </c>
      <c r="C171" s="3" t="s">
        <v>132</v>
      </c>
      <c r="D171" s="3"/>
      <c r="E171" s="3" t="s">
        <v>132</v>
      </c>
      <c r="F171" s="3"/>
      <c r="G171" s="3"/>
      <c r="H171" s="3"/>
      <c r="I171" s="3"/>
      <c r="J171" s="3"/>
      <c r="K171" s="3"/>
      <c r="L171" s="3" t="s">
        <v>135</v>
      </c>
      <c r="M171" s="3">
        <v>20</v>
      </c>
      <c r="N171" s="3" t="s">
        <v>99</v>
      </c>
      <c r="O171" s="3"/>
      <c r="P171" s="3"/>
      <c r="Q171" s="3">
        <v>1.8540000000000001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99</v>
      </c>
    </row>
    <row r="172" spans="1:39" x14ac:dyDescent="0.25">
      <c r="A172" s="3">
        <v>12</v>
      </c>
      <c r="B172" s="3" t="s">
        <v>134</v>
      </c>
      <c r="C172" s="3" t="s">
        <v>132</v>
      </c>
      <c r="D172" s="3"/>
      <c r="E172" s="3" t="s">
        <v>132</v>
      </c>
      <c r="F172" s="3"/>
      <c r="G172" s="3"/>
      <c r="H172" s="3"/>
      <c r="I172" s="3"/>
      <c r="J172" s="3"/>
      <c r="K172" s="3"/>
      <c r="L172" s="3" t="s">
        <v>135</v>
      </c>
      <c r="M172" s="3">
        <v>30</v>
      </c>
      <c r="N172" s="3" t="s">
        <v>103</v>
      </c>
      <c r="O172" s="3"/>
      <c r="P172" s="3"/>
      <c r="Q172" s="3">
        <v>7.8230000000000004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103</v>
      </c>
    </row>
    <row r="173" spans="1:39" x14ac:dyDescent="0.25">
      <c r="A173" s="3">
        <v>12</v>
      </c>
      <c r="B173" s="3" t="s">
        <v>134</v>
      </c>
      <c r="C173" s="3" t="s">
        <v>132</v>
      </c>
      <c r="D173" s="3"/>
      <c r="E173" s="3" t="s">
        <v>132</v>
      </c>
      <c r="F173" s="3"/>
      <c r="G173" s="3"/>
      <c r="H173" s="3"/>
      <c r="I173" s="3"/>
      <c r="J173" s="3"/>
      <c r="K173" s="3"/>
      <c r="L173" s="3" t="s">
        <v>135</v>
      </c>
      <c r="M173" s="3">
        <v>40</v>
      </c>
      <c r="N173" s="3" t="s">
        <v>104</v>
      </c>
      <c r="O173" s="3"/>
      <c r="P173" s="3"/>
      <c r="Q173" s="3">
        <v>48.113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104</v>
      </c>
    </row>
    <row r="174" spans="1:39" x14ac:dyDescent="0.25">
      <c r="A174" s="3">
        <v>12</v>
      </c>
      <c r="B174" s="3" t="s">
        <v>134</v>
      </c>
      <c r="C174" s="3" t="s">
        <v>132</v>
      </c>
      <c r="D174" s="3"/>
      <c r="E174" s="3" t="s">
        <v>132</v>
      </c>
      <c r="F174" s="3"/>
      <c r="G174" s="3"/>
      <c r="H174" s="3"/>
      <c r="I174" s="3"/>
      <c r="J174" s="3"/>
      <c r="K174" s="3"/>
      <c r="L174" s="3" t="s">
        <v>135</v>
      </c>
      <c r="M174" s="3">
        <v>50</v>
      </c>
      <c r="N174" s="3" t="s">
        <v>91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91</v>
      </c>
    </row>
    <row r="175" spans="1:39" x14ac:dyDescent="0.25">
      <c r="A175" s="3">
        <v>12</v>
      </c>
      <c r="B175" s="3" t="s">
        <v>134</v>
      </c>
      <c r="C175" s="3" t="s">
        <v>132</v>
      </c>
      <c r="D175" s="3"/>
      <c r="E175" s="3" t="s">
        <v>132</v>
      </c>
      <c r="F175" s="3"/>
      <c r="G175" s="3"/>
      <c r="H175" s="3"/>
      <c r="I175" s="3"/>
      <c r="J175" s="3"/>
      <c r="K175" s="3"/>
      <c r="L175" s="3" t="s">
        <v>135</v>
      </c>
      <c r="M175" s="3">
        <v>60</v>
      </c>
      <c r="N175" s="3" t="s">
        <v>105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105</v>
      </c>
    </row>
    <row r="176" spans="1:39" x14ac:dyDescent="0.25">
      <c r="A176" s="3">
        <v>12</v>
      </c>
      <c r="B176" s="3" t="s">
        <v>134</v>
      </c>
      <c r="C176" s="3" t="s">
        <v>132</v>
      </c>
      <c r="D176" s="3"/>
      <c r="E176" s="3" t="s">
        <v>132</v>
      </c>
      <c r="F176" s="3"/>
      <c r="G176" s="3"/>
      <c r="H176" s="3"/>
      <c r="I176" s="3"/>
      <c r="J176" s="3"/>
      <c r="K176" s="3"/>
      <c r="L176" s="3" t="s">
        <v>135</v>
      </c>
      <c r="M176" s="3">
        <v>70</v>
      </c>
      <c r="N176" s="3" t="s">
        <v>19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19</v>
      </c>
    </row>
    <row r="177" spans="1:39" x14ac:dyDescent="0.25">
      <c r="A177" s="3">
        <v>12</v>
      </c>
      <c r="B177" s="3" t="s">
        <v>134</v>
      </c>
      <c r="C177" s="3" t="s">
        <v>132</v>
      </c>
      <c r="D177" s="3"/>
      <c r="E177" s="3" t="s">
        <v>132</v>
      </c>
      <c r="F177" s="3"/>
      <c r="G177" s="3"/>
      <c r="H177" s="3"/>
      <c r="I177" s="3"/>
      <c r="J177" s="3"/>
      <c r="K177" s="3"/>
      <c r="L177" s="3" t="s">
        <v>135</v>
      </c>
      <c r="M177" s="3">
        <v>80</v>
      </c>
      <c r="N177" s="3" t="s">
        <v>20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20</v>
      </c>
    </row>
    <row r="178" spans="1:39" x14ac:dyDescent="0.25">
      <c r="A178" s="3">
        <v>12</v>
      </c>
      <c r="B178" s="3" t="s">
        <v>134</v>
      </c>
      <c r="C178" s="3" t="s">
        <v>132</v>
      </c>
      <c r="D178" s="3"/>
      <c r="E178" s="3" t="s">
        <v>132</v>
      </c>
      <c r="F178" s="3"/>
      <c r="G178" s="3"/>
      <c r="H178" s="3"/>
      <c r="I178" s="3"/>
      <c r="J178" s="3"/>
      <c r="K178" s="3"/>
      <c r="L178" s="3" t="s">
        <v>135</v>
      </c>
      <c r="M178" s="3">
        <v>90</v>
      </c>
      <c r="N178" s="3" t="s">
        <v>94</v>
      </c>
      <c r="O178" s="3"/>
      <c r="P178" s="3"/>
      <c r="Q178" s="3">
        <v>0.59299999999999997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94</v>
      </c>
    </row>
    <row r="179" spans="1:39" x14ac:dyDescent="0.25">
      <c r="A179" s="3">
        <v>12</v>
      </c>
      <c r="B179" s="3" t="s">
        <v>134</v>
      </c>
      <c r="C179" s="3" t="s">
        <v>132</v>
      </c>
      <c r="D179" s="3"/>
      <c r="E179" s="3" t="s">
        <v>132</v>
      </c>
      <c r="F179" s="3"/>
      <c r="G179" s="3"/>
      <c r="H179" s="3"/>
      <c r="I179" s="3"/>
      <c r="J179" s="3"/>
      <c r="K179" s="3"/>
      <c r="L179" s="3" t="s">
        <v>135</v>
      </c>
      <c r="M179" s="3">
        <v>100</v>
      </c>
      <c r="N179" s="3" t="s">
        <v>133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133</v>
      </c>
    </row>
    <row r="180" spans="1:39" x14ac:dyDescent="0.25">
      <c r="A180" s="3">
        <v>12</v>
      </c>
      <c r="B180" s="3" t="s">
        <v>134</v>
      </c>
      <c r="C180" s="3" t="s">
        <v>132</v>
      </c>
      <c r="D180" s="3"/>
      <c r="E180" s="3" t="s">
        <v>132</v>
      </c>
      <c r="F180" s="3"/>
      <c r="G180" s="3"/>
      <c r="H180" s="3"/>
      <c r="I180" s="3"/>
      <c r="J180" s="3"/>
      <c r="K180" s="3"/>
      <c r="L180" s="3" t="s">
        <v>135</v>
      </c>
      <c r="M180" s="3">
        <v>110</v>
      </c>
      <c r="N180" s="3" t="s">
        <v>95</v>
      </c>
      <c r="O180" s="3"/>
      <c r="P180" s="3"/>
      <c r="Q180" s="3">
        <v>215.494</v>
      </c>
      <c r="R180" s="3" t="s">
        <v>14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95</v>
      </c>
    </row>
    <row r="181" spans="1:39" x14ac:dyDescent="0.25">
      <c r="A181" s="3">
        <v>12</v>
      </c>
      <c r="B181" s="3" t="s">
        <v>134</v>
      </c>
      <c r="C181" s="3" t="s">
        <v>132</v>
      </c>
      <c r="D181" s="3"/>
      <c r="E181" s="3" t="s">
        <v>132</v>
      </c>
      <c r="F181" s="3"/>
      <c r="G181" s="3"/>
      <c r="H181" s="3"/>
      <c r="I181" s="3"/>
      <c r="J181" s="3"/>
      <c r="K181" s="3"/>
      <c r="L181" s="3" t="s">
        <v>135</v>
      </c>
      <c r="M181" s="3">
        <v>120</v>
      </c>
      <c r="N181" s="3" t="s">
        <v>98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98</v>
      </c>
    </row>
    <row r="182" spans="1:39" x14ac:dyDescent="0.25">
      <c r="A182" s="3">
        <v>12</v>
      </c>
      <c r="B182" s="3" t="s">
        <v>134</v>
      </c>
      <c r="C182" s="3" t="s">
        <v>132</v>
      </c>
      <c r="D182" s="3"/>
      <c r="E182" s="3" t="s">
        <v>132</v>
      </c>
      <c r="F182" s="3"/>
      <c r="G182" s="3"/>
      <c r="H182" s="3"/>
      <c r="I182" s="3"/>
      <c r="J182" s="3"/>
      <c r="K182" s="3"/>
      <c r="L182" s="3" t="s">
        <v>135</v>
      </c>
      <c r="M182" s="3">
        <v>130</v>
      </c>
      <c r="N182" s="3" t="s">
        <v>97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97</v>
      </c>
    </row>
    <row r="183" spans="1:39" x14ac:dyDescent="0.25">
      <c r="A183" s="3">
        <v>12</v>
      </c>
      <c r="B183" s="3" t="s">
        <v>134</v>
      </c>
      <c r="C183" s="3" t="s">
        <v>132</v>
      </c>
      <c r="D183" s="3"/>
      <c r="E183" s="3" t="s">
        <v>132</v>
      </c>
      <c r="F183" s="3"/>
      <c r="G183" s="3"/>
      <c r="H183" s="3"/>
      <c r="I183" s="3"/>
      <c r="J183" s="3"/>
      <c r="K183" s="3"/>
      <c r="L183" s="3" t="s">
        <v>135</v>
      </c>
      <c r="M183" s="3">
        <v>140</v>
      </c>
      <c r="N183" s="3" t="s">
        <v>100</v>
      </c>
      <c r="O183" s="3"/>
      <c r="P183" s="3"/>
      <c r="Q183" s="3">
        <v>20</v>
      </c>
      <c r="R183" s="3" t="s">
        <v>14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100</v>
      </c>
    </row>
    <row r="184" spans="1:39" x14ac:dyDescent="0.25">
      <c r="A184" s="3">
        <v>12</v>
      </c>
      <c r="B184" s="3" t="s">
        <v>134</v>
      </c>
      <c r="C184" s="3" t="s">
        <v>132</v>
      </c>
      <c r="D184" s="3"/>
      <c r="E184" s="3" t="s">
        <v>132</v>
      </c>
      <c r="F184" s="3"/>
      <c r="G184" s="3"/>
      <c r="H184" s="3"/>
      <c r="I184" s="3"/>
      <c r="J184" s="3"/>
      <c r="K184" s="3"/>
      <c r="L184" s="3" t="s">
        <v>135</v>
      </c>
      <c r="M184" s="3">
        <v>150</v>
      </c>
      <c r="N184" s="3" t="s">
        <v>110</v>
      </c>
      <c r="O184" s="3"/>
      <c r="P184" s="3"/>
      <c r="Q184" s="3">
        <v>0.8</v>
      </c>
      <c r="R184" s="3" t="s">
        <v>12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110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2025-12-02T06:56:29Z</dcterms:modified>
</cp:coreProperties>
</file>