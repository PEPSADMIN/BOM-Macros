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E3" i="13" l="1"/>
  <c r="G17" i="13" l="1"/>
  <c r="G11" i="13" l="1"/>
  <c r="H17" i="13" l="1"/>
  <c r="D17" i="13"/>
  <c r="E16" i="13" l="1"/>
  <c r="E7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2" i="13"/>
  <c r="G4" i="13" l="1"/>
  <c r="G3" i="13" l="1"/>
  <c r="G5" i="13" l="1"/>
  <c r="H16" i="13" l="1"/>
  <c r="G15" i="13"/>
  <c r="H15" i="13" s="1"/>
  <c r="H14" i="13"/>
  <c r="H13" i="13"/>
  <c r="H12" i="13"/>
  <c r="H11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<sst xmlns="http://schemas.openxmlformats.org/spreadsheetml/2006/main" count="13639" uniqueCount="531">
  <si>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</si>
  <si>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</si>
  <si>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</si>
  <si>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</si>
  <si>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</si>
  <si>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</si>
  <si>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</si>
  <si>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</si>
  <si>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</si>
  <si>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</si>
  <si>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</si>
  <si>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</si>
  <si>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</si>
  <si>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</si>
  <si>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</si>
  <si>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</si>
  <si>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</si>
  <si>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</si>
  <si>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</si>
  <si>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</si>
  <si>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</si>
  <si>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</si>
  <si>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</si>
  <si>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</si>
  <si>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</si>
  <si>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</si>
  <si>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</si>
  <si>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</si>
  <si>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</si>
  <si>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</si>
  <si>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</si>
  <si>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</si>
  <si>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</si>
  <si>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</si>
  <si>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</si>
  <si>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</si>
  <si>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</si>
  <si>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</si>
  <si>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</si>
  <si>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</si>
  <si>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</si>
  <si>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</si>
  <si>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</si>
  <si>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</si>
  <si>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</si>
  <si>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</si>
  <si>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</si>
  <si>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</si>
  <si>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</si>
  <si>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</si>
  <si>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</si>
  <si>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</si>
  <si>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</si>
  <si>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</si>
  <si>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</si>
  <si>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</si>
  <si>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</si>
  <si>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</si>
  <si>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</si>
  <si>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</si>
  <si>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</si>
  <si>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</si>
  <si>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</si>
  <si>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</si>
  <si>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</si>
  <si>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</si>
  <si>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</si>
  <si>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</si>
  <si>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</si>
  <si>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</si>
  <si>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</si>
  <si>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</si>
  <si>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</si>
  <si>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</si>
  <si>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</si>
  <si>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</si>
  <si>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</si>
  <si>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</si>
  <si>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</si>
  <si>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</si>
  <si>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</si>
  <si>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</si>
  <si>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</si>
  <si>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</si>
  <si>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</si>
  <si>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</si>
  <si>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</si>
  <si>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</si>
  <si>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</si>
  <si>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</si>
  <si>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</si>
  <si>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</si>
  <si>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</si>
  <si>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</si>
  <si>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</si>
  <si>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</si>
  <si>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</si>
  <si>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</si>
  <si>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</si>
  <si>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</si>
  <si>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</si>
  <si>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</si>
  <si>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</si>
  <si>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</si>
  <si>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</si>
  <si>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</si>
  <si>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</si>
  <si>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</si>
  <si>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</si>
  <si>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</si>
  <si>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</si>
  <si>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</si>
  <si>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</si>
  <si>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</si>
  <si>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</si>
  <si>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</si>
  <si>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</si>
  <si>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</si>
  <si>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</si>
  <si>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</si>
  <si>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</si>
  <si>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</si>
  <si>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</si>
  <si>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</si>
  <si>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</si>
  <si>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</si>
  <si>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</si>
  <si>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</si>
  <si>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</si>
  <si>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</si>
  <si>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</si>
  <si>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</si>
  <si>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</si>
  <si>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</si>
  <si>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</si>
  <si>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</si>
  <si>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</si>
  <si>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</si>
  <si>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</si>
  <si>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</si>
  <si>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</si>
  <si>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</si>
  <si>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</si>
  <si>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</si>
  <si>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</si>
  <si>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</si>
  <si>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</si>
  <si>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</si>
  <si>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</si>
  <si>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</si>
  <si>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</si>
  <si>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</si>
  <si>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</si>
  <si>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</si>
  <si>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</si>
  <si>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</si>
  <si>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</si>
  <si>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</si>
  <si>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</si>
  <si>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</si>
  <si>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</si>
  <si>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</si>
  <si>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</si>
  <si>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</si>
  <si>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</si>
  <si>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</si>
  <si>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</si>
  <si>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</si>
  <si>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</si>
  <si>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</si>
  <si>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</si>
  <si>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</si>
  <si>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</si>
  <si>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</si>
  <si>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</si>
  <si>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</si>
  <si>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</si>
  <si>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</si>
  <si>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</si>
  <si>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</si>
  <si>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</si>
  <si>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</si>
  <si>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</si>
  <si>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</si>
  <si>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</si>
  <si>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</si>
  <si>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</si>
  <si>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</si>
  <si>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</si>
  <si>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</si>
  <si>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</si>
  <si>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</si>
  <si>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</si>
  <si>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</si>
  <si>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</si>
  <si>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</si>
  <si>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</si>
  <si>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</si>
  <si>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</si>
  <si>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</si>
  <si>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</si>
  <si>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</si>
  <si>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</si>
  <si>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</si>
  <si>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</si>
  <si>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</si>
  <si>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</si>
  <si>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</si>
  <si>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</si>
  <si>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</si>
  <si>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</si>
  <si>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</si>
  <si>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</si>
  <si>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</si>
  <si>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</si>
  <si>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</si>
  <si>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</si>
  <si>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</si>
  <si>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</si>
  <si>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</si>
  <si>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</si>
  <si>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</si>
  <si>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</si>
  <si>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</si>
  <si>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</si>
  <si>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</si>
  <si>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</si>
  <si>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</si>
  <si>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</si>
  <si>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</si>
  <si>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</si>
  <si>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</si>
  <si>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</si>
  <si>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</si>
  <si>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</si>
  <si>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</si>
  <si>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</si>
  <si>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</si>
  <si>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</si>
  <si>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</si>
  <si>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</si>
  <si>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</si>
  <si>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</si>
  <si>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</si>
  <si>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</si>
  <si>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</si>
  <si>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</si>
  <si>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</si>
  <si>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</si>
  <si>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</si>
  <si>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</si>
  <si>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</si>
  <si>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</si>
  <si>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</si>
  <si>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</si>
  <si>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</si>
  <si>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</si>
  <si>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</si>
  <si>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</si>
  <si>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</si>
  <si>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</si>
  <si>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</si>
  <si>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</si>
  <si>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</si>
  <si>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</si>
  <si>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</si>
  <si>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</si>
  <si>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</si>
  <si>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</si>
  <si>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</si>
  <si>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</si>
  <si>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</si>
  <si>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</si>
  <si>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</si>
  <si>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</si>
  <si>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</si>
  <si>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</si>
  <si>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</si>
  <si>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</si>
  <si>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</si>
  <si>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</si>
  <si>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</si>
  <si>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</si>
  <si>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</si>
  <si>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</si>
  <si>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</si>
  <si>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</si>
  <si>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</si>
  <si>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</si>
  <si>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</si>
  <si>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</si>
  <si>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</si>
  <si>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</si>
  <si>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</si>
  <si>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</si>
  <si>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</si>
  <si>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</si>
  <si>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</si>
  <si>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</si>
  <si>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</si>
  <si>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</si>
  <si>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</si>
  <si>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</si>
  <si>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</si>
  <si>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</si>
  <si>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</si>
  <si>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</si>
  <si>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</si>
  <si>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</si>
  <si>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</si>
  <si>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</si>
  <si>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</si>
  <si>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</si>
  <si>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</si>
  <si>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</si>
  <si>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</si>
  <si>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</si>
  <si>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</si>
  <si>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</si>
  <si>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</si>
  <si>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</si>
  <si>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</si>
  <si>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</si>
  <si>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</si>
  <si>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</si>
  <si>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</si>
  <si>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</si>
  <si>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</si>
  <si>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</si>
  <si>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</si>
  <si>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</si>
  <si>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</si>
  <si>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</si>
  <si>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</si>
  <si>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</si>
  <si>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</si>
  <si>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</si>
  <si>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</si>
  <si>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</si>
  <si>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</si>
  <si>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</si>
  <si>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</si>
  <si>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</si>
  <si>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</si>
  <si>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</si>
  <si>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</si>
  <si>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</si>
  <si>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</si>
  <si>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</si>
  <si>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</si>
  <si>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</si>
  <si>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</si>
  <si>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</si>
  <si>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</si>
  <si>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</si>
  <si>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</si>
  <si>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</si>
  <si>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</si>
  <si>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</si>
  <si>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</si>
  <si>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</si>
  <si>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</si>
  <si>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</si>
  <si>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</si>
  <si>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</si>
  <si>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</si>
  <si>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</si>
  <si>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</si>
  <si>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</si>
  <si>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</si>
  <si>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</si>
  <si>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</si>
  <si>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</si>
  <si>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</si>
  <si>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</si>
  <si>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</si>
  <si>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</si>
  <si>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</si>
  <si>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</si>
  <si>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</si>
  <si>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</si>
  <si>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</si>
  <si>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</si>
  <si>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</si>
  <si>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</si>
  <si>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</si>
  <si>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</si>
  <si>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</si>
  <si>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</si>
  <si>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</si>
  <si>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</si>
  <si>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</si>
  <si>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</si>
  <si>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</si>
  <si>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</si>
  <si>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</si>
  <si>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</si>
  <si>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</si>
  <si>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</si>
  <si>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</si>
  <si>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</si>
  <si>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</si>
  <si>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</si>
  <si>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</si>
  <si>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</si>
  <si>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</si>
  <si>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</si>
  <si>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</si>
  <si>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</si>
  <si>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</si>
  <si>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</si>
  <si>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</si>
  <si>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</si>
  <si>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</si>
  <si>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</si>
  <si>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</si>
  <si>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</si>
  <si>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</si>
  <si>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</si>
  <si>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</si>
  <si>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</si>
  <si>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</si>
  <si>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</si>
  <si>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</si>
  <si>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</si>
  <si>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</si>
  <si>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</si>
  <si>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</si>
  <si>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</si>
  <si>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</si>
  <si>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</si>
  <si>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</si>
  <si>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</si>
  <si>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</si>
  <si>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</si>
  <si>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</si>
  <si>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</si>
  <si>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</si>
  <si>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</si>
  <si>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</si>
  <si>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</si>
  <si>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</si>
  <si>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</si>
  <si>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</si>
  <si>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</si>
  <si>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</si>
  <si>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</si>
  <si>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</si>
  <si>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</si>
  <si>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</si>
  <si>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</si>
  <si>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</si>
  <si>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</si>
  <si>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</si>
  <si>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</si>
  <si>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</si>
  <si>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</si>
  <si>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</si>
  <si>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</si>
  <si>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</si>
  <si>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</si>
  <si>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</si>
  <si>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</si>
  <si>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</si>
  <si>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</si>
  <si>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</si>
  <si>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</si>
  <si>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</si>
  <si>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</si>
  <si>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</si>
  <si>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</si>
  <si>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</si>
  <si>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</si>
  <si>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</si>
  <si>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</si>
  <si>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</si>
  <si>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</si>
  <si>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</si>
  <si>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</si>
  <si>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</si>
  <si>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</si>
  <si>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</si>
  <si>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</si>
  <si>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</si>
  <si>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</si>
  <si>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</si>
  <si>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</si>
  <si>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</si>
  <si>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</si>
  <si>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</si>
  <si>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</si>
  <si>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</si>
  <si>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</si>
  <si>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</si>
  <si>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</si>
  <si>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</si>
  <si>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</si>
  <si>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</si>
  <si>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</si>
  <si>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</si>
  <si>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</si>
  <si>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</si>
  <si>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</si>
  <si>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</si>
  <si>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</si>
  <si>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</si>
  <si>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</si>
  <si>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</si>
  <si>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</si>
  <si>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</si>
  <si>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</si>
  <si>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</si>
  <si>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</si>
  <si>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</si>
  <si>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</si>
  <si>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</si>
  <si>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</si>
  <si>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</si>
  <si>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</si>
  <si>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</si>
  <si>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</si>
  <si>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</si>
  <si>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</si>
  <si>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</si>
  <si>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DB</t>
  </si>
  <si>
    <t>RML-CB-ZENIMO</t>
  </si>
  <si>
    <t>RML-EDTAPE-BLUE</t>
  </si>
  <si>
    <t>RM-THRD-TKT40-BLACK</t>
  </si>
  <si>
    <t>SFG-ZENDB-NL-BP</t>
  </si>
  <si>
    <t>RML-CS-ZENIMO-6.5</t>
  </si>
  <si>
    <t>SFG-ZENDB-NL6-QUILT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</si>
</sst>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3.85546875" style="1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"PEPSZENPKNLDB"&amp;$K$2&amp;"X"&amp;$L$2&amp;"X06"</f>
        <v>PEPSZENPKNLDB75X60X06</v>
      </c>
      <c r="E2" s="1" t="str">
        <f>"OERTCPK75MMBOXSR"&amp;(K2-0.5)&amp;"0"&amp;"X"&amp;(L2-0.5)&amp;"0"&amp;IF(M2=6,"X110")</f>
        <v>OERTCPK75MMBOXSR74.50X59.50X110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60</v>
      </c>
      <c r="M2" s="26">
        <v>6</v>
      </c>
      <c r="N2" s="6" t="s">
        <v>524</v>
      </c>
      <c r="P2" s="4">
        <v>6</v>
      </c>
      <c r="R2" s="24" t="s">
        <v>94</v>
      </c>
      <c r="S2" s="24" t="s">
        <v>95</v>
      </c>
      <c r="T2" s="24">
        <v>6</v>
      </c>
      <c r="U2" s="25" t="s">
        <v>524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7" si="1">"PEPSZENPKNLDB"&amp;$K$2&amp;"X"&amp;$L$2&amp;"X06"</f>
        <v>PEPSZENPKNLDB75X60X06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RMI-HCTNF-74.50X59.50.</v>
      </c>
      <c r="F3" s="32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4.003766186</v>
      </c>
      <c r="H3" s="10">
        <f t="shared" si="0"/>
        <v>4.0039999999999996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6</v>
      </c>
      <c r="U3" s="25" t="s">
        <v>524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PEPSZENPKNLDB75X60X06</v>
      </c>
      <c r="E4" s="37" t="s">
        <v>110</v>
      </c>
      <c r="F4" s="28" t="s">
        <v>111</v>
      </c>
      <c r="G4" s="45">
        <f>((K2-1)*(L2-1)/144)*0.00729*3</f>
        <v>0.66308624999999988</v>
      </c>
      <c r="H4" s="10">
        <f t="shared" ref="H4:H7" si="2">ROUND(G4,3)</f>
        <v>0.66300000000000003</v>
      </c>
      <c r="I4" s="32" t="s">
        <v>15</v>
      </c>
      <c r="J4" s="8"/>
      <c r="O4" s="13"/>
      <c r="R4" s="24" t="s">
        <v>94</v>
      </c>
      <c r="S4" s="24" t="s">
        <v>97</v>
      </c>
      <c r="T4" s="24">
        <v>6</v>
      </c>
      <c r="U4" s="25" t="s">
        <v>524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PEPSZENPKNLDB75X60X06</v>
      </c>
      <c r="E5" s="40" t="s">
        <v>530</v>
      </c>
      <c r="F5" s="28" t="s">
        <v>11</v>
      </c>
      <c r="G5" s="46">
        <f>IF(K2&lt;=78,(L2+1),(K2+1))*0.0254</f>
        <v>1.5493999999999999</v>
      </c>
      <c r="H5" s="10">
        <f t="shared" si="2"/>
        <v>1.5489999999999999</v>
      </c>
      <c r="I5" s="32" t="s">
        <v>15</v>
      </c>
      <c r="J5" s="8"/>
      <c r="O5" s="13"/>
      <c r="R5" s="24" t="s">
        <v>94</v>
      </c>
      <c r="S5" s="24" t="s">
        <v>98</v>
      </c>
      <c r="T5" s="24">
        <v>6</v>
      </c>
      <c r="U5" s="25" t="s">
        <v>524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PEPSZENPKNLDB75X60X06</v>
      </c>
      <c r="E6" s="40" t="s">
        <v>528</v>
      </c>
      <c r="F6" s="32" t="s">
        <v>17</v>
      </c>
      <c r="G6" s="46">
        <f>IF(K2&lt;=78,(L2+1),(K2+1))*0.0254</f>
        <v>1.5493999999999999</v>
      </c>
      <c r="H6" s="10">
        <f t="shared" si="2"/>
        <v>1.5489999999999999</v>
      </c>
      <c r="I6" s="33" t="s">
        <v>18</v>
      </c>
      <c r="J6" s="8"/>
      <c r="R6" s="24" t="s">
        <v>94</v>
      </c>
      <c r="S6" s="24" t="s">
        <v>99</v>
      </c>
      <c r="T6" s="24">
        <v>6</v>
      </c>
      <c r="U6" s="25" t="s">
        <v>524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PEPSZENPKNLDB75X60X06</v>
      </c>
      <c r="E7" s="54" t="str">
        <f>"SFG-ZENNLDB-BOR-"&amp;K2&amp;"X"&amp;L2&amp;"X06"</f>
        <v>SFG-ZENNLDB-BOR-75X60X06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6</v>
      </c>
      <c r="U7" s="25" t="s">
        <v>524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PEPSZENPKNLDB75X60X06</v>
      </c>
      <c r="E8" s="53" t="s">
        <v>526</v>
      </c>
      <c r="F8" s="32" t="s">
        <v>17</v>
      </c>
      <c r="G8" s="47">
        <f>(K2+L2+4)*2*0.0254*2</f>
        <v>14.122399999999999</v>
      </c>
      <c r="H8" s="10">
        <f t="shared" ref="H8:H17" si="3">ROUND(G8,3)</f>
        <v>14.122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6</v>
      </c>
      <c r="U8" s="25" t="s">
        <v>524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PEPSZENPKNLDB75X60X06</v>
      </c>
      <c r="E9" s="53" t="s">
        <v>527</v>
      </c>
      <c r="F9" s="32" t="s">
        <v>17</v>
      </c>
      <c r="G9" s="47">
        <f>(K2+L2+4)*2*0.0254*(4.73+1.42)*2</f>
        <v>86.852760000000004</v>
      </c>
      <c r="H9" s="10">
        <f t="shared" si="3"/>
        <v>86.852999999999994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6</v>
      </c>
      <c r="U9" s="25" t="s">
        <v>524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PEPSZENPKNLDB75X60X06</v>
      </c>
      <c r="E10" s="38" t="s">
        <v>24</v>
      </c>
      <c r="F10" s="32" t="s">
        <v>11</v>
      </c>
      <c r="G10" s="47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6</v>
      </c>
      <c r="U10" s="25" t="s">
        <v>524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PEPSZENPKNLDB75X60X06</v>
      </c>
      <c r="E11" s="53" t="s">
        <v>525</v>
      </c>
      <c r="F11" s="32" t="s">
        <v>14</v>
      </c>
      <c r="G11" s="47">
        <f>(L2+M2+6)*2*0.0254*0.041</f>
        <v>0.1499616</v>
      </c>
      <c r="H11" s="10">
        <f t="shared" si="3"/>
        <v>0.15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6</v>
      </c>
      <c r="U11" s="25" t="s">
        <v>524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PEPSZENPKNLDB75X60X06</v>
      </c>
      <c r="E12" s="53" t="s">
        <v>529</v>
      </c>
      <c r="F12" s="32" t="s">
        <v>11</v>
      </c>
      <c r="G12" s="47">
        <v>4</v>
      </c>
      <c r="H12" s="10">
        <f t="shared" si="3"/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6</v>
      </c>
      <c r="U12" s="25" t="s">
        <v>524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PEPSZENPKNLDB75X60X06</v>
      </c>
      <c r="E13" s="34" t="s">
        <v>25</v>
      </c>
      <c r="F13" s="32" t="s">
        <v>11</v>
      </c>
      <c r="G13" s="47">
        <v>1</v>
      </c>
      <c r="H13" s="10">
        <f t="shared" si="3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6</v>
      </c>
      <c r="U13" s="25" t="s">
        <v>524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PEPSZENPKNLDB75X60X06</v>
      </c>
      <c r="E14" s="34" t="s">
        <v>26</v>
      </c>
      <c r="F14" s="32" t="s">
        <v>11</v>
      </c>
      <c r="G14" s="47">
        <v>1</v>
      </c>
      <c r="H14" s="10">
        <f t="shared" si="3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6</v>
      </c>
      <c r="U14" s="25" t="s">
        <v>524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PEPSZENPKNLDB75X60X06</v>
      </c>
      <c r="E15" s="29" t="s">
        <v>108</v>
      </c>
      <c r="F15" s="28" t="s">
        <v>14</v>
      </c>
      <c r="G15" s="45">
        <f>(IF(K2&gt;76,(K2*2)+(M2*2),(L2*2)+(M2*2))+4)*89.5*0.0254*0.0254*0.00009*1300</f>
        <v>0.9187878398399999</v>
      </c>
      <c r="H15" s="10">
        <f t="shared" si="3"/>
        <v>0.91900000000000004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6</v>
      </c>
      <c r="U15" s="25" t="s">
        <v>524</v>
      </c>
    </row>
    <row r="16" spans="1:21" x14ac:dyDescent="0.25">
      <c r="A16" s="30">
        <v>15</v>
      </c>
      <c r="B16" s="31" t="s">
        <v>107</v>
      </c>
      <c r="C16" s="29" t="s">
        <v>119</v>
      </c>
      <c r="D16" s="7" t="str">
        <f t="shared" si="1"/>
        <v>PEPSZENPKNLDB75X60X06</v>
      </c>
      <c r="E16" s="35" t="str">
        <f>"25D-HELIXA-FOAM-"&amp;(K2-0.5)&amp;"0"&amp;"X"&amp;(L2-0.5)&amp;"0"&amp;"X"&amp;"15MM"</f>
        <v>25D-HELIXA-FOAM-74.50X59.50X15MM</v>
      </c>
      <c r="F16" s="32" t="s">
        <v>11</v>
      </c>
      <c r="G16" s="47">
        <v>1</v>
      </c>
      <c r="H16" s="10">
        <f t="shared" si="3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6</v>
      </c>
      <c r="U16" s="25" t="s">
        <v>524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PEPSZENPKNLDB75X60X06</v>
      </c>
      <c r="E17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RML-VIR-HDPE-92X70</v>
      </c>
      <c r="F17" s="32" t="s">
        <v>14</v>
      </c>
      <c r="G17" s="55" t="str">
        <f>+IF(E17="RML-VIR-HDPE-92X46","0.5",IF(E17="RML-VIR-HDPE-92X56","0.6",IF(E17="RML-VIR-HDPE-92X70","0.6",IF(E17="RML-VIR-HDPE-92X82","0.8",IF(E17="RML-VIR-HDPE-100X100","1.1",0)))))</f>
        <v>0.6</v>
      </c>
      <c r="H17" s="56">
        <f t="shared" si="3"/>
        <v>0.6</v>
      </c>
      <c r="I17" s="33" t="s">
        <v>15</v>
      </c>
      <c r="J17" s="8"/>
      <c r="N17"/>
      <c r="O17"/>
      <c r="R17" s="24" t="s">
        <v>103</v>
      </c>
      <c r="S17" s="24" t="s">
        <v>102</v>
      </c>
      <c r="T17" s="24">
        <v>6</v>
      </c>
      <c r="U17" s="25" t="s">
        <v>524</v>
      </c>
    </row>
    <row r="18" spans="1:21" x14ac:dyDescent="0.25">
      <c r="J18" s="8"/>
      <c r="N18"/>
      <c r="O18"/>
      <c r="R18" s="24" t="s">
        <v>104</v>
      </c>
      <c r="S18" s="24" t="s">
        <v>95</v>
      </c>
      <c r="T18" s="24">
        <v>6</v>
      </c>
      <c r="U18" s="25" t="s">
        <v>524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6</v>
      </c>
      <c r="U19" s="25" t="s">
        <v>524</v>
      </c>
    </row>
    <row r="20" spans="1:21" x14ac:dyDescent="0.25">
      <c r="E20" s="39"/>
      <c r="J20" s="8"/>
      <c r="N20" s="23"/>
      <c r="O20"/>
      <c r="R20" s="24" t="s">
        <v>104</v>
      </c>
      <c r="S20" s="24" t="s">
        <v>97</v>
      </c>
      <c r="T20" s="24">
        <v>6</v>
      </c>
      <c r="U20" s="25" t="s">
        <v>524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6</v>
      </c>
      <c r="U21" s="25" t="s">
        <v>524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6</v>
      </c>
      <c r="U22" s="25" t="s">
        <v>524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6</v>
      </c>
      <c r="U23" s="25" t="s">
        <v>524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6</v>
      </c>
      <c r="U24" s="25" t="s">
        <v>524</v>
      </c>
    </row>
    <row r="25" spans="1:21" x14ac:dyDescent="0.25">
      <c r="N25"/>
      <c r="O25"/>
      <c r="R25" s="24" t="s">
        <v>104</v>
      </c>
      <c r="S25" s="24" t="s">
        <v>102</v>
      </c>
      <c r="T25" s="24">
        <v>6</v>
      </c>
      <c r="U25" s="25" t="s">
        <v>524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6</v>
      </c>
      <c r="U26" s="25" t="s">
        <v>524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6</v>
      </c>
      <c r="U27" s="25" t="s">
        <v>524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6</v>
      </c>
      <c r="U28" s="25" t="s">
        <v>524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6</v>
      </c>
      <c r="U29" s="25" t="s">
        <v>524</v>
      </c>
    </row>
    <row r="30" spans="1:21" x14ac:dyDescent="0.25">
      <c r="N30"/>
      <c r="O30"/>
      <c r="R30" s="24" t="s">
        <v>105</v>
      </c>
      <c r="S30" s="24" t="s">
        <v>99</v>
      </c>
      <c r="T30" s="24">
        <v>6</v>
      </c>
      <c r="U30" s="25" t="s">
        <v>524</v>
      </c>
    </row>
    <row r="31" spans="1:21" x14ac:dyDescent="0.25">
      <c r="N31"/>
      <c r="O31"/>
      <c r="R31" s="24" t="s">
        <v>105</v>
      </c>
      <c r="S31" s="24" t="s">
        <v>100</v>
      </c>
      <c r="T31" s="24">
        <v>6</v>
      </c>
      <c r="U31" s="25" t="s">
        <v>524</v>
      </c>
    </row>
    <row r="32" spans="1:21" x14ac:dyDescent="0.25">
      <c r="N32"/>
      <c r="O32"/>
      <c r="R32" s="24" t="s">
        <v>105</v>
      </c>
      <c r="S32" s="24" t="s">
        <v>101</v>
      </c>
      <c r="T32" s="24">
        <v>6</v>
      </c>
      <c r="U32" s="25" t="s">
        <v>524</v>
      </c>
    </row>
    <row r="33" spans="14:21" x14ac:dyDescent="0.25">
      <c r="N33"/>
      <c r="O33"/>
      <c r="R33" s="24" t="s">
        <v>105</v>
      </c>
      <c r="S33" s="24" t="s">
        <v>102</v>
      </c>
      <c r="T33" s="24">
        <v>6</v>
      </c>
      <c r="U33" s="25" t="s">
        <v>524</v>
      </c>
    </row>
    <row r="34" spans="14:21" x14ac:dyDescent="0.25">
      <c r="N34"/>
      <c r="O34"/>
      <c r="R34" s="24" t="s">
        <v>106</v>
      </c>
      <c r="S34" s="24" t="s">
        <v>95</v>
      </c>
      <c r="T34" s="24">
        <v>6</v>
      </c>
      <c r="U34" s="25" t="s">
        <v>524</v>
      </c>
    </row>
    <row r="35" spans="14:21" x14ac:dyDescent="0.25">
      <c r="N35"/>
      <c r="O35"/>
      <c r="R35" s="24" t="s">
        <v>106</v>
      </c>
      <c r="S35" s="24" t="s">
        <v>96</v>
      </c>
      <c r="T35" s="24">
        <v>6</v>
      </c>
      <c r="U35" s="25" t="s">
        <v>524</v>
      </c>
    </row>
    <row r="36" spans="14:21" x14ac:dyDescent="0.25">
      <c r="N36"/>
      <c r="O36"/>
      <c r="R36" s="24" t="s">
        <v>106</v>
      </c>
      <c r="S36" s="24" t="s">
        <v>97</v>
      </c>
      <c r="T36" s="24">
        <v>6</v>
      </c>
      <c r="U36" s="25" t="s">
        <v>524</v>
      </c>
    </row>
    <row r="37" spans="14:21" x14ac:dyDescent="0.25">
      <c r="N37"/>
      <c r="O37"/>
      <c r="R37" s="24" t="s">
        <v>106</v>
      </c>
      <c r="S37" s="24" t="s">
        <v>98</v>
      </c>
      <c r="T37" s="24">
        <v>6</v>
      </c>
      <c r="U37" s="25" t="s">
        <v>524</v>
      </c>
    </row>
    <row r="38" spans="14:21" x14ac:dyDescent="0.25">
      <c r="N38"/>
      <c r="O38"/>
      <c r="R38" s="24" t="s">
        <v>106</v>
      </c>
      <c r="S38" s="24" t="s">
        <v>99</v>
      </c>
      <c r="T38" s="24">
        <v>6</v>
      </c>
      <c r="U38" s="25" t="s">
        <v>524</v>
      </c>
    </row>
    <row r="39" spans="14:21" x14ac:dyDescent="0.25">
      <c r="N39"/>
      <c r="O39"/>
      <c r="R39" s="24" t="s">
        <v>106</v>
      </c>
      <c r="S39" s="24" t="s">
        <v>100</v>
      </c>
      <c r="T39" s="24">
        <v>6</v>
      </c>
      <c r="U39" s="25" t="s">
        <v>524</v>
      </c>
    </row>
    <row r="40" spans="14:21" x14ac:dyDescent="0.25">
      <c r="N40"/>
      <c r="O40"/>
      <c r="R40" s="24" t="s">
        <v>106</v>
      </c>
      <c r="S40" s="24" t="s">
        <v>101</v>
      </c>
      <c r="T40" s="24">
        <v>6</v>
      </c>
      <c r="U40" s="25" t="s">
        <v>524</v>
      </c>
    </row>
    <row r="41" spans="14:21" x14ac:dyDescent="0.25">
      <c r="N41"/>
      <c r="O41"/>
      <c r="R41" s="24" t="s">
        <v>106</v>
      </c>
      <c r="S41" s="24" t="s">
        <v>102</v>
      </c>
      <c r="T41" s="24">
        <v>6</v>
      </c>
      <c r="U41" s="25" t="s">
        <v>524</v>
      </c>
    </row>
    <row r="42" spans="14:21" x14ac:dyDescent="0.25">
      <c r="N42"/>
      <c r="O42"/>
      <c r="R42" s="25" t="s">
        <v>94</v>
      </c>
      <c r="S42" s="25" t="s">
        <v>201</v>
      </c>
      <c r="T42" s="24">
        <v>6</v>
      </c>
      <c r="U42" s="25" t="s">
        <v>524</v>
      </c>
    </row>
    <row r="43" spans="14:21" x14ac:dyDescent="0.25">
      <c r="N43"/>
      <c r="O43"/>
      <c r="R43" s="52" t="s">
        <v>94</v>
      </c>
      <c r="S43" s="52" t="s">
        <v>202</v>
      </c>
      <c r="T43" s="24">
        <v>6</v>
      </c>
      <c r="U43" s="25" t="s">
        <v>524</v>
      </c>
    </row>
    <row r="44" spans="14:21" x14ac:dyDescent="0.25">
      <c r="N44"/>
      <c r="O44"/>
      <c r="R44" s="25" t="s">
        <v>94</v>
      </c>
      <c r="S44" s="25" t="s">
        <v>203</v>
      </c>
      <c r="T44" s="24">
        <v>6</v>
      </c>
      <c r="U44" s="25" t="s">
        <v>524</v>
      </c>
    </row>
    <row r="45" spans="14:21" x14ac:dyDescent="0.25">
      <c r="N45"/>
      <c r="O45"/>
      <c r="R45" s="25" t="s">
        <v>94</v>
      </c>
      <c r="S45" s="25" t="s">
        <v>204</v>
      </c>
      <c r="T45" s="24">
        <v>6</v>
      </c>
      <c r="U45" s="25" t="s">
        <v>524</v>
      </c>
    </row>
    <row r="46" spans="14:21" x14ac:dyDescent="0.25">
      <c r="N46"/>
      <c r="O46"/>
      <c r="R46" s="25" t="s">
        <v>94</v>
      </c>
      <c r="S46" s="25" t="s">
        <v>205</v>
      </c>
      <c r="T46" s="24">
        <v>6</v>
      </c>
      <c r="U46" s="25" t="s">
        <v>524</v>
      </c>
    </row>
    <row r="47" spans="14:21" x14ac:dyDescent="0.25">
      <c r="N47"/>
      <c r="O47"/>
      <c r="R47" s="25" t="s">
        <v>94</v>
      </c>
      <c r="S47" s="25" t="s">
        <v>206</v>
      </c>
      <c r="T47" s="24">
        <v>6</v>
      </c>
      <c r="U47" s="25" t="s">
        <v>524</v>
      </c>
    </row>
    <row r="48" spans="14:21" x14ac:dyDescent="0.25">
      <c r="N48"/>
      <c r="O48"/>
      <c r="R48" s="25" t="s">
        <v>94</v>
      </c>
      <c r="S48" s="25" t="s">
        <v>94</v>
      </c>
      <c r="T48" s="24">
        <v>6</v>
      </c>
      <c r="U48" s="25" t="s">
        <v>524</v>
      </c>
    </row>
    <row r="49" spans="14:21" x14ac:dyDescent="0.25">
      <c r="N49"/>
      <c r="O49"/>
      <c r="R49" s="25" t="s">
        <v>103</v>
      </c>
      <c r="S49" s="25" t="s">
        <v>201</v>
      </c>
      <c r="T49" s="24">
        <v>6</v>
      </c>
      <c r="U49" s="25" t="s">
        <v>524</v>
      </c>
    </row>
    <row r="50" spans="14:21" x14ac:dyDescent="0.25">
      <c r="R50" s="25" t="s">
        <v>103</v>
      </c>
      <c r="S50" s="25" t="s">
        <v>202</v>
      </c>
      <c r="T50" s="24">
        <v>6</v>
      </c>
      <c r="U50" s="25" t="s">
        <v>524</v>
      </c>
    </row>
    <row r="51" spans="14:21" x14ac:dyDescent="0.25">
      <c r="R51" s="25" t="s">
        <v>103</v>
      </c>
      <c r="S51" s="25" t="s">
        <v>203</v>
      </c>
      <c r="T51" s="24">
        <v>6</v>
      </c>
      <c r="U51" s="25" t="s">
        <v>524</v>
      </c>
    </row>
    <row r="52" spans="14:21" x14ac:dyDescent="0.25">
      <c r="R52" s="25" t="s">
        <v>103</v>
      </c>
      <c r="S52" s="25" t="s">
        <v>204</v>
      </c>
      <c r="T52" s="24">
        <v>6</v>
      </c>
      <c r="U52" s="25" t="s">
        <v>524</v>
      </c>
    </row>
    <row r="53" spans="14:21" x14ac:dyDescent="0.25">
      <c r="R53" s="25" t="s">
        <v>103</v>
      </c>
      <c r="S53" s="25" t="s">
        <v>205</v>
      </c>
      <c r="T53" s="24">
        <v>6</v>
      </c>
      <c r="U53" s="25" t="s">
        <v>524</v>
      </c>
    </row>
    <row r="54" spans="14:21" x14ac:dyDescent="0.25">
      <c r="R54" s="25" t="s">
        <v>103</v>
      </c>
      <c r="S54" s="25" t="s">
        <v>206</v>
      </c>
      <c r="T54" s="24">
        <v>6</v>
      </c>
      <c r="U54" s="25" t="s">
        <v>524</v>
      </c>
    </row>
    <row r="55" spans="14:21" x14ac:dyDescent="0.25">
      <c r="R55" s="25" t="s">
        <v>103</v>
      </c>
      <c r="S55" s="25" t="s">
        <v>94</v>
      </c>
      <c r="T55" s="24">
        <v>6</v>
      </c>
      <c r="U55" s="25" t="s">
        <v>524</v>
      </c>
    </row>
    <row r="56" spans="14:21" x14ac:dyDescent="0.25">
      <c r="R56" s="25" t="s">
        <v>104</v>
      </c>
      <c r="S56" s="25" t="s">
        <v>201</v>
      </c>
      <c r="T56" s="24">
        <v>6</v>
      </c>
      <c r="U56" s="25" t="s">
        <v>524</v>
      </c>
    </row>
    <row r="57" spans="14:21" x14ac:dyDescent="0.25">
      <c r="R57" s="25" t="s">
        <v>104</v>
      </c>
      <c r="S57" s="25" t="s">
        <v>202</v>
      </c>
      <c r="T57" s="24">
        <v>6</v>
      </c>
      <c r="U57" s="25" t="s">
        <v>524</v>
      </c>
    </row>
    <row r="58" spans="14:21" x14ac:dyDescent="0.25">
      <c r="R58" s="25" t="s">
        <v>104</v>
      </c>
      <c r="S58" s="25" t="s">
        <v>203</v>
      </c>
      <c r="T58" s="24">
        <v>6</v>
      </c>
      <c r="U58" s="25" t="s">
        <v>524</v>
      </c>
    </row>
    <row r="59" spans="14:21" x14ac:dyDescent="0.25">
      <c r="R59" s="25" t="s">
        <v>104</v>
      </c>
      <c r="S59" s="25" t="s">
        <v>204</v>
      </c>
      <c r="T59" s="24">
        <v>6</v>
      </c>
      <c r="U59" s="25" t="s">
        <v>524</v>
      </c>
    </row>
    <row r="60" spans="14:21" x14ac:dyDescent="0.25">
      <c r="R60" s="25" t="s">
        <v>104</v>
      </c>
      <c r="S60" s="25" t="s">
        <v>205</v>
      </c>
      <c r="T60" s="24">
        <v>6</v>
      </c>
      <c r="U60" s="25" t="s">
        <v>524</v>
      </c>
    </row>
    <row r="61" spans="14:21" x14ac:dyDescent="0.25">
      <c r="R61" s="25" t="s">
        <v>104</v>
      </c>
      <c r="S61" s="25" t="s">
        <v>206</v>
      </c>
      <c r="T61" s="24">
        <v>6</v>
      </c>
      <c r="U61" s="25" t="s">
        <v>524</v>
      </c>
    </row>
    <row r="62" spans="14:21" x14ac:dyDescent="0.25">
      <c r="R62" s="25" t="s">
        <v>104</v>
      </c>
      <c r="S62" s="25" t="s">
        <v>94</v>
      </c>
      <c r="T62" s="24">
        <v>6</v>
      </c>
      <c r="U62" s="25" t="s">
        <v>524</v>
      </c>
    </row>
    <row r="63" spans="14:21" x14ac:dyDescent="0.25">
      <c r="R63" s="25" t="s">
        <v>105</v>
      </c>
      <c r="S63" s="25" t="s">
        <v>201</v>
      </c>
      <c r="T63" s="24">
        <v>6</v>
      </c>
      <c r="U63" s="25" t="s">
        <v>524</v>
      </c>
    </row>
    <row r="64" spans="14:21" x14ac:dyDescent="0.25">
      <c r="R64" s="25" t="s">
        <v>105</v>
      </c>
      <c r="S64" s="25" t="s">
        <v>202</v>
      </c>
      <c r="T64" s="24">
        <v>6</v>
      </c>
      <c r="U64" s="25" t="s">
        <v>524</v>
      </c>
    </row>
    <row r="65" spans="18:21" x14ac:dyDescent="0.25">
      <c r="R65" s="25" t="s">
        <v>105</v>
      </c>
      <c r="S65" s="25" t="s">
        <v>203</v>
      </c>
      <c r="T65" s="24">
        <v>6</v>
      </c>
      <c r="U65" s="25" t="s">
        <v>524</v>
      </c>
    </row>
    <row r="66" spans="18:21" x14ac:dyDescent="0.25">
      <c r="R66" s="25" t="s">
        <v>105</v>
      </c>
      <c r="S66" s="25" t="s">
        <v>204</v>
      </c>
      <c r="T66" s="24">
        <v>6</v>
      </c>
      <c r="U66" s="25" t="s">
        <v>524</v>
      </c>
    </row>
    <row r="67" spans="18:21" x14ac:dyDescent="0.25">
      <c r="R67" s="25" t="s">
        <v>105</v>
      </c>
      <c r="S67" s="25" t="s">
        <v>205</v>
      </c>
      <c r="T67" s="24">
        <v>6</v>
      </c>
      <c r="U67" s="25" t="s">
        <v>524</v>
      </c>
    </row>
    <row r="68" spans="18:21" x14ac:dyDescent="0.25">
      <c r="R68" s="25" t="s">
        <v>105</v>
      </c>
      <c r="S68" s="25" t="s">
        <v>206</v>
      </c>
      <c r="T68" s="24">
        <v>6</v>
      </c>
      <c r="U68" s="25" t="s">
        <v>524</v>
      </c>
    </row>
    <row r="69" spans="18:21" x14ac:dyDescent="0.25">
      <c r="R69" s="25" t="s">
        <v>105</v>
      </c>
      <c r="S69" s="25" t="s">
        <v>94</v>
      </c>
      <c r="T69" s="24">
        <v>6</v>
      </c>
      <c r="U69" s="25" t="s">
        <v>524</v>
      </c>
    </row>
    <row r="70" spans="18:21" x14ac:dyDescent="0.25">
      <c r="R70" s="25" t="s">
        <v>106</v>
      </c>
      <c r="S70" s="25" t="s">
        <v>201</v>
      </c>
      <c r="T70" s="24">
        <v>6</v>
      </c>
      <c r="U70" s="25" t="s">
        <v>524</v>
      </c>
    </row>
    <row r="71" spans="18:21" x14ac:dyDescent="0.25">
      <c r="R71" s="25" t="s">
        <v>106</v>
      </c>
      <c r="S71" s="25" t="s">
        <v>202</v>
      </c>
      <c r="T71" s="24">
        <v>6</v>
      </c>
      <c r="U71" s="25" t="s">
        <v>524</v>
      </c>
    </row>
    <row r="72" spans="18:21" x14ac:dyDescent="0.25">
      <c r="R72" s="25" t="s">
        <v>106</v>
      </c>
      <c r="S72" s="25" t="s">
        <v>203</v>
      </c>
      <c r="T72" s="24">
        <v>6</v>
      </c>
      <c r="U72" s="25" t="s">
        <v>524</v>
      </c>
    </row>
    <row r="73" spans="18:21" x14ac:dyDescent="0.25">
      <c r="R73" s="25" t="s">
        <v>106</v>
      </c>
      <c r="S73" s="25" t="s">
        <v>204</v>
      </c>
      <c r="T73" s="24">
        <v>6</v>
      </c>
      <c r="U73" s="25" t="s">
        <v>524</v>
      </c>
    </row>
    <row r="74" spans="18:21" x14ac:dyDescent="0.25">
      <c r="R74" s="25" t="s">
        <v>106</v>
      </c>
      <c r="S74" s="25" t="s">
        <v>205</v>
      </c>
      <c r="T74" s="24">
        <v>6</v>
      </c>
      <c r="U74" s="25" t="s">
        <v>524</v>
      </c>
    </row>
    <row r="75" spans="18:21" x14ac:dyDescent="0.25">
      <c r="R75" s="25" t="s">
        <v>106</v>
      </c>
      <c r="S75" s="25" t="s">
        <v>206</v>
      </c>
      <c r="T75" s="24">
        <v>6</v>
      </c>
      <c r="U75" s="25" t="s">
        <v>524</v>
      </c>
    </row>
    <row r="76" spans="18:21" x14ac:dyDescent="0.25">
      <c r="R76" s="25" t="s">
        <v>106</v>
      </c>
      <c r="S76" s="25" t="s">
        <v>94</v>
      </c>
      <c r="T76" s="24">
        <v>6</v>
      </c>
      <c r="U76" s="25" t="s">
        <v>524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120</v>
      </c>
      <c r="C2">
        <v>10</v>
      </c>
      <c r="D2" t="s">
        <v>207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208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200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120</v>
      </c>
      <c r="C7">
        <v>60</v>
      </c>
      <c r="D7" t="s">
        <v>121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120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117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120</v>
      </c>
      <c r="C16">
        <v>150</v>
      </c>
      <c r="D16" t="s">
        <v>209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120</v>
      </c>
      <c r="C17">
        <v>160</v>
      </c>
      <c r="D17" t="s">
        <v>210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122</v>
      </c>
      <c r="C18">
        <v>10</v>
      </c>
      <c r="D18" t="s">
        <v>211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122</v>
      </c>
      <c r="C19">
        <v>20</v>
      </c>
      <c r="D19" t="s">
        <v>212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122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122</v>
      </c>
      <c r="C21">
        <v>40</v>
      </c>
      <c r="D21" t="s">
        <v>200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122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122</v>
      </c>
      <c r="C23">
        <v>60</v>
      </c>
      <c r="D23" t="s">
        <v>123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122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122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122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100</v>
      </c>
      <c r="D27" t="s">
        <v>117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122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122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122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122</v>
      </c>
      <c r="C31">
        <v>140</v>
      </c>
      <c r="D31" t="s">
        <v>108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122</v>
      </c>
      <c r="C32">
        <v>150</v>
      </c>
      <c r="D32" t="s">
        <v>213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122</v>
      </c>
      <c r="C33">
        <v>160</v>
      </c>
      <c r="D33" t="s">
        <v>214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124</v>
      </c>
      <c r="C34">
        <v>10</v>
      </c>
      <c r="D34" t="s">
        <v>215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124</v>
      </c>
      <c r="C35">
        <v>20</v>
      </c>
      <c r="D35" t="s">
        <v>216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124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124</v>
      </c>
      <c r="C37">
        <v>40</v>
      </c>
      <c r="D37" t="s">
        <v>200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124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124</v>
      </c>
      <c r="C39">
        <v>60</v>
      </c>
      <c r="D39" t="s">
        <v>125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124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124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124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124</v>
      </c>
      <c r="C43">
        <v>100</v>
      </c>
      <c r="D43" t="s">
        <v>117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124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124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124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124</v>
      </c>
      <c r="C47">
        <v>140</v>
      </c>
      <c r="D47" t="s">
        <v>108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124</v>
      </c>
      <c r="C48">
        <v>150</v>
      </c>
      <c r="D48" t="s">
        <v>217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124</v>
      </c>
      <c r="C49">
        <v>160</v>
      </c>
      <c r="D49" t="s">
        <v>218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126</v>
      </c>
      <c r="C50">
        <v>10</v>
      </c>
      <c r="D50" t="s">
        <v>219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126</v>
      </c>
      <c r="C51">
        <v>20</v>
      </c>
      <c r="D51" t="s">
        <v>220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126</v>
      </c>
      <c r="C53">
        <v>40</v>
      </c>
      <c r="D53" t="s">
        <v>200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126</v>
      </c>
      <c r="C55">
        <v>60</v>
      </c>
      <c r="D55" t="s">
        <v>127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126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126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126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126</v>
      </c>
      <c r="C59">
        <v>100</v>
      </c>
      <c r="D59" t="s">
        <v>117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126</v>
      </c>
      <c r="C63">
        <v>140</v>
      </c>
      <c r="D63" t="s">
        <v>108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126</v>
      </c>
      <c r="C64">
        <v>150</v>
      </c>
      <c r="D64" t="s">
        <v>221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126</v>
      </c>
      <c r="C65">
        <v>160</v>
      </c>
      <c r="D65" t="s">
        <v>222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128</v>
      </c>
      <c r="C66">
        <v>10</v>
      </c>
      <c r="D66" t="s">
        <v>223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128</v>
      </c>
      <c r="C67">
        <v>20</v>
      </c>
      <c r="D67" t="s">
        <v>220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128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128</v>
      </c>
      <c r="C69">
        <v>40</v>
      </c>
      <c r="D69" t="s">
        <v>200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128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128</v>
      </c>
      <c r="C71">
        <v>60</v>
      </c>
      <c r="D71" t="s">
        <v>129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128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128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128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128</v>
      </c>
      <c r="C75">
        <v>100</v>
      </c>
      <c r="D75" t="s">
        <v>117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128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128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128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128</v>
      </c>
      <c r="C79">
        <v>140</v>
      </c>
      <c r="D79" t="s">
        <v>108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128</v>
      </c>
      <c r="C80">
        <v>150</v>
      </c>
      <c r="D80" t="s">
        <v>224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128</v>
      </c>
      <c r="C81">
        <v>160</v>
      </c>
      <c r="D81" t="s">
        <v>225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130</v>
      </c>
      <c r="C82">
        <v>10</v>
      </c>
      <c r="D82" t="s">
        <v>226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130</v>
      </c>
      <c r="C83">
        <v>20</v>
      </c>
      <c r="D83" t="s">
        <v>220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130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130</v>
      </c>
      <c r="C85">
        <v>40</v>
      </c>
      <c r="D85" t="s">
        <v>200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130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130</v>
      </c>
      <c r="C87">
        <v>60</v>
      </c>
      <c r="D87" t="s">
        <v>131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130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130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130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130</v>
      </c>
      <c r="C91">
        <v>100</v>
      </c>
      <c r="D91" t="s">
        <v>117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130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130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130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130</v>
      </c>
      <c r="C95">
        <v>140</v>
      </c>
      <c r="D95" t="s">
        <v>108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130</v>
      </c>
      <c r="C96">
        <v>150</v>
      </c>
      <c r="D96" t="s">
        <v>227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130</v>
      </c>
      <c r="C97">
        <v>160</v>
      </c>
      <c r="D97" t="s">
        <v>228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132</v>
      </c>
      <c r="C98">
        <v>10</v>
      </c>
      <c r="D98" t="s">
        <v>229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132</v>
      </c>
      <c r="C99">
        <v>20</v>
      </c>
      <c r="D99" t="s">
        <v>230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132</v>
      </c>
      <c r="C101">
        <v>40</v>
      </c>
      <c r="D101" t="s">
        <v>200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132</v>
      </c>
      <c r="C103">
        <v>60</v>
      </c>
      <c r="D103" t="s">
        <v>133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132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132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132</v>
      </c>
      <c r="C107">
        <v>100</v>
      </c>
      <c r="D107" t="s">
        <v>117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132</v>
      </c>
      <c r="C111">
        <v>140</v>
      </c>
      <c r="D111" t="s">
        <v>108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132</v>
      </c>
      <c r="C112">
        <v>150</v>
      </c>
      <c r="D112" t="s">
        <v>231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132</v>
      </c>
      <c r="C113">
        <v>160</v>
      </c>
      <c r="D113" t="s">
        <v>232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134</v>
      </c>
      <c r="C114">
        <v>10</v>
      </c>
      <c r="D114" t="s">
        <v>233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134</v>
      </c>
      <c r="C115">
        <v>20</v>
      </c>
      <c r="D115" t="s">
        <v>234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134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134</v>
      </c>
      <c r="C117">
        <v>40</v>
      </c>
      <c r="D117" t="s">
        <v>200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134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134</v>
      </c>
      <c r="C119">
        <v>60</v>
      </c>
      <c r="D119" t="s">
        <v>135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134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134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134</v>
      </c>
      <c r="C123">
        <v>100</v>
      </c>
      <c r="D123" t="s">
        <v>117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134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134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134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134</v>
      </c>
      <c r="C127">
        <v>140</v>
      </c>
      <c r="D127" t="s">
        <v>108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134</v>
      </c>
      <c r="C128">
        <v>150</v>
      </c>
      <c r="D128" t="s">
        <v>235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134</v>
      </c>
      <c r="C129">
        <v>160</v>
      </c>
      <c r="D129" t="s">
        <v>236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136</v>
      </c>
      <c r="C130">
        <v>10</v>
      </c>
      <c r="D130" t="s">
        <v>237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136</v>
      </c>
      <c r="C131">
        <v>20</v>
      </c>
      <c r="D131" t="s">
        <v>238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136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136</v>
      </c>
      <c r="C133">
        <v>40</v>
      </c>
      <c r="D133" t="s">
        <v>200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136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136</v>
      </c>
      <c r="C135">
        <v>60</v>
      </c>
      <c r="D135" t="s">
        <v>137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136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136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136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136</v>
      </c>
      <c r="C139">
        <v>100</v>
      </c>
      <c r="D139" t="s">
        <v>117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136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136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136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136</v>
      </c>
      <c r="C143">
        <v>140</v>
      </c>
      <c r="D143" t="s">
        <v>108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136</v>
      </c>
      <c r="C144">
        <v>150</v>
      </c>
      <c r="D144" t="s">
        <v>239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136</v>
      </c>
      <c r="C145">
        <v>160</v>
      </c>
      <c r="D145" t="s">
        <v>240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138</v>
      </c>
      <c r="C146">
        <v>10</v>
      </c>
      <c r="D146" t="s">
        <v>241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138</v>
      </c>
      <c r="C147">
        <v>20</v>
      </c>
      <c r="D147" t="s">
        <v>242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138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138</v>
      </c>
      <c r="C149">
        <v>40</v>
      </c>
      <c r="D149" t="s">
        <v>200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138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138</v>
      </c>
      <c r="C151">
        <v>60</v>
      </c>
      <c r="D151" t="s">
        <v>139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138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138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138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138</v>
      </c>
      <c r="C155">
        <v>100</v>
      </c>
      <c r="D155" t="s">
        <v>117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138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138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138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138</v>
      </c>
      <c r="C159">
        <v>140</v>
      </c>
      <c r="D159" t="s">
        <v>108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138</v>
      </c>
      <c r="C160">
        <v>150</v>
      </c>
      <c r="D160" t="s">
        <v>243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138</v>
      </c>
      <c r="C161">
        <v>160</v>
      </c>
      <c r="D161" t="s">
        <v>244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140</v>
      </c>
      <c r="C162">
        <v>10</v>
      </c>
      <c r="D162" t="s">
        <v>245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140</v>
      </c>
      <c r="C163">
        <v>20</v>
      </c>
      <c r="D163" t="s">
        <v>246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140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140</v>
      </c>
      <c r="C165">
        <v>40</v>
      </c>
      <c r="D165" t="s">
        <v>200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140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140</v>
      </c>
      <c r="C167">
        <v>60</v>
      </c>
      <c r="D167" t="s">
        <v>141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140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140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140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140</v>
      </c>
      <c r="C171">
        <v>100</v>
      </c>
      <c r="D171" t="s">
        <v>117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140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140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140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140</v>
      </c>
      <c r="C175">
        <v>140</v>
      </c>
      <c r="D175" t="s">
        <v>108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140</v>
      </c>
      <c r="C176">
        <v>150</v>
      </c>
      <c r="D176" t="s">
        <v>247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140</v>
      </c>
      <c r="C177">
        <v>160</v>
      </c>
      <c r="D177" t="s">
        <v>248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142</v>
      </c>
      <c r="C178">
        <v>10</v>
      </c>
      <c r="D178" t="s">
        <v>249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142</v>
      </c>
      <c r="C179">
        <v>20</v>
      </c>
      <c r="D179" t="s">
        <v>250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142</v>
      </c>
      <c r="C181">
        <v>40</v>
      </c>
      <c r="D181" t="s">
        <v>200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142</v>
      </c>
      <c r="C183">
        <v>60</v>
      </c>
      <c r="D183" t="s">
        <v>143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142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142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142</v>
      </c>
      <c r="C187">
        <v>100</v>
      </c>
      <c r="D187" t="s">
        <v>117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142</v>
      </c>
      <c r="C191">
        <v>140</v>
      </c>
      <c r="D191" t="s">
        <v>108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142</v>
      </c>
      <c r="C192">
        <v>150</v>
      </c>
      <c r="D192" t="s">
        <v>251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142</v>
      </c>
      <c r="C193">
        <v>160</v>
      </c>
      <c r="D193" t="s">
        <v>252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144</v>
      </c>
      <c r="C194">
        <v>10</v>
      </c>
      <c r="D194" t="s">
        <v>253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144</v>
      </c>
      <c r="C195">
        <v>20</v>
      </c>
      <c r="D195" t="s">
        <v>250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144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144</v>
      </c>
      <c r="C197">
        <v>40</v>
      </c>
      <c r="D197" t="s">
        <v>200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144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144</v>
      </c>
      <c r="C199">
        <v>60</v>
      </c>
      <c r="D199" t="s">
        <v>145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144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144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144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144</v>
      </c>
      <c r="C203">
        <v>100</v>
      </c>
      <c r="D203" t="s">
        <v>117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144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144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144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144</v>
      </c>
      <c r="C207">
        <v>140</v>
      </c>
      <c r="D207" t="s">
        <v>108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144</v>
      </c>
      <c r="C208">
        <v>150</v>
      </c>
      <c r="D208" t="s">
        <v>254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144</v>
      </c>
      <c r="C209">
        <v>160</v>
      </c>
      <c r="D209" t="s">
        <v>255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146</v>
      </c>
      <c r="C210">
        <v>10</v>
      </c>
      <c r="D210" t="s">
        <v>256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146</v>
      </c>
      <c r="C211">
        <v>20</v>
      </c>
      <c r="D211" t="s">
        <v>250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146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146</v>
      </c>
      <c r="C213">
        <v>40</v>
      </c>
      <c r="D213" t="s">
        <v>200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146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146</v>
      </c>
      <c r="C215">
        <v>60</v>
      </c>
      <c r="D215" t="s">
        <v>147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146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146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146</v>
      </c>
      <c r="C219">
        <v>100</v>
      </c>
      <c r="D219" t="s">
        <v>117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146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146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146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146</v>
      </c>
      <c r="C223">
        <v>140</v>
      </c>
      <c r="D223" t="s">
        <v>108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146</v>
      </c>
      <c r="C224">
        <v>150</v>
      </c>
      <c r="D224" t="s">
        <v>257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146</v>
      </c>
      <c r="C225">
        <v>160</v>
      </c>
      <c r="D225" t="s">
        <v>258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148</v>
      </c>
      <c r="C226">
        <v>10</v>
      </c>
      <c r="D226" t="s">
        <v>259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148</v>
      </c>
      <c r="C227">
        <v>20</v>
      </c>
      <c r="D227" t="s">
        <v>260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148</v>
      </c>
      <c r="C229">
        <v>40</v>
      </c>
      <c r="D229" t="s">
        <v>200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148</v>
      </c>
      <c r="C231">
        <v>60</v>
      </c>
      <c r="D231" t="s">
        <v>149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148</v>
      </c>
      <c r="C235">
        <v>100</v>
      </c>
      <c r="D235" t="s">
        <v>117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148</v>
      </c>
      <c r="C239">
        <v>140</v>
      </c>
      <c r="D239" t="s">
        <v>108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148</v>
      </c>
      <c r="C240">
        <v>150</v>
      </c>
      <c r="D240" t="s">
        <v>261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148</v>
      </c>
      <c r="C241">
        <v>160</v>
      </c>
      <c r="D241" t="s">
        <v>262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150</v>
      </c>
      <c r="C242">
        <v>10</v>
      </c>
      <c r="D242" t="s">
        <v>263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150</v>
      </c>
      <c r="C243">
        <v>20</v>
      </c>
      <c r="D243" t="s">
        <v>264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150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150</v>
      </c>
      <c r="C245">
        <v>40</v>
      </c>
      <c r="D245" t="s">
        <v>200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150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150</v>
      </c>
      <c r="C247">
        <v>60</v>
      </c>
      <c r="D247" t="s">
        <v>151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150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150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150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150</v>
      </c>
      <c r="C251">
        <v>100</v>
      </c>
      <c r="D251" t="s">
        <v>117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150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150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150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150</v>
      </c>
      <c r="C255">
        <v>140</v>
      </c>
      <c r="D255" t="s">
        <v>108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150</v>
      </c>
      <c r="C256">
        <v>150</v>
      </c>
      <c r="D256" t="s">
        <v>265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150</v>
      </c>
      <c r="C257">
        <v>160</v>
      </c>
      <c r="D257" t="s">
        <v>266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152</v>
      </c>
      <c r="C258">
        <v>10</v>
      </c>
      <c r="D258" t="s">
        <v>267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152</v>
      </c>
      <c r="C259">
        <v>20</v>
      </c>
      <c r="D259" t="s">
        <v>268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152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152</v>
      </c>
      <c r="C261">
        <v>40</v>
      </c>
      <c r="D261" t="s">
        <v>200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152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152</v>
      </c>
      <c r="C263">
        <v>60</v>
      </c>
      <c r="D263" t="s">
        <v>153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152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152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152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152</v>
      </c>
      <c r="C267">
        <v>100</v>
      </c>
      <c r="D267" t="s">
        <v>117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152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152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152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152</v>
      </c>
      <c r="C271">
        <v>140</v>
      </c>
      <c r="D271" t="s">
        <v>108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152</v>
      </c>
      <c r="C272">
        <v>150</v>
      </c>
      <c r="D272" t="s">
        <v>269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152</v>
      </c>
      <c r="C273">
        <v>160</v>
      </c>
      <c r="D273" t="s">
        <v>270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154</v>
      </c>
      <c r="C274">
        <v>10</v>
      </c>
      <c r="D274" t="s">
        <v>271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154</v>
      </c>
      <c r="C275">
        <v>20</v>
      </c>
      <c r="D275" t="s">
        <v>272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154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154</v>
      </c>
      <c r="C277">
        <v>40</v>
      </c>
      <c r="D277" t="s">
        <v>200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154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154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154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154</v>
      </c>
      <c r="C283">
        <v>100</v>
      </c>
      <c r="D283" t="s">
        <v>117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154</v>
      </c>
      <c r="C288">
        <v>150</v>
      </c>
      <c r="D288" t="s">
        <v>273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154</v>
      </c>
      <c r="C289">
        <v>160</v>
      </c>
      <c r="D289" t="s">
        <v>274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156</v>
      </c>
      <c r="C290">
        <v>10</v>
      </c>
      <c r="D290" t="s">
        <v>275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156</v>
      </c>
      <c r="C291">
        <v>20</v>
      </c>
      <c r="D291" t="s">
        <v>276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156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156</v>
      </c>
      <c r="C293">
        <v>40</v>
      </c>
      <c r="D293" t="s">
        <v>200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156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156</v>
      </c>
      <c r="C295">
        <v>60</v>
      </c>
      <c r="D295" t="s">
        <v>157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156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156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156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156</v>
      </c>
      <c r="C299">
        <v>100</v>
      </c>
      <c r="D299" t="s">
        <v>117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156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156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156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156</v>
      </c>
      <c r="C303">
        <v>140</v>
      </c>
      <c r="D303" t="s">
        <v>108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156</v>
      </c>
      <c r="C304">
        <v>150</v>
      </c>
      <c r="D304" t="s">
        <v>277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156</v>
      </c>
      <c r="C305">
        <v>160</v>
      </c>
      <c r="D305" t="s">
        <v>278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158</v>
      </c>
      <c r="C306">
        <v>10</v>
      </c>
      <c r="D306" t="s">
        <v>279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158</v>
      </c>
      <c r="C307">
        <v>20</v>
      </c>
      <c r="D307" t="s">
        <v>280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158</v>
      </c>
      <c r="C309">
        <v>40</v>
      </c>
      <c r="D309" t="s">
        <v>200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158</v>
      </c>
      <c r="C311">
        <v>60</v>
      </c>
      <c r="D311" t="s">
        <v>159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158</v>
      </c>
      <c r="C315">
        <v>100</v>
      </c>
      <c r="D315" t="s">
        <v>117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158</v>
      </c>
      <c r="C319">
        <v>140</v>
      </c>
      <c r="D319" t="s">
        <v>108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158</v>
      </c>
      <c r="C320">
        <v>150</v>
      </c>
      <c r="D320" t="s">
        <v>281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158</v>
      </c>
      <c r="C321">
        <v>160</v>
      </c>
      <c r="D321" t="s">
        <v>282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160</v>
      </c>
      <c r="C322">
        <v>10</v>
      </c>
      <c r="D322" t="s">
        <v>283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160</v>
      </c>
      <c r="C323">
        <v>20</v>
      </c>
      <c r="D323" t="s">
        <v>280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160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160</v>
      </c>
      <c r="C325">
        <v>40</v>
      </c>
      <c r="D325" t="s">
        <v>200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160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160</v>
      </c>
      <c r="C327">
        <v>60</v>
      </c>
      <c r="D327" t="s">
        <v>161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160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160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160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160</v>
      </c>
      <c r="C331">
        <v>100</v>
      </c>
      <c r="D331" t="s">
        <v>117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160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160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160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160</v>
      </c>
      <c r="C335">
        <v>140</v>
      </c>
      <c r="D335" t="s">
        <v>108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160</v>
      </c>
      <c r="C336">
        <v>150</v>
      </c>
      <c r="D336" t="s">
        <v>284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160</v>
      </c>
      <c r="C337">
        <v>160</v>
      </c>
      <c r="D337" t="s">
        <v>285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162</v>
      </c>
      <c r="C338">
        <v>10</v>
      </c>
      <c r="D338" t="s">
        <v>286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162</v>
      </c>
      <c r="C339">
        <v>20</v>
      </c>
      <c r="D339" t="s">
        <v>280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162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162</v>
      </c>
      <c r="C341">
        <v>40</v>
      </c>
      <c r="D341" t="s">
        <v>200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162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162</v>
      </c>
      <c r="C343">
        <v>60</v>
      </c>
      <c r="D343" t="s">
        <v>163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162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162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162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162</v>
      </c>
      <c r="C347">
        <v>100</v>
      </c>
      <c r="D347" t="s">
        <v>117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162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162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162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162</v>
      </c>
      <c r="C351">
        <v>140</v>
      </c>
      <c r="D351" t="s">
        <v>108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162</v>
      </c>
      <c r="C352">
        <v>150</v>
      </c>
      <c r="D352" t="s">
        <v>287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162</v>
      </c>
      <c r="C353">
        <v>160</v>
      </c>
      <c r="D353" t="s">
        <v>288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164</v>
      </c>
      <c r="C354">
        <v>10</v>
      </c>
      <c r="D354" t="s">
        <v>289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164</v>
      </c>
      <c r="C355">
        <v>20</v>
      </c>
      <c r="D355" t="s">
        <v>290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164</v>
      </c>
      <c r="C357">
        <v>40</v>
      </c>
      <c r="D357" t="s">
        <v>200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164</v>
      </c>
      <c r="C359">
        <v>60</v>
      </c>
      <c r="D359" t="s">
        <v>165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164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164</v>
      </c>
      <c r="C363">
        <v>100</v>
      </c>
      <c r="D363" t="s">
        <v>117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164</v>
      </c>
      <c r="C367">
        <v>140</v>
      </c>
      <c r="D367" t="s">
        <v>108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164</v>
      </c>
      <c r="C368">
        <v>150</v>
      </c>
      <c r="D368" t="s">
        <v>291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164</v>
      </c>
      <c r="C369">
        <v>160</v>
      </c>
      <c r="D369" t="s">
        <v>292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166</v>
      </c>
      <c r="C370">
        <v>10</v>
      </c>
      <c r="D370" t="s">
        <v>293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166</v>
      </c>
      <c r="C371">
        <v>20</v>
      </c>
      <c r="D371" t="s">
        <v>294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166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166</v>
      </c>
      <c r="C373">
        <v>40</v>
      </c>
      <c r="D373" t="s">
        <v>200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166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166</v>
      </c>
      <c r="C375">
        <v>60</v>
      </c>
      <c r="D375" t="s">
        <v>167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166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166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166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166</v>
      </c>
      <c r="C379">
        <v>100</v>
      </c>
      <c r="D379" t="s">
        <v>117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166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166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166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166</v>
      </c>
      <c r="C383">
        <v>140</v>
      </c>
      <c r="D383" t="s">
        <v>108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166</v>
      </c>
      <c r="C384">
        <v>150</v>
      </c>
      <c r="D384" t="s">
        <v>295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166</v>
      </c>
      <c r="C385">
        <v>160</v>
      </c>
      <c r="D385" t="s">
        <v>296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168</v>
      </c>
      <c r="C386">
        <v>10</v>
      </c>
      <c r="D386" t="s">
        <v>297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168</v>
      </c>
      <c r="C387">
        <v>20</v>
      </c>
      <c r="D387" t="s">
        <v>298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168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168</v>
      </c>
      <c r="C389">
        <v>40</v>
      </c>
      <c r="D389" t="s">
        <v>200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168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168</v>
      </c>
      <c r="C391">
        <v>60</v>
      </c>
      <c r="D391" t="s">
        <v>169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168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168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168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168</v>
      </c>
      <c r="C395">
        <v>100</v>
      </c>
      <c r="D395" t="s">
        <v>117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168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168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168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168</v>
      </c>
      <c r="C399">
        <v>140</v>
      </c>
      <c r="D399" t="s">
        <v>108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168</v>
      </c>
      <c r="C400">
        <v>150</v>
      </c>
      <c r="D400" t="s">
        <v>299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168</v>
      </c>
      <c r="C401">
        <v>160</v>
      </c>
      <c r="D401" t="s">
        <v>300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170</v>
      </c>
      <c r="C402">
        <v>10</v>
      </c>
      <c r="D402" t="s">
        <v>301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170</v>
      </c>
      <c r="C403">
        <v>20</v>
      </c>
      <c r="D403" t="s">
        <v>298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170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170</v>
      </c>
      <c r="C405">
        <v>40</v>
      </c>
      <c r="D405" t="s">
        <v>200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170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170</v>
      </c>
      <c r="C407">
        <v>60</v>
      </c>
      <c r="D407" t="s">
        <v>171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170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170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170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170</v>
      </c>
      <c r="C411">
        <v>100</v>
      </c>
      <c r="D411" t="s">
        <v>117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170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170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170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170</v>
      </c>
      <c r="C415">
        <v>140</v>
      </c>
      <c r="D415" t="s">
        <v>108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170</v>
      </c>
      <c r="C416">
        <v>150</v>
      </c>
      <c r="D416" t="s">
        <v>302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170</v>
      </c>
      <c r="C417">
        <v>160</v>
      </c>
      <c r="D417" t="s">
        <v>303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172</v>
      </c>
      <c r="C418">
        <v>10</v>
      </c>
      <c r="D418" t="s">
        <v>304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172</v>
      </c>
      <c r="C419">
        <v>20</v>
      </c>
      <c r="D419" t="s">
        <v>298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172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172</v>
      </c>
      <c r="C421">
        <v>40</v>
      </c>
      <c r="D421" t="s">
        <v>200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172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172</v>
      </c>
      <c r="C423">
        <v>60</v>
      </c>
      <c r="D423" t="s">
        <v>173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172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172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172</v>
      </c>
      <c r="C427">
        <v>100</v>
      </c>
      <c r="D427" t="s">
        <v>117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172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172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172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172</v>
      </c>
      <c r="C431">
        <v>140</v>
      </c>
      <c r="D431" t="s">
        <v>108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172</v>
      </c>
      <c r="C432">
        <v>150</v>
      </c>
      <c r="D432" t="s">
        <v>305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172</v>
      </c>
      <c r="C433">
        <v>160</v>
      </c>
      <c r="D433" t="s">
        <v>306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174</v>
      </c>
      <c r="C434">
        <v>10</v>
      </c>
      <c r="D434" t="s">
        <v>307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174</v>
      </c>
      <c r="C435">
        <v>20</v>
      </c>
      <c r="D435" t="s">
        <v>298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174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174</v>
      </c>
      <c r="C437">
        <v>40</v>
      </c>
      <c r="D437" t="s">
        <v>200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174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174</v>
      </c>
      <c r="C439">
        <v>60</v>
      </c>
      <c r="D439" t="s">
        <v>175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174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174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174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174</v>
      </c>
      <c r="C443">
        <v>100</v>
      </c>
      <c r="D443" t="s">
        <v>117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174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174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174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174</v>
      </c>
      <c r="C447">
        <v>140</v>
      </c>
      <c r="D447" t="s">
        <v>108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174</v>
      </c>
      <c r="C448">
        <v>150</v>
      </c>
      <c r="D448" t="s">
        <v>308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174</v>
      </c>
      <c r="C449">
        <v>160</v>
      </c>
      <c r="D449" t="s">
        <v>309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176</v>
      </c>
      <c r="C450">
        <v>10</v>
      </c>
      <c r="D450" t="s">
        <v>310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176</v>
      </c>
      <c r="C451">
        <v>20</v>
      </c>
      <c r="D451" t="s">
        <v>298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176</v>
      </c>
      <c r="C453">
        <v>40</v>
      </c>
      <c r="D453" t="s">
        <v>200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176</v>
      </c>
      <c r="C455">
        <v>60</v>
      </c>
      <c r="D455" t="s">
        <v>177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176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176</v>
      </c>
      <c r="C459">
        <v>100</v>
      </c>
      <c r="D459" t="s">
        <v>117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176</v>
      </c>
      <c r="C463">
        <v>140</v>
      </c>
      <c r="D463" t="s">
        <v>108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176</v>
      </c>
      <c r="C464">
        <v>150</v>
      </c>
      <c r="D464" t="s">
        <v>311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176</v>
      </c>
      <c r="C465">
        <v>160</v>
      </c>
      <c r="D465" t="s">
        <v>312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178</v>
      </c>
      <c r="C466">
        <v>10</v>
      </c>
      <c r="D466" t="s">
        <v>313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178</v>
      </c>
      <c r="C467">
        <v>20</v>
      </c>
      <c r="D467" t="s">
        <v>298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178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178</v>
      </c>
      <c r="C469">
        <v>40</v>
      </c>
      <c r="D469" t="s">
        <v>200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178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178</v>
      </c>
      <c r="C471">
        <v>60</v>
      </c>
      <c r="D471" t="s">
        <v>179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178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178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178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178</v>
      </c>
      <c r="C475">
        <v>100</v>
      </c>
      <c r="D475" t="s">
        <v>117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178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178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178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178</v>
      </c>
      <c r="C479">
        <v>140</v>
      </c>
      <c r="D479" t="s">
        <v>108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178</v>
      </c>
      <c r="C480">
        <v>150</v>
      </c>
      <c r="D480" t="s">
        <v>314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178</v>
      </c>
      <c r="C481">
        <v>160</v>
      </c>
      <c r="D481" t="s">
        <v>315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180</v>
      </c>
      <c r="C482">
        <v>10</v>
      </c>
      <c r="D482" t="s">
        <v>316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180</v>
      </c>
      <c r="C483">
        <v>20</v>
      </c>
      <c r="D483" t="s">
        <v>298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180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180</v>
      </c>
      <c r="C485">
        <v>40</v>
      </c>
      <c r="D485" t="s">
        <v>200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180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180</v>
      </c>
      <c r="C487">
        <v>60</v>
      </c>
      <c r="D487" t="s">
        <v>181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180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180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180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180</v>
      </c>
      <c r="C491">
        <v>100</v>
      </c>
      <c r="D491" t="s">
        <v>117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180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180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180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180</v>
      </c>
      <c r="C495">
        <v>140</v>
      </c>
      <c r="D495" t="s">
        <v>108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180</v>
      </c>
      <c r="C496">
        <v>150</v>
      </c>
      <c r="D496" t="s">
        <v>317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180</v>
      </c>
      <c r="C497">
        <v>160</v>
      </c>
      <c r="D497" t="s">
        <v>318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182</v>
      </c>
      <c r="C498">
        <v>10</v>
      </c>
      <c r="D498" t="s">
        <v>319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182</v>
      </c>
      <c r="C499">
        <v>20</v>
      </c>
      <c r="D499" t="s">
        <v>298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182</v>
      </c>
      <c r="C501">
        <v>40</v>
      </c>
      <c r="D501" t="s">
        <v>200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182</v>
      </c>
      <c r="C503">
        <v>60</v>
      </c>
      <c r="D503" t="s">
        <v>183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182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182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182</v>
      </c>
      <c r="C507">
        <v>100</v>
      </c>
      <c r="D507" t="s">
        <v>117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182</v>
      </c>
      <c r="C511">
        <v>140</v>
      </c>
      <c r="D511" t="s">
        <v>108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182</v>
      </c>
      <c r="C512">
        <v>150</v>
      </c>
      <c r="D512" t="s">
        <v>320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182</v>
      </c>
      <c r="C513">
        <v>160</v>
      </c>
      <c r="D513" t="s">
        <v>321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184</v>
      </c>
      <c r="C514">
        <v>10</v>
      </c>
      <c r="D514" t="s">
        <v>322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184</v>
      </c>
      <c r="C515">
        <v>20</v>
      </c>
      <c r="D515" t="s">
        <v>298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184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184</v>
      </c>
      <c r="C517">
        <v>40</v>
      </c>
      <c r="D517" t="s">
        <v>200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184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184</v>
      </c>
      <c r="C519">
        <v>60</v>
      </c>
      <c r="D519" t="s">
        <v>185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184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184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184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184</v>
      </c>
      <c r="C523">
        <v>100</v>
      </c>
      <c r="D523" t="s">
        <v>117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184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184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184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184</v>
      </c>
      <c r="C527">
        <v>140</v>
      </c>
      <c r="D527" t="s">
        <v>108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184</v>
      </c>
      <c r="C528">
        <v>150</v>
      </c>
      <c r="D528" t="s">
        <v>323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184</v>
      </c>
      <c r="C529">
        <v>160</v>
      </c>
      <c r="D529" t="s">
        <v>324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186</v>
      </c>
      <c r="C530">
        <v>10</v>
      </c>
      <c r="D530" t="s">
        <v>325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186</v>
      </c>
      <c r="C531">
        <v>20</v>
      </c>
      <c r="D531" t="s">
        <v>298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186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186</v>
      </c>
      <c r="C533">
        <v>40</v>
      </c>
      <c r="D533" t="s">
        <v>200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186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186</v>
      </c>
      <c r="C535">
        <v>60</v>
      </c>
      <c r="D535" t="s">
        <v>187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186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186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186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186</v>
      </c>
      <c r="C539">
        <v>100</v>
      </c>
      <c r="D539" t="s">
        <v>117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186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186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186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186</v>
      </c>
      <c r="C543">
        <v>140</v>
      </c>
      <c r="D543" t="s">
        <v>108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186</v>
      </c>
      <c r="C544">
        <v>150</v>
      </c>
      <c r="D544" t="s">
        <v>326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186</v>
      </c>
      <c r="C545">
        <v>160</v>
      </c>
      <c r="D545" t="s">
        <v>327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188</v>
      </c>
      <c r="C546">
        <v>10</v>
      </c>
      <c r="D546" t="s">
        <v>328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188</v>
      </c>
      <c r="C547">
        <v>20</v>
      </c>
      <c r="D547" t="s">
        <v>298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188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188</v>
      </c>
      <c r="C549">
        <v>40</v>
      </c>
      <c r="D549" t="s">
        <v>200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188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188</v>
      </c>
      <c r="C551">
        <v>60</v>
      </c>
      <c r="D551" t="s">
        <v>189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188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188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188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188</v>
      </c>
      <c r="C555">
        <v>100</v>
      </c>
      <c r="D555" t="s">
        <v>117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188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188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188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188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188</v>
      </c>
      <c r="C560">
        <v>150</v>
      </c>
      <c r="D560" t="s">
        <v>329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188</v>
      </c>
      <c r="C561">
        <v>160</v>
      </c>
      <c r="D561" t="s">
        <v>330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190</v>
      </c>
      <c r="C562">
        <v>10</v>
      </c>
      <c r="D562" t="s">
        <v>331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190</v>
      </c>
      <c r="C563">
        <v>20</v>
      </c>
      <c r="D563" t="s">
        <v>298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190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190</v>
      </c>
      <c r="C565">
        <v>40</v>
      </c>
      <c r="D565" t="s">
        <v>200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190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190</v>
      </c>
      <c r="C567">
        <v>60</v>
      </c>
      <c r="D567" t="s">
        <v>191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190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190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190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190</v>
      </c>
      <c r="C571">
        <v>100</v>
      </c>
      <c r="D571" t="s">
        <v>117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190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190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190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190</v>
      </c>
      <c r="C575">
        <v>140</v>
      </c>
      <c r="D575" t="s">
        <v>108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190</v>
      </c>
      <c r="C576">
        <v>150</v>
      </c>
      <c r="D576" t="s">
        <v>332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190</v>
      </c>
      <c r="C577">
        <v>160</v>
      </c>
      <c r="D577" t="s">
        <v>333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192</v>
      </c>
      <c r="C578">
        <v>10</v>
      </c>
      <c r="D578" t="s">
        <v>334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192</v>
      </c>
      <c r="C579">
        <v>20</v>
      </c>
      <c r="D579" t="s">
        <v>298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192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192</v>
      </c>
      <c r="C581">
        <v>40</v>
      </c>
      <c r="D581" t="s">
        <v>200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192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192</v>
      </c>
      <c r="C583">
        <v>60</v>
      </c>
      <c r="D583" t="s">
        <v>193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192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192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192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192</v>
      </c>
      <c r="C587">
        <v>100</v>
      </c>
      <c r="D587" t="s">
        <v>117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192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192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192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192</v>
      </c>
      <c r="C591">
        <v>140</v>
      </c>
      <c r="D591" t="s">
        <v>108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192</v>
      </c>
      <c r="C592">
        <v>150</v>
      </c>
      <c r="D592" t="s">
        <v>335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192</v>
      </c>
      <c r="C593">
        <v>160</v>
      </c>
      <c r="D593" t="s">
        <v>336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194</v>
      </c>
      <c r="C594">
        <v>10</v>
      </c>
      <c r="D594" t="s">
        <v>337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194</v>
      </c>
      <c r="C595">
        <v>20</v>
      </c>
      <c r="D595" t="s">
        <v>298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194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194</v>
      </c>
      <c r="C597">
        <v>40</v>
      </c>
      <c r="D597" t="s">
        <v>200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194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194</v>
      </c>
      <c r="C599">
        <v>60</v>
      </c>
      <c r="D599" t="s">
        <v>195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194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194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194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194</v>
      </c>
      <c r="C603">
        <v>100</v>
      </c>
      <c r="D603" t="s">
        <v>117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194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194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194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194</v>
      </c>
      <c r="C607">
        <v>140</v>
      </c>
      <c r="D607" t="s">
        <v>108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194</v>
      </c>
      <c r="C608">
        <v>150</v>
      </c>
      <c r="D608" t="s">
        <v>338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194</v>
      </c>
      <c r="C609">
        <v>160</v>
      </c>
      <c r="D609" t="s">
        <v>339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196</v>
      </c>
      <c r="C610">
        <v>10</v>
      </c>
      <c r="D610" t="s">
        <v>340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196</v>
      </c>
      <c r="C611">
        <v>20</v>
      </c>
      <c r="D611" t="s">
        <v>298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196</v>
      </c>
      <c r="C613">
        <v>40</v>
      </c>
      <c r="D613" t="s">
        <v>200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196</v>
      </c>
      <c r="C615">
        <v>60</v>
      </c>
      <c r="D615" t="s">
        <v>197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196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196</v>
      </c>
      <c r="C619">
        <v>100</v>
      </c>
      <c r="D619" t="s">
        <v>117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196</v>
      </c>
      <c r="C623">
        <v>140</v>
      </c>
      <c r="D623" t="s">
        <v>108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196</v>
      </c>
      <c r="C624">
        <v>150</v>
      </c>
      <c r="D624" t="s">
        <v>341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196</v>
      </c>
      <c r="C625">
        <v>160</v>
      </c>
      <c r="D625" t="s">
        <v>342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198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198</v>
      </c>
      <c r="C627">
        <v>20</v>
      </c>
      <c r="D627" t="s">
        <v>298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198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198</v>
      </c>
      <c r="C629">
        <v>40</v>
      </c>
      <c r="D629" t="s">
        <v>200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198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198</v>
      </c>
      <c r="C631">
        <v>60</v>
      </c>
      <c r="D631" t="s">
        <v>199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198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198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198</v>
      </c>
      <c r="C635">
        <v>100</v>
      </c>
      <c r="D635" t="s">
        <v>117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198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198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198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198</v>
      </c>
      <c r="C639">
        <v>140</v>
      </c>
      <c r="D639" t="s">
        <v>108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198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198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200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208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200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212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200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216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200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220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200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230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200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234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200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200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238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200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242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200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246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200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250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200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260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200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264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200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200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268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200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272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200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276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200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280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200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290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200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294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200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298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200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298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200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298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200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298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200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298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200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298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200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298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200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298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200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298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200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298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200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298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200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298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200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298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200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298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200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29</v>
      </c>
      <c r="B1" s="58" t="s">
        <v>30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31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7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7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209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211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212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200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213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214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215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216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200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220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200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220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200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129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220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200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229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230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200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133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231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232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233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234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200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135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235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236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238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200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240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241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242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200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139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243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244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245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246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200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141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249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250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200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143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251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252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253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250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200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145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254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255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256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250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200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259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260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200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149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262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263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264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200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151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268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200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153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269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270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271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272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275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276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200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279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280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200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159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281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282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283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280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200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161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284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285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286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280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200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163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164</v>
      </c>
      <c r="D357" s="3"/>
      <c r="E357" s="3" t="s">
        <v>164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289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164</v>
      </c>
      <c r="D358" s="3"/>
      <c r="E358" s="3" t="s">
        <v>164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290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164</v>
      </c>
      <c r="D359" s="3"/>
      <c r="E359" s="3" t="s">
        <v>164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164</v>
      </c>
      <c r="D360" s="3"/>
      <c r="E360" s="3" t="s">
        <v>164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200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164</v>
      </c>
      <c r="D361" s="3"/>
      <c r="E361" s="3" t="s">
        <v>164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165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291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292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166</v>
      </c>
      <c r="D373" s="3"/>
      <c r="E373" s="3" t="s">
        <v>166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166</v>
      </c>
      <c r="D374" s="3"/>
      <c r="E374" s="3" t="s">
        <v>166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294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166</v>
      </c>
      <c r="D375" s="3"/>
      <c r="E375" s="3" t="s">
        <v>166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166</v>
      </c>
      <c r="D376" s="3"/>
      <c r="E376" s="3" t="s">
        <v>166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200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166</v>
      </c>
      <c r="D377" s="3"/>
      <c r="E377" s="3" t="s">
        <v>166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166</v>
      </c>
      <c r="D378" s="3"/>
      <c r="E378" s="3" t="s">
        <v>166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296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168</v>
      </c>
      <c r="D389" s="3"/>
      <c r="E389" s="3" t="s">
        <v>168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168</v>
      </c>
      <c r="D390" s="3"/>
      <c r="E390" s="3" t="s">
        <v>168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168</v>
      </c>
      <c r="D391" s="3"/>
      <c r="E391" s="3" t="s">
        <v>168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168</v>
      </c>
      <c r="D392" s="3"/>
      <c r="E392" s="3" t="s">
        <v>168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200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168</v>
      </c>
      <c r="D393" s="3"/>
      <c r="E393" s="3" t="s">
        <v>168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168</v>
      </c>
      <c r="D394" s="3"/>
      <c r="E394" s="3" t="s">
        <v>168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168</v>
      </c>
      <c r="D395" s="3"/>
      <c r="E395" s="3" t="s">
        <v>168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299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300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170</v>
      </c>
      <c r="D405" s="3"/>
      <c r="E405" s="3" t="s">
        <v>170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301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170</v>
      </c>
      <c r="D406" s="3"/>
      <c r="E406" s="3" t="s">
        <v>170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170</v>
      </c>
      <c r="D407" s="3"/>
      <c r="E407" s="3" t="s">
        <v>170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170</v>
      </c>
      <c r="D408" s="3"/>
      <c r="E408" s="3" t="s">
        <v>170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200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170</v>
      </c>
      <c r="D409" s="3"/>
      <c r="E409" s="3" t="s">
        <v>170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170</v>
      </c>
      <c r="D410" s="3"/>
      <c r="E410" s="3" t="s">
        <v>170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171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170</v>
      </c>
      <c r="D411" s="3"/>
      <c r="E411" s="3" t="s">
        <v>170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170</v>
      </c>
      <c r="D412" s="3"/>
      <c r="E412" s="3" t="s">
        <v>170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302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303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172</v>
      </c>
      <c r="D421" s="3"/>
      <c r="E421" s="3" t="s">
        <v>172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304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172</v>
      </c>
      <c r="D422" s="3"/>
      <c r="E422" s="3" t="s">
        <v>172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172</v>
      </c>
      <c r="D423" s="3"/>
      <c r="E423" s="3" t="s">
        <v>172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172</v>
      </c>
      <c r="D424" s="3"/>
      <c r="E424" s="3" t="s">
        <v>172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200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172</v>
      </c>
      <c r="D425" s="3"/>
      <c r="E425" s="3" t="s">
        <v>172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172</v>
      </c>
      <c r="D426" s="3"/>
      <c r="E426" s="3" t="s">
        <v>172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173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172</v>
      </c>
      <c r="D427" s="3"/>
      <c r="E427" s="3" t="s">
        <v>172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172</v>
      </c>
      <c r="D428" s="3"/>
      <c r="E428" s="3" t="s">
        <v>172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172</v>
      </c>
      <c r="D429" s="3"/>
      <c r="E429" s="3" t="s">
        <v>172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305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306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174</v>
      </c>
      <c r="D437" s="3"/>
      <c r="E437" s="3" t="s">
        <v>174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174</v>
      </c>
      <c r="D438" s="3"/>
      <c r="E438" s="3" t="s">
        <v>174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174</v>
      </c>
      <c r="D439" s="3"/>
      <c r="E439" s="3" t="s">
        <v>174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174</v>
      </c>
      <c r="D440" s="3"/>
      <c r="E440" s="3" t="s">
        <v>174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200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174</v>
      </c>
      <c r="D441" s="3"/>
      <c r="E441" s="3" t="s">
        <v>174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174</v>
      </c>
      <c r="D442" s="3"/>
      <c r="E442" s="3" t="s">
        <v>174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175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174</v>
      </c>
      <c r="D443" s="3"/>
      <c r="E443" s="3" t="s">
        <v>174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174</v>
      </c>
      <c r="D444" s="3"/>
      <c r="E444" s="3" t="s">
        <v>174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174</v>
      </c>
      <c r="D445" s="3"/>
      <c r="E445" s="3" t="s">
        <v>174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174</v>
      </c>
      <c r="D446" s="3"/>
      <c r="E446" s="3" t="s">
        <v>174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309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176</v>
      </c>
      <c r="D453" s="3"/>
      <c r="E453" s="3" t="s">
        <v>176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310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176</v>
      </c>
      <c r="D454" s="3"/>
      <c r="E454" s="3" t="s">
        <v>176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176</v>
      </c>
      <c r="D455" s="3"/>
      <c r="E455" s="3" t="s">
        <v>176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176</v>
      </c>
      <c r="D456" s="3"/>
      <c r="E456" s="3" t="s">
        <v>176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200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176</v>
      </c>
      <c r="D457" s="3"/>
      <c r="E457" s="3" t="s">
        <v>176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176</v>
      </c>
      <c r="D458" s="3"/>
      <c r="E458" s="3" t="s">
        <v>176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176</v>
      </c>
      <c r="D459" s="3"/>
      <c r="E459" s="3" t="s">
        <v>176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176</v>
      </c>
      <c r="D460" s="3"/>
      <c r="E460" s="3" t="s">
        <v>176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176</v>
      </c>
      <c r="D461" s="3"/>
      <c r="E461" s="3" t="s">
        <v>176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176</v>
      </c>
      <c r="D462" s="3"/>
      <c r="E462" s="3" t="s">
        <v>176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176</v>
      </c>
      <c r="D463" s="3"/>
      <c r="E463" s="3" t="s">
        <v>176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312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178</v>
      </c>
      <c r="D469" s="3"/>
      <c r="E469" s="3" t="s">
        <v>178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313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178</v>
      </c>
      <c r="D470" s="3"/>
      <c r="E470" s="3" t="s">
        <v>178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178</v>
      </c>
      <c r="D471" s="3"/>
      <c r="E471" s="3" t="s">
        <v>178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178</v>
      </c>
      <c r="D472" s="3"/>
      <c r="E472" s="3" t="s">
        <v>178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200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178</v>
      </c>
      <c r="D473" s="3"/>
      <c r="E473" s="3" t="s">
        <v>178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178</v>
      </c>
      <c r="D474" s="3"/>
      <c r="E474" s="3" t="s">
        <v>178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178</v>
      </c>
      <c r="D475" s="3"/>
      <c r="E475" s="3" t="s">
        <v>178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178</v>
      </c>
      <c r="D476" s="3"/>
      <c r="E476" s="3" t="s">
        <v>178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178</v>
      </c>
      <c r="D477" s="3"/>
      <c r="E477" s="3" t="s">
        <v>178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178</v>
      </c>
      <c r="D478" s="3"/>
      <c r="E478" s="3" t="s">
        <v>178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178</v>
      </c>
      <c r="D479" s="3"/>
      <c r="E479" s="3" t="s">
        <v>178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178</v>
      </c>
      <c r="D480" s="3"/>
      <c r="E480" s="3" t="s">
        <v>178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180</v>
      </c>
      <c r="D485" s="3"/>
      <c r="E485" s="3" t="s">
        <v>180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316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180</v>
      </c>
      <c r="D486" s="3"/>
      <c r="E486" s="3" t="s">
        <v>180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180</v>
      </c>
      <c r="D487" s="3"/>
      <c r="E487" s="3" t="s">
        <v>180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180</v>
      </c>
      <c r="D488" s="3"/>
      <c r="E488" s="3" t="s">
        <v>180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200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180</v>
      </c>
      <c r="D489" s="3"/>
      <c r="E489" s="3" t="s">
        <v>180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180</v>
      </c>
      <c r="D490" s="3"/>
      <c r="E490" s="3" t="s">
        <v>180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181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180</v>
      </c>
      <c r="D491" s="3"/>
      <c r="E491" s="3" t="s">
        <v>180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180</v>
      </c>
      <c r="D492" s="3"/>
      <c r="E492" s="3" t="s">
        <v>180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180</v>
      </c>
      <c r="D493" s="3"/>
      <c r="E493" s="3" t="s">
        <v>180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180</v>
      </c>
      <c r="D494" s="3"/>
      <c r="E494" s="3" t="s">
        <v>180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180</v>
      </c>
      <c r="D495" s="3"/>
      <c r="E495" s="3" t="s">
        <v>180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180</v>
      </c>
      <c r="D496" s="3"/>
      <c r="E496" s="3" t="s">
        <v>180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180</v>
      </c>
      <c r="D497" s="3"/>
      <c r="E497" s="3" t="s">
        <v>180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182</v>
      </c>
      <c r="D501" s="3"/>
      <c r="E501" s="3" t="s">
        <v>182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319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182</v>
      </c>
      <c r="D502" s="3"/>
      <c r="E502" s="3" t="s">
        <v>182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182</v>
      </c>
      <c r="D503" s="3"/>
      <c r="E503" s="3" t="s">
        <v>182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182</v>
      </c>
      <c r="D504" s="3"/>
      <c r="E504" s="3" t="s">
        <v>182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200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182</v>
      </c>
      <c r="D505" s="3"/>
      <c r="E505" s="3" t="s">
        <v>182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182</v>
      </c>
      <c r="D506" s="3"/>
      <c r="E506" s="3" t="s">
        <v>182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183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182</v>
      </c>
      <c r="D507" s="3"/>
      <c r="E507" s="3" t="s">
        <v>182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182</v>
      </c>
      <c r="D508" s="3"/>
      <c r="E508" s="3" t="s">
        <v>182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182</v>
      </c>
      <c r="D509" s="3"/>
      <c r="E509" s="3" t="s">
        <v>182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182</v>
      </c>
      <c r="D510" s="3"/>
      <c r="E510" s="3" t="s">
        <v>182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182</v>
      </c>
      <c r="D511" s="3"/>
      <c r="E511" s="3" t="s">
        <v>182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182</v>
      </c>
      <c r="D512" s="3"/>
      <c r="E512" s="3" t="s">
        <v>182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182</v>
      </c>
      <c r="D513" s="3"/>
      <c r="E513" s="3" t="s">
        <v>182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182</v>
      </c>
      <c r="D514" s="3"/>
      <c r="E514" s="3" t="s">
        <v>182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184</v>
      </c>
      <c r="D517" s="3"/>
      <c r="E517" s="3" t="s">
        <v>184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184</v>
      </c>
      <c r="D518" s="3"/>
      <c r="E518" s="3" t="s">
        <v>184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184</v>
      </c>
      <c r="D519" s="3"/>
      <c r="E519" s="3" t="s">
        <v>184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184</v>
      </c>
      <c r="D520" s="3"/>
      <c r="E520" s="3" t="s">
        <v>184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200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184</v>
      </c>
      <c r="D521" s="3"/>
      <c r="E521" s="3" t="s">
        <v>184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184</v>
      </c>
      <c r="D522" s="3"/>
      <c r="E522" s="3" t="s">
        <v>184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185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184</v>
      </c>
      <c r="D523" s="3"/>
      <c r="E523" s="3" t="s">
        <v>184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184</v>
      </c>
      <c r="D524" s="3"/>
      <c r="E524" s="3" t="s">
        <v>184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184</v>
      </c>
      <c r="D525" s="3"/>
      <c r="E525" s="3" t="s">
        <v>184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184</v>
      </c>
      <c r="D526" s="3"/>
      <c r="E526" s="3" t="s">
        <v>184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184</v>
      </c>
      <c r="D527" s="3"/>
      <c r="E527" s="3" t="s">
        <v>184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184</v>
      </c>
      <c r="D528" s="3"/>
      <c r="E528" s="3" t="s">
        <v>184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184</v>
      </c>
      <c r="D529" s="3"/>
      <c r="E529" s="3" t="s">
        <v>184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184</v>
      </c>
      <c r="D530" s="3"/>
      <c r="E530" s="3" t="s">
        <v>184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184</v>
      </c>
      <c r="D531" s="3"/>
      <c r="E531" s="3" t="s">
        <v>184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323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186</v>
      </c>
      <c r="D533" s="3"/>
      <c r="E533" s="3" t="s">
        <v>186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186</v>
      </c>
      <c r="D534" s="3"/>
      <c r="E534" s="3" t="s">
        <v>186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186</v>
      </c>
      <c r="D535" s="3"/>
      <c r="E535" s="3" t="s">
        <v>186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186</v>
      </c>
      <c r="D536" s="3"/>
      <c r="E536" s="3" t="s">
        <v>186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200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186</v>
      </c>
      <c r="D537" s="3"/>
      <c r="E537" s="3" t="s">
        <v>186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186</v>
      </c>
      <c r="D538" s="3"/>
      <c r="E538" s="3" t="s">
        <v>186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187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186</v>
      </c>
      <c r="D539" s="3"/>
      <c r="E539" s="3" t="s">
        <v>186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186</v>
      </c>
      <c r="D540" s="3"/>
      <c r="E540" s="3" t="s">
        <v>186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186</v>
      </c>
      <c r="D541" s="3"/>
      <c r="E541" s="3" t="s">
        <v>186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186</v>
      </c>
      <c r="D542" s="3"/>
      <c r="E542" s="3" t="s">
        <v>186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186</v>
      </c>
      <c r="D543" s="3"/>
      <c r="E543" s="3" t="s">
        <v>186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186</v>
      </c>
      <c r="D544" s="3"/>
      <c r="E544" s="3" t="s">
        <v>186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186</v>
      </c>
      <c r="D545" s="3"/>
      <c r="E545" s="3" t="s">
        <v>186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186</v>
      </c>
      <c r="D546" s="3"/>
      <c r="E546" s="3" t="s">
        <v>186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186</v>
      </c>
      <c r="D547" s="3"/>
      <c r="E547" s="3" t="s">
        <v>186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186</v>
      </c>
      <c r="D548" s="3"/>
      <c r="E548" s="3" t="s">
        <v>186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188</v>
      </c>
      <c r="D549" s="3"/>
      <c r="E549" s="3" t="s">
        <v>188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188</v>
      </c>
      <c r="D550" s="3"/>
      <c r="E550" s="3" t="s">
        <v>188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188</v>
      </c>
      <c r="D551" s="3"/>
      <c r="E551" s="3" t="s">
        <v>188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188</v>
      </c>
      <c r="D552" s="3"/>
      <c r="E552" s="3" t="s">
        <v>188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188</v>
      </c>
      <c r="D553" s="3"/>
      <c r="E553" s="3" t="s">
        <v>188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188</v>
      </c>
      <c r="D554" s="3"/>
      <c r="E554" s="3" t="s">
        <v>188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188</v>
      </c>
      <c r="D555" s="3"/>
      <c r="E555" s="3" t="s">
        <v>188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188</v>
      </c>
      <c r="D556" s="3"/>
      <c r="E556" s="3" t="s">
        <v>188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188</v>
      </c>
      <c r="D557" s="3"/>
      <c r="E557" s="3" t="s">
        <v>188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188</v>
      </c>
      <c r="D558" s="3"/>
      <c r="E558" s="3" t="s">
        <v>188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188</v>
      </c>
      <c r="D559" s="3"/>
      <c r="E559" s="3" t="s">
        <v>188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188</v>
      </c>
      <c r="D560" s="3"/>
      <c r="E560" s="3" t="s">
        <v>188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188</v>
      </c>
      <c r="D561" s="3"/>
      <c r="E561" s="3" t="s">
        <v>188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188</v>
      </c>
      <c r="D562" s="3"/>
      <c r="E562" s="3" t="s">
        <v>188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188</v>
      </c>
      <c r="D563" s="3"/>
      <c r="E563" s="3" t="s">
        <v>188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188</v>
      </c>
      <c r="D564" s="3"/>
      <c r="E564" s="3" t="s">
        <v>188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190</v>
      </c>
      <c r="D565" s="3"/>
      <c r="E565" s="3" t="s">
        <v>190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331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190</v>
      </c>
      <c r="D566" s="3"/>
      <c r="E566" s="3" t="s">
        <v>190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190</v>
      </c>
      <c r="D567" s="3"/>
      <c r="E567" s="3" t="s">
        <v>190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190</v>
      </c>
      <c r="D568" s="3"/>
      <c r="E568" s="3" t="s">
        <v>190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200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190</v>
      </c>
      <c r="D569" s="3"/>
      <c r="E569" s="3" t="s">
        <v>190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190</v>
      </c>
      <c r="D570" s="3"/>
      <c r="E570" s="3" t="s">
        <v>190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191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190</v>
      </c>
      <c r="D571" s="3"/>
      <c r="E571" s="3" t="s">
        <v>190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190</v>
      </c>
      <c r="D572" s="3"/>
      <c r="E572" s="3" t="s">
        <v>190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190</v>
      </c>
      <c r="D573" s="3"/>
      <c r="E573" s="3" t="s">
        <v>190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190</v>
      </c>
      <c r="D574" s="3"/>
      <c r="E574" s="3" t="s">
        <v>190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332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333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192</v>
      </c>
      <c r="D581" s="3"/>
      <c r="E581" s="3" t="s">
        <v>192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334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192</v>
      </c>
      <c r="D582" s="3"/>
      <c r="E582" s="3" t="s">
        <v>192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192</v>
      </c>
      <c r="D583" s="3"/>
      <c r="E583" s="3" t="s">
        <v>192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192</v>
      </c>
      <c r="D584" s="3"/>
      <c r="E584" s="3" t="s">
        <v>192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200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192</v>
      </c>
      <c r="D585" s="3"/>
      <c r="E585" s="3" t="s">
        <v>192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192</v>
      </c>
      <c r="D586" s="3"/>
      <c r="E586" s="3" t="s">
        <v>192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193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192</v>
      </c>
      <c r="D587" s="3"/>
      <c r="E587" s="3" t="s">
        <v>192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192</v>
      </c>
      <c r="D588" s="3"/>
      <c r="E588" s="3" t="s">
        <v>192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192</v>
      </c>
      <c r="D589" s="3"/>
      <c r="E589" s="3" t="s">
        <v>192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192</v>
      </c>
      <c r="D590" s="3"/>
      <c r="E590" s="3" t="s">
        <v>192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192</v>
      </c>
      <c r="D591" s="3"/>
      <c r="E591" s="3" t="s">
        <v>192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192</v>
      </c>
      <c r="D592" s="3"/>
      <c r="E592" s="3" t="s">
        <v>192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192</v>
      </c>
      <c r="D593" s="3"/>
      <c r="E593" s="3" t="s">
        <v>192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192</v>
      </c>
      <c r="D594" s="3"/>
      <c r="E594" s="3" t="s">
        <v>192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192</v>
      </c>
      <c r="D595" s="3"/>
      <c r="E595" s="3" t="s">
        <v>192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192</v>
      </c>
      <c r="D596" s="3"/>
      <c r="E596" s="3" t="s">
        <v>192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200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195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194</v>
      </c>
      <c r="D605" s="3"/>
      <c r="E605" s="3" t="s">
        <v>194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194</v>
      </c>
      <c r="D606" s="3"/>
      <c r="E606" s="3" t="s">
        <v>194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194</v>
      </c>
      <c r="D607" s="3"/>
      <c r="E607" s="3" t="s">
        <v>194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194</v>
      </c>
      <c r="D608" s="3"/>
      <c r="E608" s="3" t="s">
        <v>194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194</v>
      </c>
      <c r="D609" s="3"/>
      <c r="E609" s="3" t="s">
        <v>194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194</v>
      </c>
      <c r="D610" s="3"/>
      <c r="E610" s="3" t="s">
        <v>194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194</v>
      </c>
      <c r="D611" s="3"/>
      <c r="E611" s="3" t="s">
        <v>194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194</v>
      </c>
      <c r="D612" s="3"/>
      <c r="E612" s="3" t="s">
        <v>194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196</v>
      </c>
      <c r="D613" s="3"/>
      <c r="E613" s="3" t="s">
        <v>196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340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196</v>
      </c>
      <c r="D614" s="3"/>
      <c r="E614" s="3" t="s">
        <v>196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196</v>
      </c>
      <c r="D615" s="3"/>
      <c r="E615" s="3" t="s">
        <v>196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196</v>
      </c>
      <c r="D616" s="3"/>
      <c r="E616" s="3" t="s">
        <v>196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200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198</v>
      </c>
      <c r="D629" s="3"/>
      <c r="E629" s="3" t="s">
        <v>198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198</v>
      </c>
      <c r="D630" s="3"/>
      <c r="E630" s="3" t="s">
        <v>198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198</v>
      </c>
      <c r="D631" s="3"/>
      <c r="E631" s="3" t="s">
        <v>198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198</v>
      </c>
      <c r="D632" s="3"/>
      <c r="E632" s="3" t="s">
        <v>198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200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198</v>
      </c>
      <c r="D633" s="3"/>
      <c r="E633" s="3" t="s">
        <v>198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198</v>
      </c>
      <c r="D634" s="3"/>
      <c r="E634" s="3" t="s">
        <v>198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199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198</v>
      </c>
      <c r="D635" s="3"/>
      <c r="E635" s="3" t="s">
        <v>198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198</v>
      </c>
      <c r="D636" s="3"/>
      <c r="E636" s="3" t="s">
        <v>198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198</v>
      </c>
      <c r="D637" s="3"/>
      <c r="E637" s="3" t="s">
        <v>198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198</v>
      </c>
      <c r="D638" s="3"/>
      <c r="E638" s="3" t="s">
        <v>198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198</v>
      </c>
      <c r="D639" s="3"/>
      <c r="E639" s="3" t="s">
        <v>198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198</v>
      </c>
      <c r="D640" s="3"/>
      <c r="E640" s="3" t="s">
        <v>198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200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208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200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212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200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216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200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220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200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230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200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234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200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200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238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200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242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200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246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200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250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260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200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264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200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200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268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200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272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200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276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200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280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200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290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200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294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200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200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200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200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200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200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200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200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200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200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200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200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200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200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2025-11-28T06:08:35Z</dcterms:modified>
</cp:coreProperties>
</file>