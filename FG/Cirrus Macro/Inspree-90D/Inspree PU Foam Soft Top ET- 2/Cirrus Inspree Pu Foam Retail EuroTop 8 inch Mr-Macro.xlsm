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ET- 2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9" i="13"/>
  <c r="G4" i="13"/>
  <c r="G7" i="13" l="1"/>
  <c r="G6" i="13"/>
  <c r="G3" i="13" l="1"/>
  <c r="H3" i="13" s="1"/>
  <c r="D3" i="13"/>
  <c r="D4" i="13"/>
  <c r="D5" i="13"/>
  <c r="D6" i="13"/>
  <c r="D7" i="13"/>
  <c r="D8" i="13"/>
  <c r="D9" i="13"/>
  <c r="D10" i="13"/>
  <c r="D11" i="13"/>
  <c r="D12" i="13"/>
  <c r="D13" i="13"/>
  <c r="D2" i="13"/>
  <c r="G2" i="13" l="1"/>
  <c r="G12" i="13"/>
  <c r="G8" i="13" l="1"/>
  <c r="H4" i="13"/>
  <c r="E2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<sst xmlns="http://schemas.openxmlformats.org/spreadsheetml/2006/main" count="10323" uniqueCount="271">
  <si>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</si>
  <si>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</si>
  <si>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</si>
  <si>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</si>
  <si>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</si>
  <si>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</si>
  <si>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</si>
  <si>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</si>
  <si>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</si>
  <si>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</si>
  <si>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</si>
  <si>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</si>
  <si>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</si>
  <si>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</si>
  <si>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</si>
  <si>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</si>
  <si>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</si>
  <si>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</si>
  <si>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</si>
  <si>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</si>
  <si>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</si>
  <si>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</si>
  <si>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</si>
  <si>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</si>
  <si>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</si>
  <si>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</si>
  <si>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</si>
  <si>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</si>
  <si>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</si>
  <si>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</si>
  <si>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</si>
  <si>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</si>
  <si>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</si>
  <si>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</si>
  <si>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</si>
  <si>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</si>
  <si>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</si>
  <si>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</si>
  <si>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</si>
  <si>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</si>
  <si>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</si>
  <si>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</si>
  <si>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</si>
  <si>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</si>
  <si>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</si>
  <si>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</si>
  <si>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</si>
  <si>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</si>
  <si>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</si>
  <si>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</si>
  <si>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</si>
  <si>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</si>
  <si>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</si>
  <si>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</si>
  <si>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</si>
  <si>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</si>
  <si>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</si>
  <si>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</si>
  <si>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</si>
  <si>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</si>
  <si>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</si>
  <si>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</si>
  <si>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</si>
  <si>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</si>
  <si>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</si>
  <si>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</si>
  <si>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</si>
  <si>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</si>
  <si>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</si>
  <si>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</si>
  <si>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</si>
  <si>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</si>
  <si>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</si>
  <si>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</si>
  <si>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</si>
  <si>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</si>
  <si>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</si>
  <si>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</si>
  <si>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</si>
  <si>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</si>
  <si>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</si>
  <si>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</si>
  <si>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</si>
  <si>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</si>
  <si>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</si>
  <si>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</si>
  <si>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</si>
  <si>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</si>
  <si>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</si>
  <si>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</si>
  <si>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</si>
  <si>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</si>
  <si>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</si>
  <si>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</si>
  <si>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</si>
  <si>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</si>
  <si>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</si>
  <si>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</si>
  <si>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</si>
  <si>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</si>
  <si>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</si>
  <si>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</si>
  <si>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</si>
  <si>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</si>
  <si>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</si>
  <si>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MR-only</t>
  </si>
  <si>
    <t>5,6,8</t>
  </si>
  <si>
    <t>HYPINSFMETMR72X30X08-90D</t>
  </si>
  <si>
    <t>SFG-INSRBMR-ST-QUILT-90D</t>
  </si>
  <si>
    <t>HYPINSFMETMR72X36X08-90D</t>
  </si>
  <si>
    <t>HYPINSFMETMR72X42X08-90D</t>
  </si>
  <si>
    <t>HYPINSFMETMR72X48X08-90D</t>
  </si>
  <si>
    <t>HYPINSFMETMR72X60X08-90D</t>
  </si>
  <si>
    <t>HYPINSFMETMR72X66X08-90D</t>
  </si>
  <si>
    <t>HYPINSFMETMR72X72X08-90D</t>
  </si>
  <si>
    <t>HYPINSFMETMR75X30X08-90D</t>
  </si>
  <si>
    <t>HYPINSFMETMR75X36X08-90D</t>
  </si>
  <si>
    <t>HYPINSFMETMR75X42X08-90D</t>
  </si>
  <si>
    <t>HYPINSFMETMR75X48X08-90D</t>
  </si>
  <si>
    <t>HYPINSFMETMR75X60X08-90D</t>
  </si>
  <si>
    <t>HYPINSFMETMR75X66X08-90D</t>
  </si>
  <si>
    <t>HYPINSFMETMR75X72X08-90D</t>
  </si>
  <si>
    <t>HYPINSFMETMR78X30X08-90D</t>
  </si>
  <si>
    <t>HYPINSFMETMR78X36X08-90D</t>
  </si>
  <si>
    <t>HYPINSFMETMR78X42X08-90D</t>
  </si>
  <si>
    <t>HYPINSFMETMR78X48X08-90D</t>
  </si>
  <si>
    <t>HYPINSFMETMR78X60X08-90D</t>
  </si>
  <si>
    <t>HYPINSFMETMR78X66X08-90D</t>
  </si>
  <si>
    <t>HYPINSFMETMR78X72X08-90D</t>
  </si>
  <si>
    <t>HYPINSFMETMR80X30X08-90D</t>
  </si>
  <si>
    <t>HYPINSFMETMR80X36X08-90D</t>
  </si>
  <si>
    <t>HYPINSFMETMR80X42X08-90D</t>
  </si>
  <si>
    <t>HYPINSFMETMR80X48X08-90D</t>
  </si>
  <si>
    <t>HYPINSFMETMR80X60X08-90D</t>
  </si>
  <si>
    <t>HYPINSFMETMR80X66X08-90D</t>
  </si>
  <si>
    <t>HYPINSFMETMR80X72X08-90D</t>
  </si>
  <si>
    <t>HYPINSFMETMR84X30X08-90D</t>
  </si>
  <si>
    <t>HYPINSFMETMR84X36X08-90D</t>
  </si>
  <si>
    <t>HYPINSFMETMR84X42X08-90D</t>
  </si>
  <si>
    <t>HYPINSFMETMR84X48X08-90D</t>
  </si>
  <si>
    <t>HYPINSFMETMR84X60X08-90D</t>
  </si>
  <si>
    <t>HYPINSFMETMR84X66X08-90D</t>
  </si>
  <si>
    <t>HYPINSFMETMR84X72X08-90D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</si>
  <si>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</si>
  <si>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</si>
  <si>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</si>
  <si>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</si>
  <si>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</si>
  <si>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</si>
  <si>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</si>
  <si>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</si>
  <si>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</si>
  <si>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</si>
  <si>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</si>
  <si>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RML-CS-CIR-8.5</t>
  </si>
  <si>
    <t>90D-HYP-INS-ET-BLOCK-72X30X08</t>
  </si>
  <si>
    <t>90D-HYP-INS-ET-BLOCK-72X36X08</t>
  </si>
  <si>
    <t>90D-HYP-INS-ET-BLOCK-72X42X08</t>
  </si>
  <si>
    <t>90D-HYP-INS-ET-BLOCK-72X48X08</t>
  </si>
  <si>
    <t>90D-HYP-INS-ET-BLOCK-72X60X08</t>
  </si>
  <si>
    <t>90D-HYP-INS-ET-BLOCK-72X66X08</t>
  </si>
  <si>
    <t>90D-HYP-INS-ET-BLOCK-72X72X08</t>
  </si>
  <si>
    <t>90D-HYP-INS-ET-BLOCK-75X30X08</t>
  </si>
  <si>
    <t>90D-HYP-INS-ET-BLOCK-75X36X08</t>
  </si>
  <si>
    <t>90D-HYP-INS-ET-BLOCK-75X42X08</t>
  </si>
  <si>
    <t>90D-HYP-INS-ET-BLOCK-75X48X08</t>
  </si>
  <si>
    <t>90D-HYP-INS-ET-BLOCK-75X60X08</t>
  </si>
  <si>
    <t>90D-HYP-INS-ET-BLOCK-75X66X08</t>
  </si>
  <si>
    <t>90D-HYP-INS-ET-BLOCK-75X72X08</t>
  </si>
  <si>
    <t>90D-HYP-INS-ET-BLOCK-78X30X08</t>
  </si>
  <si>
    <t>90D-HYP-INS-ET-BLOCK-78X36X08</t>
  </si>
  <si>
    <t>90D-HYP-INS-ET-BLOCK-78X42X08</t>
  </si>
  <si>
    <t>90D-HYP-INS-ET-BLOCK-78X48X08</t>
  </si>
  <si>
    <t>90D-HYP-INS-ET-BLOCK-78X60X08</t>
  </si>
  <si>
    <t>90D-HYP-INS-ET-BLOCK-78X66X08</t>
  </si>
  <si>
    <t>90D-HYP-INS-ET-BLOCK-78X72X08</t>
  </si>
  <si>
    <t>90D-HYP-INS-ET-BLOCK-80X30X08</t>
  </si>
  <si>
    <t>90D-HYP-INS-ET-BLOCK-80X36X08</t>
  </si>
  <si>
    <t>90D-HYP-INS-ET-BLOCK-80X42X08</t>
  </si>
  <si>
    <t>90D-HYP-INS-ET-BLOCK-80X48X08</t>
  </si>
  <si>
    <t>90D-HYP-INS-ET-BLOCK-80X60X08</t>
  </si>
  <si>
    <t>90D-HYP-INS-ET-BLOCK-80X66X08</t>
  </si>
  <si>
    <t>90D-HYP-INS-ET-BLOCK-80X72X08</t>
  </si>
  <si>
    <t>90D-HYP-INS-ET-BLOCK-84X30X08</t>
  </si>
  <si>
    <t>90D-HYP-INS-ET-BLOCK-84X36X08</t>
  </si>
  <si>
    <t>90D-HYP-INS-ET-BLOCK-84X42X08</t>
  </si>
  <si>
    <t>90D-HYP-INS-ET-BLOCK-84X48X08</t>
  </si>
  <si>
    <t>90D-HYP-INS-ET-BLOCK-84X60X08</t>
  </si>
  <si>
    <t>90D-HYP-INS-ET-BLOCK-84X66X08</t>
  </si>
  <si>
    <t>90D-HYP-INS-ET-BLOCK-84X72X08</t>
  </si>
  <si>
    <t>HYPINSFMETMR72X33X05-90D</t>
  </si>
  <si>
    <t>RML-CS-CIR-5.5"</t>
  </si>
  <si>
    <t>90D-HYP-INS-ET-BLOCK-72X33X05</t>
  </si>
  <si>
    <t>HYPINSFMETMR72X39X05-90D</t>
  </si>
  <si>
    <t>90D-HYP-INS-ET-BLOCK-72X39X05</t>
  </si>
  <si>
    <t>HYPINSFMETMR72X45X05-90D</t>
  </si>
  <si>
    <t>90D-HYP-INS-ET-BLOCK-72X45X05</t>
  </si>
  <si>
    <t>HYPINSFMETMR72X51X05-90D</t>
  </si>
  <si>
    <t>90D-HYP-INS-ET-BLOCK-72X51X05</t>
  </si>
  <si>
    <t>HYPINSFMETMR72X54X05-90D</t>
  </si>
  <si>
    <t>90D-HYP-INS-ET-BLOCK-72X54X05</t>
  </si>
  <si>
    <t>HYPINSFMETMR72X57X05-90D</t>
  </si>
  <si>
    <t>90D-HYP-INS-ET-BLOCK-72X57X05</t>
  </si>
  <si>
    <t>HYPINSFMETMR72X63X05-90D</t>
  </si>
  <si>
    <t>90D-HYP-INS-ET-BLOCK-72X63X05</t>
  </si>
  <si>
    <t>HYPINSFMETMR72X69X05-90D</t>
  </si>
  <si>
    <t>90D-HYP-INS-ET-BLOCK-72X69X05</t>
  </si>
  <si>
    <t>HYPINSFMETMR75X33X05-90D</t>
  </si>
  <si>
    <t>90D-HYP-INS-ET-BLOCK-75X33X05</t>
  </si>
  <si>
    <t>HYPINSFMETMR75X39X05-90D</t>
  </si>
  <si>
    <t>90D-HYP-INS-ET-BLOCK-75X39X05</t>
  </si>
  <si>
    <t>HYPINSFMETMR75X45X05-90D</t>
  </si>
  <si>
    <t>90D-HYP-INS-ET-BLOCK-75X45X05</t>
  </si>
  <si>
    <t>HYPINSFMETMR75X51X05-90D</t>
  </si>
  <si>
    <t>90D-HYP-INS-ET-BLOCK-75X51X05</t>
  </si>
  <si>
    <t>HYPINSFMETMR75X54X05-90D</t>
  </si>
  <si>
    <t>90D-HYP-INS-ET-BLOCK-75X54X05</t>
  </si>
  <si>
    <t>HYPINSFMETMR75X57X05-90D</t>
  </si>
  <si>
    <t>90D-HYP-INS-ET-BLOCK-75X57X05</t>
  </si>
  <si>
    <t>HYPINSFMETMR75X63X05-90D</t>
  </si>
  <si>
    <t>90D-HYP-INS-ET-BLOCK-75X63X05</t>
  </si>
  <si>
    <t>HYPINSFMETMR75X69X05-90D</t>
  </si>
  <si>
    <t>90D-HYP-INS-ET-BLOCK-75X69X05</t>
  </si>
  <si>
    <t>HYPINSFMETMR78X33X05-90D</t>
  </si>
  <si>
    <t>90D-HYP-INS-ET-BLOCK-78X33X05</t>
  </si>
  <si>
    <t>HYPINSFMETMR78X39X05-90D</t>
  </si>
  <si>
    <t>90D-HYP-INS-ET-BLOCK-78X39X05</t>
  </si>
  <si>
    <t>HYPINSFMETMR78X45X05-90D</t>
  </si>
  <si>
    <t>90D-HYP-INS-ET-BLOCK-78X45X05</t>
  </si>
  <si>
    <t>HYPINSFMETMR78X51X05-90D</t>
  </si>
  <si>
    <t>90D-HYP-INS-ET-BLOCK-78X51X05</t>
  </si>
  <si>
    <t>HYPINSFMETMR78X54X05-90D</t>
  </si>
  <si>
    <t>90D-HYP-INS-ET-BLOCK-78X54X05</t>
  </si>
  <si>
    <t>HYPINSFMETMR78X57X05-90D</t>
  </si>
  <si>
    <t>90D-HYP-INS-ET-BLOCK-78X57X05</t>
  </si>
  <si>
    <t>HYPINSFMETMR78X63X05-90D</t>
  </si>
  <si>
    <t>90D-HYP-INS-ET-BLOCK-78X63X05</t>
  </si>
  <si>
    <t>HYPINSFMETMR78X69X05-90D</t>
  </si>
  <si>
    <t>90D-HYP-INS-ET-BLOCK-78X69X05</t>
  </si>
  <si>
    <t>HYPINSFMETMR80X33X05-90D</t>
  </si>
  <si>
    <t>90D-HYP-INS-ET-BLOCK-80X33X05</t>
  </si>
  <si>
    <t>HYPINSFMETMR80X39X05-90D</t>
  </si>
  <si>
    <t>90D-HYP-INS-ET-BLOCK-80X39X05</t>
  </si>
  <si>
    <t>HYPINSFMETMR80X45X05-90D</t>
  </si>
  <si>
    <t>90D-HYP-INS-ET-BLOCK-80X45X05</t>
  </si>
  <si>
    <t>HYPINSFMETMR80X51X05-90D</t>
  </si>
  <si>
    <t>90D-HYP-INS-ET-BLOCK-80X51X05</t>
  </si>
  <si>
    <t>HYPINSFMETMR80X54X05-90D</t>
  </si>
  <si>
    <t>90D-HYP-INS-ET-BLOCK-80X54X05</t>
  </si>
  <si>
    <t>HYPINSFMETMR80X57X05-90D</t>
  </si>
  <si>
    <t>90D-HYP-INS-ET-BLOCK-80X57X05</t>
  </si>
  <si>
    <t>HYPINSFMETMR80X63X05-90D</t>
  </si>
  <si>
    <t>90D-HYP-INS-ET-BLOCK-80X63X05</t>
  </si>
  <si>
    <t>HYPINSFMETMR80X69X05-90D</t>
  </si>
  <si>
    <t>90D-HYP-INS-ET-BLOCK-80X69X05</t>
  </si>
  <si>
    <t>HYPINSFMETMR84X33X05-90D</t>
  </si>
  <si>
    <t>90D-HYP-INS-ET-BLOCK-84X33X05</t>
  </si>
  <si>
    <t>HYPINSFMETMR84X39X05-90D</t>
  </si>
  <si>
    <t>90D-HYP-INS-ET-BLOCK-84X39X05</t>
  </si>
  <si>
    <t>HYPINSFMETMR84X45X05-90D</t>
  </si>
  <si>
    <t>90D-HYP-INS-ET-BLOCK-84X45X05</t>
  </si>
  <si>
    <t>HYPINSFMETMR84X51X05-90D</t>
  </si>
  <si>
    <t>90D-HYP-INS-ET-BLOCK-84X51X05</t>
  </si>
  <si>
    <t>HYPINSFMETMR84X54X05-90D</t>
  </si>
  <si>
    <t>90D-HYP-INS-ET-BLOCK-84X54X05</t>
  </si>
  <si>
    <t>HYPINSFMETMR84X57X05-90D</t>
  </si>
  <si>
    <t>90D-HYP-INS-ET-BLOCK-84X57X05</t>
  </si>
  <si>
    <t>HYPINSFMETMR84X63X05-90D</t>
  </si>
  <si>
    <t>90D-HYP-INS-ET-BLOCK-84X63X05</t>
  </si>
  <si>
    <t>HYPINSFMETMR84X69X05-90D</t>
  </si>
  <si>
    <t>90D-HYP-INS-ET-BLOCK-84X69X05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</si>
</sst>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4" sqref="E24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855468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"HYPINSFMET"&amp;IF($N$2="MR","MR",IF($N$2="MR","MR","MR"))&amp;$K$2&amp;"X"&amp;$L$2&amp;"X0"&amp;$M$2&amp;"-90D"</f>
        <v>HYPINSFMETMR75X36X05-90D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94</v>
      </c>
      <c r="P2" s="4" t="s">
        <v>106</v>
      </c>
      <c r="R2" s="28" t="s">
        <v>88</v>
      </c>
      <c r="S2" s="28" t="s">
        <v>95</v>
      </c>
      <c r="T2" s="28">
        <v>8</v>
      </c>
      <c r="U2" s="29" t="s">
        <v>94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"HYPINSFMET"&amp;IF($N$2="MR","MR",IF($N$2="MR","MR","MR"))&amp;$K$2&amp;"X"&amp;$L$2&amp;"X0"&amp;$M$2&amp;"-90D"</f>
        <v>HYPINSFMETMR75X36X05-90D</v>
      </c>
      <c r="E3" s="46" t="s">
        <v>151</v>
      </c>
      <c r="F3" s="38" t="s">
        <v>14</v>
      </c>
      <c r="G3" s="10">
        <f>IF(K2&lt;81,(L2+1),(K2+1))*0.0254</f>
        <v>0.93979999999999997</v>
      </c>
      <c r="H3" s="10">
        <f t="shared" ref="H3" si="2"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105</v>
      </c>
      <c r="R3" s="28" t="s">
        <v>88</v>
      </c>
      <c r="S3" s="28" t="s">
        <v>96</v>
      </c>
      <c r="T3" s="28">
        <v>8</v>
      </c>
      <c r="U3" s="29" t="s">
        <v>94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HYPINSFMETMR75X36X05-90D</v>
      </c>
      <c r="E4" s="40" t="s">
        <v>101</v>
      </c>
      <c r="F4" s="11" t="s">
        <v>102</v>
      </c>
      <c r="G4" s="34">
        <f>((((K2*L2))/144)*0.00729*4)</f>
        <v>0.54674999999999996</v>
      </c>
      <c r="H4" s="10">
        <f t="shared" ref="H4:H9" si="3">ROUND(G4,3)</f>
        <v>0.54700000000000004</v>
      </c>
      <c r="I4" s="11" t="s">
        <v>13</v>
      </c>
      <c r="J4" s="12"/>
      <c r="O4" s="16"/>
      <c r="R4" s="28" t="s">
        <v>88</v>
      </c>
      <c r="S4" s="28" t="s">
        <v>97</v>
      </c>
      <c r="T4" s="28">
        <v>8</v>
      </c>
      <c r="U4" s="29" t="s">
        <v>94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HYPINSFMETMR75X36X05-90D</v>
      </c>
      <c r="E5" s="45" t="s">
        <v>152</v>
      </c>
      <c r="F5" s="11" t="s">
        <v>11</v>
      </c>
      <c r="G5" s="39">
        <v>1</v>
      </c>
      <c r="H5" s="10">
        <f t="shared" si="3"/>
        <v>1</v>
      </c>
      <c r="I5" s="8" t="s">
        <v>13</v>
      </c>
      <c r="J5" s="12"/>
      <c r="O5" s="16"/>
      <c r="R5" s="28" t="s">
        <v>88</v>
      </c>
      <c r="S5" s="28" t="s">
        <v>98</v>
      </c>
      <c r="T5" s="28">
        <v>8</v>
      </c>
      <c r="U5" s="29" t="s">
        <v>94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HYPINSFMETMR75X36X05-90D</v>
      </c>
      <c r="E6" s="42" t="s">
        <v>103</v>
      </c>
      <c r="F6" s="11" t="s">
        <v>14</v>
      </c>
      <c r="G6" s="10">
        <f>((K2+L2+K2+L2)+2)*0.0254*3</f>
        <v>17.0688</v>
      </c>
      <c r="H6" s="10">
        <f t="shared" si="3"/>
        <v>17.068999999999999</v>
      </c>
      <c r="I6" s="8" t="s">
        <v>13</v>
      </c>
      <c r="J6" s="12"/>
      <c r="R6" s="28" t="s">
        <v>88</v>
      </c>
      <c r="S6" s="28" t="s">
        <v>99</v>
      </c>
      <c r="T6" s="28">
        <v>8</v>
      </c>
      <c r="U6" s="29" t="s">
        <v>94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HYPINSFMETMR75X36X05-90D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3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100</v>
      </c>
      <c r="T7" s="28">
        <v>8</v>
      </c>
      <c r="U7" s="29" t="s">
        <v>94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HYPINSFMETMR75X36X05-90D</v>
      </c>
      <c r="E8" s="45" t="s">
        <v>153</v>
      </c>
      <c r="F8" s="11" t="s">
        <v>12</v>
      </c>
      <c r="G8" s="39">
        <f>(L2+M2+6)*2*0.0254*0.035</f>
        <v>8.3566000000000001E-2</v>
      </c>
      <c r="H8" s="10">
        <f t="shared" si="3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8</v>
      </c>
      <c r="U8" s="29" t="s">
        <v>94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HYPINSFMETMR75X36X05-90D</v>
      </c>
      <c r="E9" s="17" t="str">
        <f>IF(M2=5,"RML-CS-CIR-5.5""",IF(M2=6,"RML-CS-CIR-6.5","RML-CS-CIR-8.5"))</f>
        <v>RML-CS-CIR-5.5"</v>
      </c>
      <c r="F9" s="11" t="s">
        <v>11</v>
      </c>
      <c r="G9" s="39">
        <v>4</v>
      </c>
      <c r="H9" s="10">
        <f t="shared" si="3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95</v>
      </c>
      <c r="T9" s="28">
        <v>8</v>
      </c>
      <c r="U9" s="29" t="s">
        <v>94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HYPINSFMETMR75X36X05-90D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96</v>
      </c>
      <c r="T10" s="28">
        <v>8</v>
      </c>
      <c r="U10" s="29" t="s">
        <v>94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HYPINSFMETMR75X36X05-90D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97</v>
      </c>
      <c r="T11" s="28">
        <v>8</v>
      </c>
      <c r="U11" s="29" t="s">
        <v>94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HYPINSFMETMR75X36X05-90D</v>
      </c>
      <c r="E12" s="17" t="s">
        <v>104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98</v>
      </c>
      <c r="T12" s="28">
        <v>8</v>
      </c>
      <c r="U12" s="29" t="s">
        <v>94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HYPINSFMETMR75X36X05-90D</v>
      </c>
      <c r="E13" s="36" t="str">
        <f>"90D-HYP-INS-ET-BLOCK-"&amp;K2&amp;"X"&amp;L2&amp;"X0"&amp;M2</f>
        <v>90D-HYP-INS-ET-BLOCK-75X36X05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99</v>
      </c>
      <c r="T13" s="28">
        <v>8</v>
      </c>
      <c r="U13" s="29" t="s">
        <v>94</v>
      </c>
    </row>
    <row r="14" spans="1:21" x14ac:dyDescent="0.25">
      <c r="J14" s="12"/>
      <c r="M14" s="18"/>
      <c r="O14" s="18"/>
      <c r="R14" s="28" t="s">
        <v>89</v>
      </c>
      <c r="S14" s="28" t="s">
        <v>100</v>
      </c>
      <c r="T14" s="28">
        <v>8</v>
      </c>
      <c r="U14" s="29" t="s">
        <v>94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8</v>
      </c>
      <c r="U15" s="29" t="s">
        <v>94</v>
      </c>
    </row>
    <row r="16" spans="1:21" x14ac:dyDescent="0.25">
      <c r="J16" s="12"/>
      <c r="M16" s="18"/>
      <c r="N16"/>
      <c r="O16"/>
      <c r="R16" s="28" t="s">
        <v>90</v>
      </c>
      <c r="S16" s="28" t="s">
        <v>95</v>
      </c>
      <c r="T16" s="28">
        <v>8</v>
      </c>
      <c r="U16" s="29" t="s">
        <v>94</v>
      </c>
    </row>
    <row r="17" spans="5:21" x14ac:dyDescent="0.25">
      <c r="H17" s="43"/>
      <c r="J17" s="12"/>
      <c r="N17"/>
      <c r="O17"/>
      <c r="R17" s="28" t="s">
        <v>90</v>
      </c>
      <c r="S17" s="28" t="s">
        <v>96</v>
      </c>
      <c r="T17" s="28">
        <v>8</v>
      </c>
      <c r="U17" s="29" t="s">
        <v>94</v>
      </c>
    </row>
    <row r="18" spans="5:21" x14ac:dyDescent="0.25">
      <c r="G18" s="18"/>
      <c r="H18" s="43"/>
      <c r="J18" s="12"/>
      <c r="N18"/>
      <c r="O18"/>
      <c r="R18" s="28" t="s">
        <v>90</v>
      </c>
      <c r="S18" s="28" t="s">
        <v>97</v>
      </c>
      <c r="T18" s="28">
        <v>8</v>
      </c>
      <c r="U18" s="29" t="s">
        <v>94</v>
      </c>
    </row>
    <row r="19" spans="5:21" x14ac:dyDescent="0.25">
      <c r="H19" s="44"/>
      <c r="J19" s="12"/>
      <c r="N19"/>
      <c r="O19"/>
      <c r="R19" s="28" t="s">
        <v>90</v>
      </c>
      <c r="S19" s="28" t="s">
        <v>98</v>
      </c>
      <c r="T19" s="28">
        <v>8</v>
      </c>
      <c r="U19" s="29" t="s">
        <v>94</v>
      </c>
    </row>
    <row r="20" spans="5:21" x14ac:dyDescent="0.25">
      <c r="J20" s="12"/>
      <c r="N20" s="27"/>
      <c r="O20"/>
      <c r="R20" s="28" t="s">
        <v>90</v>
      </c>
      <c r="S20" s="28" t="s">
        <v>99</v>
      </c>
      <c r="T20" s="28">
        <v>8</v>
      </c>
      <c r="U20" s="29" t="s">
        <v>94</v>
      </c>
    </row>
    <row r="21" spans="5:21" x14ac:dyDescent="0.25">
      <c r="J21" s="12"/>
      <c r="N21"/>
      <c r="O21"/>
      <c r="R21" s="28" t="s">
        <v>90</v>
      </c>
      <c r="S21" s="28" t="s">
        <v>100</v>
      </c>
      <c r="T21" s="28">
        <v>8</v>
      </c>
      <c r="U21" s="29" t="s">
        <v>94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8</v>
      </c>
      <c r="U22" s="29" t="s">
        <v>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95</v>
      </c>
      <c r="T23" s="28">
        <v>8</v>
      </c>
      <c r="U23" s="29" t="s">
        <v>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96</v>
      </c>
      <c r="T24" s="28">
        <v>8</v>
      </c>
      <c r="U24" s="29" t="s">
        <v>94</v>
      </c>
    </row>
    <row r="25" spans="5:21" x14ac:dyDescent="0.25">
      <c r="N25"/>
      <c r="O25"/>
      <c r="R25" s="28" t="s">
        <v>91</v>
      </c>
      <c r="S25" s="28" t="s">
        <v>97</v>
      </c>
      <c r="T25" s="28">
        <v>8</v>
      </c>
      <c r="U25" s="29" t="s">
        <v>94</v>
      </c>
    </row>
    <row r="26" spans="5:21" x14ac:dyDescent="0.25">
      <c r="N26"/>
      <c r="O26"/>
      <c r="R26" s="28" t="s">
        <v>91</v>
      </c>
      <c r="S26" s="28" t="s">
        <v>98</v>
      </c>
      <c r="T26" s="28">
        <v>8</v>
      </c>
      <c r="U26" s="29" t="s">
        <v>94</v>
      </c>
    </row>
    <row r="27" spans="5:21" x14ac:dyDescent="0.25">
      <c r="N27"/>
      <c r="O27"/>
      <c r="R27" s="28" t="s">
        <v>91</v>
      </c>
      <c r="S27" s="28" t="s">
        <v>99</v>
      </c>
      <c r="T27" s="28">
        <v>8</v>
      </c>
      <c r="U27" s="29" t="s">
        <v>94</v>
      </c>
    </row>
    <row r="28" spans="5:21" x14ac:dyDescent="0.25">
      <c r="M28" s="18"/>
      <c r="N28"/>
      <c r="O28"/>
      <c r="R28" s="28" t="s">
        <v>91</v>
      </c>
      <c r="S28" s="28" t="s">
        <v>100</v>
      </c>
      <c r="T28" s="28">
        <v>8</v>
      </c>
      <c r="U28" s="29" t="s">
        <v>94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8</v>
      </c>
      <c r="U29" s="29" t="s">
        <v>94</v>
      </c>
    </row>
    <row r="30" spans="5:21" x14ac:dyDescent="0.25">
      <c r="H30" s="18"/>
      <c r="N30"/>
      <c r="O30"/>
      <c r="R30" s="28" t="s">
        <v>92</v>
      </c>
      <c r="S30" s="28" t="s">
        <v>95</v>
      </c>
      <c r="T30" s="28">
        <v>8</v>
      </c>
      <c r="U30" s="29" t="s">
        <v>94</v>
      </c>
    </row>
    <row r="31" spans="5:21" x14ac:dyDescent="0.25">
      <c r="N31"/>
      <c r="O31"/>
      <c r="R31" s="28" t="s">
        <v>92</v>
      </c>
      <c r="S31" s="28" t="s">
        <v>96</v>
      </c>
      <c r="T31" s="28">
        <v>8</v>
      </c>
      <c r="U31" s="29" t="s">
        <v>94</v>
      </c>
    </row>
    <row r="32" spans="5:21" x14ac:dyDescent="0.25">
      <c r="N32"/>
      <c r="O32"/>
      <c r="R32" s="28" t="s">
        <v>92</v>
      </c>
      <c r="S32" s="28" t="s">
        <v>97</v>
      </c>
      <c r="T32" s="28">
        <v>8</v>
      </c>
      <c r="U32" s="29" t="s">
        <v>94</v>
      </c>
    </row>
    <row r="33" spans="14:21" x14ac:dyDescent="0.25">
      <c r="N33"/>
      <c r="O33"/>
      <c r="R33" s="28" t="s">
        <v>92</v>
      </c>
      <c r="S33" s="28" t="s">
        <v>98</v>
      </c>
      <c r="T33" s="28">
        <v>8</v>
      </c>
      <c r="U33" s="29" t="s">
        <v>94</v>
      </c>
    </row>
    <row r="34" spans="14:21" x14ac:dyDescent="0.25">
      <c r="N34"/>
      <c r="O34"/>
      <c r="R34" s="28" t="s">
        <v>92</v>
      </c>
      <c r="S34" s="28" t="s">
        <v>99</v>
      </c>
      <c r="T34" s="28">
        <v>8</v>
      </c>
      <c r="U34" s="29" t="s">
        <v>94</v>
      </c>
    </row>
    <row r="35" spans="14:21" x14ac:dyDescent="0.25">
      <c r="N35"/>
      <c r="O35"/>
      <c r="R35" s="28" t="s">
        <v>92</v>
      </c>
      <c r="S35" s="28" t="s">
        <v>100</v>
      </c>
      <c r="T35" s="28">
        <v>8</v>
      </c>
      <c r="U35" s="29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8">
        <v>8</v>
      </c>
      <c r="U36" s="29" t="s">
        <v>94</v>
      </c>
    </row>
    <row r="37" spans="14:21" x14ac:dyDescent="0.25">
      <c r="N37"/>
      <c r="O37"/>
      <c r="R37" s="28" t="s">
        <v>88</v>
      </c>
      <c r="S37" s="28" t="s">
        <v>143</v>
      </c>
      <c r="T37" s="28">
        <v>5</v>
      </c>
      <c r="U37" s="29" t="s">
        <v>94</v>
      </c>
    </row>
    <row r="38" spans="14:21" x14ac:dyDescent="0.25">
      <c r="N38"/>
      <c r="O38"/>
      <c r="R38" s="28" t="s">
        <v>88</v>
      </c>
      <c r="S38" s="28" t="s">
        <v>144</v>
      </c>
      <c r="T38" s="28">
        <v>5</v>
      </c>
      <c r="U38" s="29" t="s">
        <v>94</v>
      </c>
    </row>
    <row r="39" spans="14:21" x14ac:dyDescent="0.25">
      <c r="N39"/>
      <c r="O39"/>
      <c r="R39" s="28" t="s">
        <v>88</v>
      </c>
      <c r="S39" s="28" t="s">
        <v>145</v>
      </c>
      <c r="T39" s="28">
        <v>5</v>
      </c>
      <c r="U39" s="29" t="s">
        <v>94</v>
      </c>
    </row>
    <row r="40" spans="14:21" x14ac:dyDescent="0.25">
      <c r="N40"/>
      <c r="O40"/>
      <c r="R40" s="28" t="s">
        <v>88</v>
      </c>
      <c r="S40" s="28" t="s">
        <v>146</v>
      </c>
      <c r="T40" s="28">
        <v>5</v>
      </c>
      <c r="U40" s="29" t="s">
        <v>94</v>
      </c>
    </row>
    <row r="41" spans="14:21" x14ac:dyDescent="0.25">
      <c r="N41"/>
      <c r="O41"/>
      <c r="R41" s="28" t="s">
        <v>88</v>
      </c>
      <c r="S41" s="28" t="s">
        <v>147</v>
      </c>
      <c r="T41" s="28">
        <v>5</v>
      </c>
      <c r="U41" s="29" t="s">
        <v>94</v>
      </c>
    </row>
    <row r="42" spans="14:21" x14ac:dyDescent="0.25">
      <c r="N42"/>
      <c r="O42"/>
      <c r="R42" s="28" t="s">
        <v>88</v>
      </c>
      <c r="S42" s="28" t="s">
        <v>148</v>
      </c>
      <c r="T42" s="28">
        <v>5</v>
      </c>
      <c r="U42" s="29" t="s">
        <v>94</v>
      </c>
    </row>
    <row r="43" spans="14:21" x14ac:dyDescent="0.25">
      <c r="N43"/>
      <c r="O43"/>
      <c r="R43" s="28" t="s">
        <v>88</v>
      </c>
      <c r="S43" s="28" t="s">
        <v>149</v>
      </c>
      <c r="T43" s="28">
        <v>5</v>
      </c>
      <c r="U43" s="29" t="s">
        <v>94</v>
      </c>
    </row>
    <row r="44" spans="14:21" x14ac:dyDescent="0.25">
      <c r="N44"/>
      <c r="O44"/>
      <c r="R44" s="28" t="s">
        <v>88</v>
      </c>
      <c r="S44" s="28" t="s">
        <v>150</v>
      </c>
      <c r="T44" s="28">
        <v>5</v>
      </c>
      <c r="U44" s="29" t="s">
        <v>94</v>
      </c>
    </row>
    <row r="45" spans="14:21" x14ac:dyDescent="0.25">
      <c r="N45"/>
      <c r="O45"/>
      <c r="R45" s="28" t="s">
        <v>89</v>
      </c>
      <c r="S45" s="28" t="s">
        <v>143</v>
      </c>
      <c r="T45" s="28">
        <v>5</v>
      </c>
      <c r="U45" s="29" t="s">
        <v>94</v>
      </c>
    </row>
    <row r="46" spans="14:21" x14ac:dyDescent="0.25">
      <c r="N46"/>
      <c r="O46"/>
      <c r="R46" s="28" t="s">
        <v>89</v>
      </c>
      <c r="S46" s="28" t="s">
        <v>144</v>
      </c>
      <c r="T46" s="28">
        <v>5</v>
      </c>
      <c r="U46" s="29" t="s">
        <v>94</v>
      </c>
    </row>
    <row r="47" spans="14:21" x14ac:dyDescent="0.25">
      <c r="N47"/>
      <c r="O47"/>
      <c r="R47" s="28" t="s">
        <v>89</v>
      </c>
      <c r="S47" s="28" t="s">
        <v>145</v>
      </c>
      <c r="T47" s="28">
        <v>5</v>
      </c>
      <c r="U47" s="29" t="s">
        <v>94</v>
      </c>
    </row>
    <row r="48" spans="14:21" x14ac:dyDescent="0.25">
      <c r="N48"/>
      <c r="O48"/>
      <c r="R48" s="28" t="s">
        <v>89</v>
      </c>
      <c r="S48" s="28" t="s">
        <v>146</v>
      </c>
      <c r="T48" s="28">
        <v>5</v>
      </c>
      <c r="U48" s="29" t="s">
        <v>94</v>
      </c>
    </row>
    <row r="49" spans="14:21" x14ac:dyDescent="0.25">
      <c r="N49"/>
      <c r="O49"/>
      <c r="R49" s="28" t="s">
        <v>89</v>
      </c>
      <c r="S49" s="28" t="s">
        <v>147</v>
      </c>
      <c r="T49" s="28">
        <v>5</v>
      </c>
      <c r="U49" s="29" t="s">
        <v>94</v>
      </c>
    </row>
    <row r="50" spans="14:21" x14ac:dyDescent="0.25">
      <c r="R50" s="28" t="s">
        <v>89</v>
      </c>
      <c r="S50" s="28" t="s">
        <v>148</v>
      </c>
      <c r="T50" s="28">
        <v>5</v>
      </c>
      <c r="U50" s="29" t="s">
        <v>94</v>
      </c>
    </row>
    <row r="51" spans="14:21" x14ac:dyDescent="0.25">
      <c r="R51" s="28" t="s">
        <v>89</v>
      </c>
      <c r="S51" s="28" t="s">
        <v>149</v>
      </c>
      <c r="T51" s="28">
        <v>5</v>
      </c>
      <c r="U51" s="29" t="s">
        <v>94</v>
      </c>
    </row>
    <row r="52" spans="14:21" x14ac:dyDescent="0.25">
      <c r="R52" s="28" t="s">
        <v>89</v>
      </c>
      <c r="S52" s="28" t="s">
        <v>150</v>
      </c>
      <c r="T52" s="28">
        <v>5</v>
      </c>
      <c r="U52" s="29" t="s">
        <v>94</v>
      </c>
    </row>
    <row r="53" spans="14:21" x14ac:dyDescent="0.25">
      <c r="R53" s="28" t="s">
        <v>90</v>
      </c>
      <c r="S53" s="28" t="s">
        <v>143</v>
      </c>
      <c r="T53" s="28">
        <v>5</v>
      </c>
      <c r="U53" s="29" t="s">
        <v>94</v>
      </c>
    </row>
    <row r="54" spans="14:21" x14ac:dyDescent="0.25">
      <c r="R54" s="28" t="s">
        <v>90</v>
      </c>
      <c r="S54" s="28" t="s">
        <v>144</v>
      </c>
      <c r="T54" s="28">
        <v>5</v>
      </c>
      <c r="U54" s="29" t="s">
        <v>94</v>
      </c>
    </row>
    <row r="55" spans="14:21" x14ac:dyDescent="0.25">
      <c r="R55" s="28" t="s">
        <v>90</v>
      </c>
      <c r="S55" s="28" t="s">
        <v>145</v>
      </c>
      <c r="T55" s="28">
        <v>5</v>
      </c>
      <c r="U55" s="29" t="s">
        <v>94</v>
      </c>
    </row>
    <row r="56" spans="14:21" x14ac:dyDescent="0.25">
      <c r="R56" s="28" t="s">
        <v>90</v>
      </c>
      <c r="S56" s="28" t="s">
        <v>146</v>
      </c>
      <c r="T56" s="28">
        <v>5</v>
      </c>
      <c r="U56" s="29" t="s">
        <v>94</v>
      </c>
    </row>
    <row r="57" spans="14:21" x14ac:dyDescent="0.25">
      <c r="R57" s="28" t="s">
        <v>90</v>
      </c>
      <c r="S57" s="28" t="s">
        <v>147</v>
      </c>
      <c r="T57" s="28">
        <v>5</v>
      </c>
      <c r="U57" s="29" t="s">
        <v>94</v>
      </c>
    </row>
    <row r="58" spans="14:21" x14ac:dyDescent="0.25">
      <c r="R58" s="28" t="s">
        <v>90</v>
      </c>
      <c r="S58" s="28" t="s">
        <v>148</v>
      </c>
      <c r="T58" s="28">
        <v>5</v>
      </c>
      <c r="U58" s="29" t="s">
        <v>94</v>
      </c>
    </row>
    <row r="59" spans="14:21" x14ac:dyDescent="0.25">
      <c r="R59" s="28" t="s">
        <v>90</v>
      </c>
      <c r="S59" s="28" t="s">
        <v>149</v>
      </c>
      <c r="T59" s="28">
        <v>5</v>
      </c>
      <c r="U59" s="29" t="s">
        <v>94</v>
      </c>
    </row>
    <row r="60" spans="14:21" x14ac:dyDescent="0.25">
      <c r="R60" s="28" t="s">
        <v>90</v>
      </c>
      <c r="S60" s="28" t="s">
        <v>150</v>
      </c>
      <c r="T60" s="28">
        <v>5</v>
      </c>
      <c r="U60" s="29" t="s">
        <v>94</v>
      </c>
    </row>
    <row r="61" spans="14:21" x14ac:dyDescent="0.25">
      <c r="R61" s="28" t="s">
        <v>91</v>
      </c>
      <c r="S61" s="28" t="s">
        <v>143</v>
      </c>
      <c r="T61" s="28">
        <v>5</v>
      </c>
      <c r="U61" s="29" t="s">
        <v>94</v>
      </c>
    </row>
    <row r="62" spans="14:21" x14ac:dyDescent="0.25">
      <c r="R62" s="28" t="s">
        <v>91</v>
      </c>
      <c r="S62" s="28" t="s">
        <v>144</v>
      </c>
      <c r="T62" s="28">
        <v>5</v>
      </c>
      <c r="U62" s="29" t="s">
        <v>94</v>
      </c>
    </row>
    <row r="63" spans="14:21" x14ac:dyDescent="0.25">
      <c r="R63" s="28" t="s">
        <v>91</v>
      </c>
      <c r="S63" s="28" t="s">
        <v>145</v>
      </c>
      <c r="T63" s="28">
        <v>5</v>
      </c>
      <c r="U63" s="29" t="s">
        <v>94</v>
      </c>
    </row>
    <row r="64" spans="14:21" x14ac:dyDescent="0.25">
      <c r="R64" s="28" t="s">
        <v>91</v>
      </c>
      <c r="S64" s="28" t="s">
        <v>146</v>
      </c>
      <c r="T64" s="28">
        <v>5</v>
      </c>
      <c r="U64" s="29" t="s">
        <v>94</v>
      </c>
    </row>
    <row r="65" spans="18:21" x14ac:dyDescent="0.25">
      <c r="R65" s="28" t="s">
        <v>91</v>
      </c>
      <c r="S65" s="28" t="s">
        <v>147</v>
      </c>
      <c r="T65" s="28">
        <v>5</v>
      </c>
      <c r="U65" s="29" t="s">
        <v>94</v>
      </c>
    </row>
    <row r="66" spans="18:21" x14ac:dyDescent="0.25">
      <c r="R66" s="28" t="s">
        <v>91</v>
      </c>
      <c r="S66" s="28" t="s">
        <v>148</v>
      </c>
      <c r="T66" s="28">
        <v>5</v>
      </c>
      <c r="U66" s="29" t="s">
        <v>94</v>
      </c>
    </row>
    <row r="67" spans="18:21" x14ac:dyDescent="0.25">
      <c r="R67" s="28" t="s">
        <v>91</v>
      </c>
      <c r="S67" s="28" t="s">
        <v>149</v>
      </c>
      <c r="T67" s="28">
        <v>5</v>
      </c>
      <c r="U67" s="29" t="s">
        <v>94</v>
      </c>
    </row>
    <row r="68" spans="18:21" x14ac:dyDescent="0.25">
      <c r="R68" s="28" t="s">
        <v>91</v>
      </c>
      <c r="S68" s="28" t="s">
        <v>150</v>
      </c>
      <c r="T68" s="28">
        <v>5</v>
      </c>
      <c r="U68" s="29" t="s">
        <v>94</v>
      </c>
    </row>
    <row r="69" spans="18:21" x14ac:dyDescent="0.25">
      <c r="R69" s="28" t="s">
        <v>92</v>
      </c>
      <c r="S69" s="28" t="s">
        <v>143</v>
      </c>
      <c r="T69" s="28">
        <v>5</v>
      </c>
      <c r="U69" s="29" t="s">
        <v>94</v>
      </c>
    </row>
    <row r="70" spans="18:21" x14ac:dyDescent="0.25">
      <c r="R70" s="28" t="s">
        <v>92</v>
      </c>
      <c r="S70" s="28" t="s">
        <v>144</v>
      </c>
      <c r="T70" s="28">
        <v>5</v>
      </c>
      <c r="U70" s="29" t="s">
        <v>94</v>
      </c>
    </row>
    <row r="71" spans="18:21" x14ac:dyDescent="0.25">
      <c r="R71" s="28" t="s">
        <v>92</v>
      </c>
      <c r="S71" s="28" t="s">
        <v>145</v>
      </c>
      <c r="T71" s="28">
        <v>5</v>
      </c>
      <c r="U71" s="29" t="s">
        <v>94</v>
      </c>
    </row>
    <row r="72" spans="18:21" x14ac:dyDescent="0.25">
      <c r="R72" s="28" t="s">
        <v>92</v>
      </c>
      <c r="S72" s="28" t="s">
        <v>146</v>
      </c>
      <c r="T72" s="28">
        <v>5</v>
      </c>
      <c r="U72" s="29" t="s">
        <v>94</v>
      </c>
    </row>
    <row r="73" spans="18:21" x14ac:dyDescent="0.25">
      <c r="R73" s="28" t="s">
        <v>92</v>
      </c>
      <c r="S73" s="28" t="s">
        <v>147</v>
      </c>
      <c r="T73" s="28">
        <v>5</v>
      </c>
      <c r="U73" s="29" t="s">
        <v>94</v>
      </c>
    </row>
    <row r="74" spans="18:21" x14ac:dyDescent="0.25">
      <c r="R74" s="28" t="s">
        <v>92</v>
      </c>
      <c r="S74" s="28" t="s">
        <v>148</v>
      </c>
      <c r="T74" s="28">
        <v>5</v>
      </c>
      <c r="U74" s="29" t="s">
        <v>94</v>
      </c>
    </row>
    <row r="75" spans="18:21" x14ac:dyDescent="0.25">
      <c r="R75" s="28" t="s">
        <v>92</v>
      </c>
      <c r="S75" s="28" t="s">
        <v>149</v>
      </c>
      <c r="T75" s="28">
        <v>5</v>
      </c>
      <c r="U75" s="29" t="s">
        <v>94</v>
      </c>
    </row>
    <row r="76" spans="18:21" x14ac:dyDescent="0.25">
      <c r="R76" s="28" t="s">
        <v>92</v>
      </c>
      <c r="S76" s="28" t="s">
        <v>150</v>
      </c>
      <c r="T76" s="28">
        <v>5</v>
      </c>
      <c r="U76" s="29" t="s">
        <v>94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151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0.437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152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153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154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155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151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101</v>
      </c>
      <c r="E16" t="s">
        <v>102</v>
      </c>
      <c r="F16">
        <v>0.52500000000000002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152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103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153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154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104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156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110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110</v>
      </c>
      <c r="C27">
        <v>20</v>
      </c>
      <c r="D27" t="s">
        <v>151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110</v>
      </c>
      <c r="C28">
        <v>30</v>
      </c>
      <c r="D28" t="s">
        <v>101</v>
      </c>
      <c r="E28" t="s">
        <v>102</v>
      </c>
      <c r="F28">
        <v>0.61199999999999999</v>
      </c>
      <c r="G28" t="s">
        <v>13</v>
      </c>
    </row>
    <row r="29" spans="1:7" x14ac:dyDescent="0.25">
      <c r="A29">
        <v>3</v>
      </c>
      <c r="B29" t="s">
        <v>110</v>
      </c>
      <c r="C29">
        <v>40</v>
      </c>
      <c r="D29" t="s">
        <v>152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110</v>
      </c>
      <c r="C30">
        <v>50</v>
      </c>
      <c r="D30" t="s">
        <v>103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110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110</v>
      </c>
      <c r="C32">
        <v>70</v>
      </c>
      <c r="D32" t="s">
        <v>153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110</v>
      </c>
      <c r="C33">
        <v>80</v>
      </c>
      <c r="D33" t="s">
        <v>154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110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110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110</v>
      </c>
      <c r="C36">
        <v>110</v>
      </c>
      <c r="D36" t="s">
        <v>104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110</v>
      </c>
      <c r="C37">
        <v>120</v>
      </c>
      <c r="D37" t="s">
        <v>157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111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111</v>
      </c>
      <c r="C39">
        <v>20</v>
      </c>
      <c r="D39" t="s">
        <v>151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111</v>
      </c>
      <c r="C40">
        <v>30</v>
      </c>
      <c r="D40" t="s">
        <v>101</v>
      </c>
      <c r="E40" t="s">
        <v>102</v>
      </c>
      <c r="F40">
        <v>0.7</v>
      </c>
      <c r="G40" t="s">
        <v>13</v>
      </c>
    </row>
    <row r="41" spans="1:7" x14ac:dyDescent="0.25">
      <c r="A41">
        <v>4</v>
      </c>
      <c r="B41" t="s">
        <v>111</v>
      </c>
      <c r="C41">
        <v>40</v>
      </c>
      <c r="D41" t="s">
        <v>152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111</v>
      </c>
      <c r="C42">
        <v>50</v>
      </c>
      <c r="D42" t="s">
        <v>103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111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111</v>
      </c>
      <c r="C44">
        <v>70</v>
      </c>
      <c r="D44" t="s">
        <v>153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111</v>
      </c>
      <c r="C45">
        <v>80</v>
      </c>
      <c r="D45" t="s">
        <v>154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111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111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111</v>
      </c>
      <c r="C48">
        <v>110</v>
      </c>
      <c r="D48" t="s">
        <v>104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111</v>
      </c>
      <c r="C49">
        <v>120</v>
      </c>
      <c r="D49" t="s">
        <v>158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112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112</v>
      </c>
      <c r="C51">
        <v>20</v>
      </c>
      <c r="D51" t="s">
        <v>151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112</v>
      </c>
      <c r="C52">
        <v>30</v>
      </c>
      <c r="D52" t="s">
        <v>101</v>
      </c>
      <c r="E52" t="s">
        <v>102</v>
      </c>
      <c r="F52">
        <v>0.875</v>
      </c>
      <c r="G52" t="s">
        <v>13</v>
      </c>
    </row>
    <row r="53" spans="1:7" x14ac:dyDescent="0.25">
      <c r="A53">
        <v>5</v>
      </c>
      <c r="B53" t="s">
        <v>112</v>
      </c>
      <c r="C53">
        <v>40</v>
      </c>
      <c r="D53" t="s">
        <v>152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112</v>
      </c>
      <c r="C54">
        <v>50</v>
      </c>
      <c r="D54" t="s">
        <v>103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112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112</v>
      </c>
      <c r="C56">
        <v>70</v>
      </c>
      <c r="D56" t="s">
        <v>153</v>
      </c>
      <c r="E56" t="s">
        <v>12</v>
      </c>
      <c r="F56">
        <v>0.13200000000000001</v>
      </c>
      <c r="G56" t="s">
        <v>13</v>
      </c>
    </row>
    <row r="57" spans="1:7" x14ac:dyDescent="0.25">
      <c r="A57">
        <v>5</v>
      </c>
      <c r="B57" t="s">
        <v>112</v>
      </c>
      <c r="C57">
        <v>80</v>
      </c>
      <c r="D57" t="s">
        <v>154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112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112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112</v>
      </c>
      <c r="C60">
        <v>110</v>
      </c>
      <c r="D60" t="s">
        <v>104</v>
      </c>
      <c r="E60" t="s">
        <v>12</v>
      </c>
      <c r="F60">
        <v>0.94599999999999995</v>
      </c>
      <c r="G60" t="s">
        <v>13</v>
      </c>
    </row>
    <row r="61" spans="1:7" x14ac:dyDescent="0.25">
      <c r="A61">
        <v>5</v>
      </c>
      <c r="B61" t="s">
        <v>112</v>
      </c>
      <c r="C61">
        <v>120</v>
      </c>
      <c r="D61" t="s">
        <v>159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113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113</v>
      </c>
      <c r="C63">
        <v>20</v>
      </c>
      <c r="D63" t="s">
        <v>151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113</v>
      </c>
      <c r="C64">
        <v>30</v>
      </c>
      <c r="D64" t="s">
        <v>101</v>
      </c>
      <c r="E64" t="s">
        <v>102</v>
      </c>
      <c r="F64">
        <v>0.96199999999999997</v>
      </c>
      <c r="G64" t="s">
        <v>13</v>
      </c>
    </row>
    <row r="65" spans="1:7" x14ac:dyDescent="0.25">
      <c r="A65">
        <v>6</v>
      </c>
      <c r="B65" t="s">
        <v>113</v>
      </c>
      <c r="C65">
        <v>40</v>
      </c>
      <c r="D65" t="s">
        <v>152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113</v>
      </c>
      <c r="C66">
        <v>50</v>
      </c>
      <c r="D66" t="s">
        <v>103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113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113</v>
      </c>
      <c r="C68">
        <v>70</v>
      </c>
      <c r="D68" t="s">
        <v>153</v>
      </c>
      <c r="E68" t="s">
        <v>12</v>
      </c>
      <c r="F68">
        <v>0.14199999999999999</v>
      </c>
      <c r="G68" t="s">
        <v>13</v>
      </c>
    </row>
    <row r="69" spans="1:7" x14ac:dyDescent="0.25">
      <c r="A69">
        <v>6</v>
      </c>
      <c r="B69" t="s">
        <v>113</v>
      </c>
      <c r="C69">
        <v>80</v>
      </c>
      <c r="D69" t="s">
        <v>154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113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113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113</v>
      </c>
      <c r="C72">
        <v>110</v>
      </c>
      <c r="D72" t="s">
        <v>104</v>
      </c>
      <c r="E72" t="s">
        <v>12</v>
      </c>
      <c r="F72">
        <v>1.0269999999999999</v>
      </c>
      <c r="G72" t="s">
        <v>13</v>
      </c>
    </row>
    <row r="73" spans="1:7" x14ac:dyDescent="0.25">
      <c r="A73">
        <v>6</v>
      </c>
      <c r="B73" t="s">
        <v>113</v>
      </c>
      <c r="C73">
        <v>120</v>
      </c>
      <c r="D73" t="s">
        <v>160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114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114</v>
      </c>
      <c r="C75">
        <v>20</v>
      </c>
      <c r="D75" t="s">
        <v>151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114</v>
      </c>
      <c r="C76">
        <v>30</v>
      </c>
      <c r="D76" t="s">
        <v>101</v>
      </c>
      <c r="E76" t="s">
        <v>102</v>
      </c>
      <c r="F76">
        <v>1.05</v>
      </c>
      <c r="G76" t="s">
        <v>13</v>
      </c>
    </row>
    <row r="77" spans="1:7" x14ac:dyDescent="0.25">
      <c r="A77">
        <v>7</v>
      </c>
      <c r="B77" t="s">
        <v>114</v>
      </c>
      <c r="C77">
        <v>40</v>
      </c>
      <c r="D77" t="s">
        <v>152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114</v>
      </c>
      <c r="C78">
        <v>50</v>
      </c>
      <c r="D78" t="s">
        <v>103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114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114</v>
      </c>
      <c r="C80">
        <v>70</v>
      </c>
      <c r="D80" t="s">
        <v>153</v>
      </c>
      <c r="E80" t="s">
        <v>12</v>
      </c>
      <c r="F80">
        <v>0.153</v>
      </c>
      <c r="G80" t="s">
        <v>13</v>
      </c>
    </row>
    <row r="81" spans="1:7" x14ac:dyDescent="0.25">
      <c r="A81">
        <v>7</v>
      </c>
      <c r="B81" t="s">
        <v>114</v>
      </c>
      <c r="C81">
        <v>80</v>
      </c>
      <c r="D81" t="s">
        <v>154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114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114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114</v>
      </c>
      <c r="C84">
        <v>110</v>
      </c>
      <c r="D84" t="s">
        <v>104</v>
      </c>
      <c r="E84" t="s">
        <v>12</v>
      </c>
      <c r="F84">
        <v>1.1080000000000001</v>
      </c>
      <c r="G84" t="s">
        <v>13</v>
      </c>
    </row>
    <row r="85" spans="1:7" x14ac:dyDescent="0.25">
      <c r="A85">
        <v>7</v>
      </c>
      <c r="B85" t="s">
        <v>114</v>
      </c>
      <c r="C85">
        <v>120</v>
      </c>
      <c r="D85" t="s">
        <v>161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115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115</v>
      </c>
      <c r="C87">
        <v>20</v>
      </c>
      <c r="D87" t="s">
        <v>151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115</v>
      </c>
      <c r="C88">
        <v>30</v>
      </c>
      <c r="D88" t="s">
        <v>101</v>
      </c>
      <c r="E88" t="s">
        <v>102</v>
      </c>
      <c r="F88">
        <v>0.45600000000000002</v>
      </c>
      <c r="G88" t="s">
        <v>13</v>
      </c>
    </row>
    <row r="89" spans="1:7" x14ac:dyDescent="0.25">
      <c r="A89">
        <v>8</v>
      </c>
      <c r="B89" t="s">
        <v>115</v>
      </c>
      <c r="C89">
        <v>40</v>
      </c>
      <c r="D89" t="s">
        <v>152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115</v>
      </c>
      <c r="C90">
        <v>50</v>
      </c>
      <c r="D90" t="s">
        <v>103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115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115</v>
      </c>
      <c r="C92">
        <v>70</v>
      </c>
      <c r="D92" t="s">
        <v>153</v>
      </c>
      <c r="E92" t="s">
        <v>12</v>
      </c>
      <c r="F92">
        <v>7.8E-2</v>
      </c>
      <c r="G92" t="s">
        <v>13</v>
      </c>
    </row>
    <row r="93" spans="1:7" x14ac:dyDescent="0.25">
      <c r="A93">
        <v>8</v>
      </c>
      <c r="B93" t="s">
        <v>115</v>
      </c>
      <c r="C93">
        <v>80</v>
      </c>
      <c r="D93" t="s">
        <v>154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115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115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115</v>
      </c>
      <c r="C96">
        <v>110</v>
      </c>
      <c r="D96" t="s">
        <v>104</v>
      </c>
      <c r="E96" t="s">
        <v>12</v>
      </c>
      <c r="F96">
        <v>0.54</v>
      </c>
      <c r="G96" t="s">
        <v>13</v>
      </c>
    </row>
    <row r="97" spans="1:7" x14ac:dyDescent="0.25">
      <c r="A97">
        <v>8</v>
      </c>
      <c r="B97" t="s">
        <v>115</v>
      </c>
      <c r="C97">
        <v>120</v>
      </c>
      <c r="D97" t="s">
        <v>162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116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116</v>
      </c>
      <c r="C99">
        <v>20</v>
      </c>
      <c r="D99" t="s">
        <v>151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116</v>
      </c>
      <c r="C100">
        <v>30</v>
      </c>
      <c r="D100" t="s">
        <v>101</v>
      </c>
      <c r="E100" t="s">
        <v>102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116</v>
      </c>
      <c r="C101">
        <v>40</v>
      </c>
      <c r="D101" t="s">
        <v>152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116</v>
      </c>
      <c r="C102">
        <v>50</v>
      </c>
      <c r="D102" t="s">
        <v>103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116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116</v>
      </c>
      <c r="C104">
        <v>70</v>
      </c>
      <c r="D104" t="s">
        <v>153</v>
      </c>
      <c r="E104" t="s">
        <v>12</v>
      </c>
      <c r="F104">
        <v>8.8999999999999996E-2</v>
      </c>
      <c r="G104" t="s">
        <v>13</v>
      </c>
    </row>
    <row r="105" spans="1:7" x14ac:dyDescent="0.25">
      <c r="A105">
        <v>9</v>
      </c>
      <c r="B105" t="s">
        <v>116</v>
      </c>
      <c r="C105">
        <v>80</v>
      </c>
      <c r="D105" t="s">
        <v>154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116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116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116</v>
      </c>
      <c r="C108">
        <v>110</v>
      </c>
      <c r="D108" t="s">
        <v>104</v>
      </c>
      <c r="E108" t="s">
        <v>12</v>
      </c>
      <c r="F108">
        <v>0.622</v>
      </c>
      <c r="G108" t="s">
        <v>13</v>
      </c>
    </row>
    <row r="109" spans="1:7" x14ac:dyDescent="0.25">
      <c r="A109">
        <v>9</v>
      </c>
      <c r="B109" t="s">
        <v>116</v>
      </c>
      <c r="C109">
        <v>120</v>
      </c>
      <c r="D109" t="s">
        <v>163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117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117</v>
      </c>
      <c r="C111">
        <v>20</v>
      </c>
      <c r="D111" t="s">
        <v>151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117</v>
      </c>
      <c r="C112">
        <v>30</v>
      </c>
      <c r="D112" t="s">
        <v>101</v>
      </c>
      <c r="E112" t="s">
        <v>102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117</v>
      </c>
      <c r="C113">
        <v>40</v>
      </c>
      <c r="D113" t="s">
        <v>152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117</v>
      </c>
      <c r="C114">
        <v>50</v>
      </c>
      <c r="D114" t="s">
        <v>103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117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117</v>
      </c>
      <c r="C116">
        <v>70</v>
      </c>
      <c r="D116" t="s">
        <v>153</v>
      </c>
      <c r="E116" t="s">
        <v>12</v>
      </c>
      <c r="F116">
        <v>0.1</v>
      </c>
      <c r="G116" t="s">
        <v>13</v>
      </c>
    </row>
    <row r="117" spans="1:7" x14ac:dyDescent="0.25">
      <c r="A117">
        <v>10</v>
      </c>
      <c r="B117" t="s">
        <v>117</v>
      </c>
      <c r="C117">
        <v>80</v>
      </c>
      <c r="D117" t="s">
        <v>154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117</v>
      </c>
      <c r="C120">
        <v>110</v>
      </c>
      <c r="D120" t="s">
        <v>104</v>
      </c>
      <c r="E120" t="s">
        <v>12</v>
      </c>
      <c r="F120">
        <v>0.70299999999999996</v>
      </c>
      <c r="G120" t="s">
        <v>13</v>
      </c>
    </row>
    <row r="121" spans="1:7" x14ac:dyDescent="0.25">
      <c r="A121">
        <v>10</v>
      </c>
      <c r="B121" t="s">
        <v>117</v>
      </c>
      <c r="C121">
        <v>120</v>
      </c>
      <c r="D121" t="s">
        <v>164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118</v>
      </c>
      <c r="C123">
        <v>20</v>
      </c>
      <c r="D123" t="s">
        <v>151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118</v>
      </c>
      <c r="C124">
        <v>30</v>
      </c>
      <c r="D124" t="s">
        <v>101</v>
      </c>
      <c r="E124" t="s">
        <v>102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118</v>
      </c>
      <c r="C125">
        <v>40</v>
      </c>
      <c r="D125" t="s">
        <v>152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118</v>
      </c>
      <c r="C126">
        <v>50</v>
      </c>
      <c r="D126" t="s">
        <v>103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118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118</v>
      </c>
      <c r="C128">
        <v>70</v>
      </c>
      <c r="D128" t="s">
        <v>153</v>
      </c>
      <c r="E128" t="s">
        <v>12</v>
      </c>
      <c r="F128">
        <v>0.11</v>
      </c>
      <c r="G128" t="s">
        <v>13</v>
      </c>
    </row>
    <row r="129" spans="1:7" x14ac:dyDescent="0.25">
      <c r="A129">
        <v>11</v>
      </c>
      <c r="B129" t="s">
        <v>118</v>
      </c>
      <c r="C129">
        <v>80</v>
      </c>
      <c r="D129" t="s">
        <v>154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118</v>
      </c>
      <c r="C132">
        <v>110</v>
      </c>
      <c r="D132" t="s">
        <v>104</v>
      </c>
      <c r="E132" t="s">
        <v>12</v>
      </c>
      <c r="F132">
        <v>0.78400000000000003</v>
      </c>
      <c r="G132" t="s">
        <v>13</v>
      </c>
    </row>
    <row r="133" spans="1:7" x14ac:dyDescent="0.25">
      <c r="A133">
        <v>11</v>
      </c>
      <c r="B133" t="s">
        <v>118</v>
      </c>
      <c r="C133">
        <v>120</v>
      </c>
      <c r="D133" t="s">
        <v>165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119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119</v>
      </c>
      <c r="C135">
        <v>20</v>
      </c>
      <c r="D135" t="s">
        <v>151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119</v>
      </c>
      <c r="C136">
        <v>30</v>
      </c>
      <c r="D136" t="s">
        <v>101</v>
      </c>
      <c r="E136" t="s">
        <v>102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119</v>
      </c>
      <c r="C137">
        <v>40</v>
      </c>
      <c r="D137" t="s">
        <v>152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119</v>
      </c>
      <c r="C138">
        <v>50</v>
      </c>
      <c r="D138" t="s">
        <v>103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119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119</v>
      </c>
      <c r="C140">
        <v>70</v>
      </c>
      <c r="D140" t="s">
        <v>153</v>
      </c>
      <c r="E140" t="s">
        <v>12</v>
      </c>
      <c r="F140">
        <v>0.13200000000000001</v>
      </c>
      <c r="G140" t="s">
        <v>13</v>
      </c>
    </row>
    <row r="141" spans="1:7" x14ac:dyDescent="0.25">
      <c r="A141">
        <v>12</v>
      </c>
      <c r="B141" t="s">
        <v>119</v>
      </c>
      <c r="C141">
        <v>80</v>
      </c>
      <c r="D141" t="s">
        <v>154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119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119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119</v>
      </c>
      <c r="C144">
        <v>110</v>
      </c>
      <c r="D144" t="s">
        <v>104</v>
      </c>
      <c r="E144" t="s">
        <v>12</v>
      </c>
      <c r="F144">
        <v>0.94599999999999995</v>
      </c>
      <c r="G144" t="s">
        <v>13</v>
      </c>
    </row>
    <row r="145" spans="1:7" x14ac:dyDescent="0.25">
      <c r="A145">
        <v>12</v>
      </c>
      <c r="B145" t="s">
        <v>119</v>
      </c>
      <c r="C145">
        <v>120</v>
      </c>
      <c r="D145" t="s">
        <v>166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120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120</v>
      </c>
      <c r="C147">
        <v>20</v>
      </c>
      <c r="D147" t="s">
        <v>151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120</v>
      </c>
      <c r="C148">
        <v>30</v>
      </c>
      <c r="D148" t="s">
        <v>101</v>
      </c>
      <c r="E148" t="s">
        <v>102</v>
      </c>
      <c r="F148">
        <v>1.002</v>
      </c>
      <c r="G148" t="s">
        <v>13</v>
      </c>
    </row>
    <row r="149" spans="1:7" x14ac:dyDescent="0.25">
      <c r="A149">
        <v>13</v>
      </c>
      <c r="B149" t="s">
        <v>120</v>
      </c>
      <c r="C149">
        <v>40</v>
      </c>
      <c r="D149" t="s">
        <v>152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120</v>
      </c>
      <c r="C150">
        <v>50</v>
      </c>
      <c r="D150" t="s">
        <v>103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120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120</v>
      </c>
      <c r="C152">
        <v>70</v>
      </c>
      <c r="D152" t="s">
        <v>153</v>
      </c>
      <c r="E152" t="s">
        <v>12</v>
      </c>
      <c r="F152">
        <v>0.14199999999999999</v>
      </c>
      <c r="G152" t="s">
        <v>13</v>
      </c>
    </row>
    <row r="153" spans="1:7" x14ac:dyDescent="0.25">
      <c r="A153">
        <v>13</v>
      </c>
      <c r="B153" t="s">
        <v>120</v>
      </c>
      <c r="C153">
        <v>80</v>
      </c>
      <c r="D153" t="s">
        <v>154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120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120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120</v>
      </c>
      <c r="C156">
        <v>110</v>
      </c>
      <c r="D156" t="s">
        <v>104</v>
      </c>
      <c r="E156" t="s">
        <v>12</v>
      </c>
      <c r="F156">
        <v>1.0269999999999999</v>
      </c>
      <c r="G156" t="s">
        <v>13</v>
      </c>
    </row>
    <row r="157" spans="1:7" x14ac:dyDescent="0.25">
      <c r="A157">
        <v>13</v>
      </c>
      <c r="B157" t="s">
        <v>120</v>
      </c>
      <c r="C157">
        <v>120</v>
      </c>
      <c r="D157" t="s">
        <v>167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121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121</v>
      </c>
      <c r="C159">
        <v>20</v>
      </c>
      <c r="D159" t="s">
        <v>151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121</v>
      </c>
      <c r="C160">
        <v>30</v>
      </c>
      <c r="D160" t="s">
        <v>101</v>
      </c>
      <c r="E160" t="s">
        <v>102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121</v>
      </c>
      <c r="C161">
        <v>40</v>
      </c>
      <c r="D161" t="s">
        <v>152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121</v>
      </c>
      <c r="C162">
        <v>50</v>
      </c>
      <c r="D162" t="s">
        <v>103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121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121</v>
      </c>
      <c r="C164">
        <v>70</v>
      </c>
      <c r="D164" t="s">
        <v>153</v>
      </c>
      <c r="E164" t="s">
        <v>12</v>
      </c>
      <c r="F164">
        <v>0.153</v>
      </c>
      <c r="G164" t="s">
        <v>13</v>
      </c>
    </row>
    <row r="165" spans="1:7" x14ac:dyDescent="0.25">
      <c r="A165">
        <v>14</v>
      </c>
      <c r="B165" t="s">
        <v>121</v>
      </c>
      <c r="C165">
        <v>80</v>
      </c>
      <c r="D165" t="s">
        <v>154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121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121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121</v>
      </c>
      <c r="C168">
        <v>110</v>
      </c>
      <c r="D168" t="s">
        <v>104</v>
      </c>
      <c r="E168" t="s">
        <v>12</v>
      </c>
      <c r="F168">
        <v>1.1080000000000001</v>
      </c>
      <c r="G168" t="s">
        <v>13</v>
      </c>
    </row>
    <row r="169" spans="1:7" x14ac:dyDescent="0.25">
      <c r="A169">
        <v>14</v>
      </c>
      <c r="B169" t="s">
        <v>121</v>
      </c>
      <c r="C169">
        <v>120</v>
      </c>
      <c r="D169" t="s">
        <v>168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122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122</v>
      </c>
      <c r="C171">
        <v>20</v>
      </c>
      <c r="D171" t="s">
        <v>151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122</v>
      </c>
      <c r="C172">
        <v>30</v>
      </c>
      <c r="D172" t="s">
        <v>101</v>
      </c>
      <c r="E172" t="s">
        <v>102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122</v>
      </c>
      <c r="C173">
        <v>40</v>
      </c>
      <c r="D173" t="s">
        <v>152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122</v>
      </c>
      <c r="C174">
        <v>50</v>
      </c>
      <c r="D174" t="s">
        <v>103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122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122</v>
      </c>
      <c r="C176">
        <v>70</v>
      </c>
      <c r="D176" t="s">
        <v>153</v>
      </c>
      <c r="E176" t="s">
        <v>12</v>
      </c>
      <c r="F176">
        <v>7.8E-2</v>
      </c>
      <c r="G176" t="s">
        <v>13</v>
      </c>
    </row>
    <row r="177" spans="1:7" x14ac:dyDescent="0.25">
      <c r="A177">
        <v>15</v>
      </c>
      <c r="B177" t="s">
        <v>122</v>
      </c>
      <c r="C177">
        <v>80</v>
      </c>
      <c r="D177" t="s">
        <v>154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122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122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122</v>
      </c>
      <c r="C180">
        <v>110</v>
      </c>
      <c r="D180" t="s">
        <v>104</v>
      </c>
      <c r="E180" t="s">
        <v>12</v>
      </c>
      <c r="F180">
        <v>0.54</v>
      </c>
      <c r="G180" t="s">
        <v>13</v>
      </c>
    </row>
    <row r="181" spans="1:7" x14ac:dyDescent="0.25">
      <c r="A181">
        <v>15</v>
      </c>
      <c r="B181" t="s">
        <v>122</v>
      </c>
      <c r="C181">
        <v>120</v>
      </c>
      <c r="D181" t="s">
        <v>169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123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123</v>
      </c>
      <c r="C183">
        <v>20</v>
      </c>
      <c r="D183" t="s">
        <v>151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123</v>
      </c>
      <c r="C184">
        <v>30</v>
      </c>
      <c r="D184" t="s">
        <v>101</v>
      </c>
      <c r="E184" t="s">
        <v>102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123</v>
      </c>
      <c r="C185">
        <v>40</v>
      </c>
      <c r="D185" t="s">
        <v>152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123</v>
      </c>
      <c r="C186">
        <v>50</v>
      </c>
      <c r="D186" t="s">
        <v>103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123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123</v>
      </c>
      <c r="C188">
        <v>70</v>
      </c>
      <c r="D188" t="s">
        <v>153</v>
      </c>
      <c r="E188" t="s">
        <v>12</v>
      </c>
      <c r="F188">
        <v>8.8999999999999996E-2</v>
      </c>
      <c r="G188" t="s">
        <v>13</v>
      </c>
    </row>
    <row r="189" spans="1:7" x14ac:dyDescent="0.25">
      <c r="A189">
        <v>16</v>
      </c>
      <c r="B189" t="s">
        <v>123</v>
      </c>
      <c r="C189">
        <v>80</v>
      </c>
      <c r="D189" t="s">
        <v>154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123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123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123</v>
      </c>
      <c r="C192">
        <v>110</v>
      </c>
      <c r="D192" t="s">
        <v>104</v>
      </c>
      <c r="E192" t="s">
        <v>12</v>
      </c>
      <c r="F192">
        <v>0.622</v>
      </c>
      <c r="G192" t="s">
        <v>13</v>
      </c>
    </row>
    <row r="193" spans="1:7" x14ac:dyDescent="0.25">
      <c r="A193">
        <v>16</v>
      </c>
      <c r="B193" t="s">
        <v>123</v>
      </c>
      <c r="C193">
        <v>120</v>
      </c>
      <c r="D193" t="s">
        <v>170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124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124</v>
      </c>
      <c r="C195">
        <v>20</v>
      </c>
      <c r="D195" t="s">
        <v>151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124</v>
      </c>
      <c r="C196">
        <v>30</v>
      </c>
      <c r="D196" t="s">
        <v>101</v>
      </c>
      <c r="E196" t="s">
        <v>102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124</v>
      </c>
      <c r="C197">
        <v>40</v>
      </c>
      <c r="D197" t="s">
        <v>152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124</v>
      </c>
      <c r="C198">
        <v>50</v>
      </c>
      <c r="D198" t="s">
        <v>103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124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124</v>
      </c>
      <c r="C200">
        <v>70</v>
      </c>
      <c r="D200" t="s">
        <v>153</v>
      </c>
      <c r="E200" t="s">
        <v>12</v>
      </c>
      <c r="F200">
        <v>0.1</v>
      </c>
      <c r="G200" t="s">
        <v>13</v>
      </c>
    </row>
    <row r="201" spans="1:7" x14ac:dyDescent="0.25">
      <c r="A201">
        <v>17</v>
      </c>
      <c r="B201" t="s">
        <v>124</v>
      </c>
      <c r="C201">
        <v>80</v>
      </c>
      <c r="D201" t="s">
        <v>154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124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124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124</v>
      </c>
      <c r="C204">
        <v>110</v>
      </c>
      <c r="D204" t="s">
        <v>104</v>
      </c>
      <c r="E204" t="s">
        <v>12</v>
      </c>
      <c r="F204">
        <v>0.70299999999999996</v>
      </c>
      <c r="G204" t="s">
        <v>13</v>
      </c>
    </row>
    <row r="205" spans="1:7" x14ac:dyDescent="0.25">
      <c r="A205">
        <v>17</v>
      </c>
      <c r="B205" t="s">
        <v>124</v>
      </c>
      <c r="C205">
        <v>120</v>
      </c>
      <c r="D205" t="s">
        <v>171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125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125</v>
      </c>
      <c r="C207">
        <v>20</v>
      </c>
      <c r="D207" t="s">
        <v>151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125</v>
      </c>
      <c r="C208">
        <v>30</v>
      </c>
      <c r="D208" t="s">
        <v>101</v>
      </c>
      <c r="E208" t="s">
        <v>102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125</v>
      </c>
      <c r="C209">
        <v>40</v>
      </c>
      <c r="D209" t="s">
        <v>152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125</v>
      </c>
      <c r="C210">
        <v>50</v>
      </c>
      <c r="D210" t="s">
        <v>103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125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125</v>
      </c>
      <c r="C212">
        <v>70</v>
      </c>
      <c r="D212" t="s">
        <v>153</v>
      </c>
      <c r="E212" t="s">
        <v>12</v>
      </c>
      <c r="F212">
        <v>0.11</v>
      </c>
      <c r="G212" t="s">
        <v>13</v>
      </c>
    </row>
    <row r="213" spans="1:7" x14ac:dyDescent="0.25">
      <c r="A213">
        <v>18</v>
      </c>
      <c r="B213" t="s">
        <v>125</v>
      </c>
      <c r="C213">
        <v>80</v>
      </c>
      <c r="D213" t="s">
        <v>154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125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125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125</v>
      </c>
      <c r="C216">
        <v>110</v>
      </c>
      <c r="D216" t="s">
        <v>104</v>
      </c>
      <c r="E216" t="s">
        <v>12</v>
      </c>
      <c r="F216">
        <v>0.78400000000000003</v>
      </c>
      <c r="G216" t="s">
        <v>13</v>
      </c>
    </row>
    <row r="217" spans="1:7" x14ac:dyDescent="0.25">
      <c r="A217">
        <v>18</v>
      </c>
      <c r="B217" t="s">
        <v>125</v>
      </c>
      <c r="C217">
        <v>120</v>
      </c>
      <c r="D217" t="s">
        <v>172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126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126</v>
      </c>
      <c r="C219">
        <v>20</v>
      </c>
      <c r="D219" t="s">
        <v>151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126</v>
      </c>
      <c r="C220">
        <v>30</v>
      </c>
      <c r="D220" t="s">
        <v>101</v>
      </c>
      <c r="E220" t="s">
        <v>102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126</v>
      </c>
      <c r="C221">
        <v>40</v>
      </c>
      <c r="D221" t="s">
        <v>152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126</v>
      </c>
      <c r="C222">
        <v>50</v>
      </c>
      <c r="D222" t="s">
        <v>103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126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126</v>
      </c>
      <c r="C224">
        <v>70</v>
      </c>
      <c r="D224" t="s">
        <v>153</v>
      </c>
      <c r="E224" t="s">
        <v>12</v>
      </c>
      <c r="F224">
        <v>0.13200000000000001</v>
      </c>
      <c r="G224" t="s">
        <v>13</v>
      </c>
    </row>
    <row r="225" spans="1:7" x14ac:dyDescent="0.25">
      <c r="A225">
        <v>19</v>
      </c>
      <c r="B225" t="s">
        <v>126</v>
      </c>
      <c r="C225">
        <v>80</v>
      </c>
      <c r="D225" t="s">
        <v>154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126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126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126</v>
      </c>
      <c r="C228">
        <v>110</v>
      </c>
      <c r="D228" t="s">
        <v>104</v>
      </c>
      <c r="E228" t="s">
        <v>12</v>
      </c>
      <c r="F228">
        <v>0.94599999999999995</v>
      </c>
      <c r="G228" t="s">
        <v>13</v>
      </c>
    </row>
    <row r="229" spans="1:7" x14ac:dyDescent="0.25">
      <c r="A229">
        <v>19</v>
      </c>
      <c r="B229" t="s">
        <v>126</v>
      </c>
      <c r="C229">
        <v>120</v>
      </c>
      <c r="D229" t="s">
        <v>173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127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127</v>
      </c>
      <c r="C231">
        <v>20</v>
      </c>
      <c r="D231" t="s">
        <v>151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127</v>
      </c>
      <c r="C232">
        <v>30</v>
      </c>
      <c r="D232" t="s">
        <v>101</v>
      </c>
      <c r="E232" t="s">
        <v>102</v>
      </c>
      <c r="F232">
        <v>1.042</v>
      </c>
      <c r="G232" t="s">
        <v>13</v>
      </c>
    </row>
    <row r="233" spans="1:7" x14ac:dyDescent="0.25">
      <c r="A233">
        <v>20</v>
      </c>
      <c r="B233" t="s">
        <v>127</v>
      </c>
      <c r="C233">
        <v>40</v>
      </c>
      <c r="D233" t="s">
        <v>152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127</v>
      </c>
      <c r="C234">
        <v>50</v>
      </c>
      <c r="D234" t="s">
        <v>103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127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127</v>
      </c>
      <c r="C236">
        <v>70</v>
      </c>
      <c r="D236" t="s">
        <v>153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20</v>
      </c>
      <c r="B237" t="s">
        <v>127</v>
      </c>
      <c r="C237">
        <v>80</v>
      </c>
      <c r="D237" t="s">
        <v>154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127</v>
      </c>
      <c r="C240">
        <v>110</v>
      </c>
      <c r="D240" t="s">
        <v>104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20</v>
      </c>
      <c r="B241" t="s">
        <v>127</v>
      </c>
      <c r="C241">
        <v>120</v>
      </c>
      <c r="D241" t="s">
        <v>174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128</v>
      </c>
      <c r="C243">
        <v>20</v>
      </c>
      <c r="D243" t="s">
        <v>151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128</v>
      </c>
      <c r="C244">
        <v>30</v>
      </c>
      <c r="D244" t="s">
        <v>101</v>
      </c>
      <c r="E244" t="s">
        <v>102</v>
      </c>
      <c r="F244">
        <v>1.137</v>
      </c>
      <c r="G244" t="s">
        <v>13</v>
      </c>
    </row>
    <row r="245" spans="1:7" x14ac:dyDescent="0.25">
      <c r="A245">
        <v>21</v>
      </c>
      <c r="B245" t="s">
        <v>128</v>
      </c>
      <c r="C245">
        <v>40</v>
      </c>
      <c r="D245" t="s">
        <v>152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128</v>
      </c>
      <c r="C246">
        <v>50</v>
      </c>
      <c r="D246" t="s">
        <v>103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128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128</v>
      </c>
      <c r="C248">
        <v>70</v>
      </c>
      <c r="D248" t="s">
        <v>153</v>
      </c>
      <c r="E248" t="s">
        <v>12</v>
      </c>
      <c r="F248">
        <v>0.153</v>
      </c>
      <c r="G248" t="s">
        <v>13</v>
      </c>
    </row>
    <row r="249" spans="1:7" x14ac:dyDescent="0.25">
      <c r="A249">
        <v>21</v>
      </c>
      <c r="B249" t="s">
        <v>128</v>
      </c>
      <c r="C249">
        <v>80</v>
      </c>
      <c r="D249" t="s">
        <v>154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128</v>
      </c>
      <c r="C252">
        <v>110</v>
      </c>
      <c r="D252" t="s">
        <v>104</v>
      </c>
      <c r="E252" t="s">
        <v>12</v>
      </c>
      <c r="F252">
        <v>1.1080000000000001</v>
      </c>
      <c r="G252" t="s">
        <v>13</v>
      </c>
    </row>
    <row r="253" spans="1:7" x14ac:dyDescent="0.25">
      <c r="A253">
        <v>21</v>
      </c>
      <c r="B253" t="s">
        <v>128</v>
      </c>
      <c r="C253">
        <v>120</v>
      </c>
      <c r="D253" t="s">
        <v>175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129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129</v>
      </c>
      <c r="C255">
        <v>20</v>
      </c>
      <c r="D255" t="s">
        <v>151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129</v>
      </c>
      <c r="C256">
        <v>30</v>
      </c>
      <c r="D256" t="s">
        <v>101</v>
      </c>
      <c r="E256" t="s">
        <v>102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129</v>
      </c>
      <c r="C257">
        <v>40</v>
      </c>
      <c r="D257" t="s">
        <v>152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129</v>
      </c>
      <c r="C258">
        <v>50</v>
      </c>
      <c r="D258" t="s">
        <v>103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129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129</v>
      </c>
      <c r="C260">
        <v>70</v>
      </c>
      <c r="D260" t="s">
        <v>153</v>
      </c>
      <c r="E260" t="s">
        <v>12</v>
      </c>
      <c r="F260">
        <v>7.8E-2</v>
      </c>
      <c r="G260" t="s">
        <v>13</v>
      </c>
    </row>
    <row r="261" spans="1:7" x14ac:dyDescent="0.25">
      <c r="A261">
        <v>22</v>
      </c>
      <c r="B261" t="s">
        <v>129</v>
      </c>
      <c r="C261">
        <v>80</v>
      </c>
      <c r="D261" t="s">
        <v>154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129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129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129</v>
      </c>
      <c r="C264">
        <v>110</v>
      </c>
      <c r="D264" t="s">
        <v>104</v>
      </c>
      <c r="E264" t="s">
        <v>12</v>
      </c>
      <c r="F264">
        <v>1.216</v>
      </c>
      <c r="G264" t="s">
        <v>13</v>
      </c>
    </row>
    <row r="265" spans="1:7" x14ac:dyDescent="0.25">
      <c r="A265">
        <v>22</v>
      </c>
      <c r="B265" t="s">
        <v>129</v>
      </c>
      <c r="C265">
        <v>120</v>
      </c>
      <c r="D265" t="s">
        <v>176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130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130</v>
      </c>
      <c r="C267">
        <v>20</v>
      </c>
      <c r="D267" t="s">
        <v>151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130</v>
      </c>
      <c r="C268">
        <v>30</v>
      </c>
      <c r="D268" t="s">
        <v>101</v>
      </c>
      <c r="E268" t="s">
        <v>102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130</v>
      </c>
      <c r="C269">
        <v>40</v>
      </c>
      <c r="D269" t="s">
        <v>152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130</v>
      </c>
      <c r="C270">
        <v>50</v>
      </c>
      <c r="D270" t="s">
        <v>103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130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130</v>
      </c>
      <c r="C272">
        <v>70</v>
      </c>
      <c r="D272" t="s">
        <v>153</v>
      </c>
      <c r="E272" t="s">
        <v>12</v>
      </c>
      <c r="F272">
        <v>8.8999999999999996E-2</v>
      </c>
      <c r="G272" t="s">
        <v>13</v>
      </c>
    </row>
    <row r="273" spans="1:7" x14ac:dyDescent="0.25">
      <c r="A273">
        <v>23</v>
      </c>
      <c r="B273" t="s">
        <v>130</v>
      </c>
      <c r="C273">
        <v>80</v>
      </c>
      <c r="D273" t="s">
        <v>154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130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130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130</v>
      </c>
      <c r="C276">
        <v>110</v>
      </c>
      <c r="D276" t="s">
        <v>104</v>
      </c>
      <c r="E276" t="s">
        <v>12</v>
      </c>
      <c r="F276">
        <v>1.216</v>
      </c>
      <c r="G276" t="s">
        <v>13</v>
      </c>
    </row>
    <row r="277" spans="1:7" x14ac:dyDescent="0.25">
      <c r="A277">
        <v>23</v>
      </c>
      <c r="B277" t="s">
        <v>130</v>
      </c>
      <c r="C277">
        <v>120</v>
      </c>
      <c r="D277" t="s">
        <v>177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131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131</v>
      </c>
      <c r="C279">
        <v>20</v>
      </c>
      <c r="D279" t="s">
        <v>151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131</v>
      </c>
      <c r="C280">
        <v>30</v>
      </c>
      <c r="D280" t="s">
        <v>101</v>
      </c>
      <c r="E280" t="s">
        <v>102</v>
      </c>
      <c r="F280">
        <v>0.68</v>
      </c>
      <c r="G280" t="s">
        <v>13</v>
      </c>
    </row>
    <row r="281" spans="1:7" x14ac:dyDescent="0.25">
      <c r="A281">
        <v>24</v>
      </c>
      <c r="B281" t="s">
        <v>131</v>
      </c>
      <c r="C281">
        <v>40</v>
      </c>
      <c r="D281" t="s">
        <v>152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131</v>
      </c>
      <c r="C282">
        <v>50</v>
      </c>
      <c r="D282" t="s">
        <v>103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131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131</v>
      </c>
      <c r="C284">
        <v>70</v>
      </c>
      <c r="D284" t="s">
        <v>153</v>
      </c>
      <c r="E284" t="s">
        <v>12</v>
      </c>
      <c r="F284">
        <v>0.1</v>
      </c>
      <c r="G284" t="s">
        <v>13</v>
      </c>
    </row>
    <row r="285" spans="1:7" x14ac:dyDescent="0.25">
      <c r="A285">
        <v>24</v>
      </c>
      <c r="B285" t="s">
        <v>131</v>
      </c>
      <c r="C285">
        <v>80</v>
      </c>
      <c r="D285" t="s">
        <v>154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131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131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131</v>
      </c>
      <c r="C288">
        <v>110</v>
      </c>
      <c r="D288" t="s">
        <v>104</v>
      </c>
      <c r="E288" t="s">
        <v>12</v>
      </c>
      <c r="F288">
        <v>1.216</v>
      </c>
      <c r="G288" t="s">
        <v>13</v>
      </c>
    </row>
    <row r="289" spans="1:7" x14ac:dyDescent="0.25">
      <c r="A289">
        <v>24</v>
      </c>
      <c r="B289" t="s">
        <v>131</v>
      </c>
      <c r="C289">
        <v>120</v>
      </c>
      <c r="D289" t="s">
        <v>178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132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132</v>
      </c>
      <c r="C291">
        <v>20</v>
      </c>
      <c r="D291" t="s">
        <v>151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132</v>
      </c>
      <c r="C292">
        <v>30</v>
      </c>
      <c r="D292" t="s">
        <v>101</v>
      </c>
      <c r="E292" t="s">
        <v>102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132</v>
      </c>
      <c r="C293">
        <v>40</v>
      </c>
      <c r="D293" t="s">
        <v>152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132</v>
      </c>
      <c r="C294">
        <v>50</v>
      </c>
      <c r="D294" t="s">
        <v>103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132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132</v>
      </c>
      <c r="C296">
        <v>70</v>
      </c>
      <c r="D296" t="s">
        <v>153</v>
      </c>
      <c r="E296" t="s">
        <v>12</v>
      </c>
      <c r="F296">
        <v>0.11</v>
      </c>
      <c r="G296" t="s">
        <v>13</v>
      </c>
    </row>
    <row r="297" spans="1:7" x14ac:dyDescent="0.25">
      <c r="A297">
        <v>25</v>
      </c>
      <c r="B297" t="s">
        <v>132</v>
      </c>
      <c r="C297">
        <v>80</v>
      </c>
      <c r="D297" t="s">
        <v>154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132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132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132</v>
      </c>
      <c r="C300">
        <v>110</v>
      </c>
      <c r="D300" t="s">
        <v>104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132</v>
      </c>
      <c r="C301">
        <v>120</v>
      </c>
      <c r="D301" t="s">
        <v>179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133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133</v>
      </c>
      <c r="C303">
        <v>20</v>
      </c>
      <c r="D303" t="s">
        <v>151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133</v>
      </c>
      <c r="C304">
        <v>30</v>
      </c>
      <c r="D304" t="s">
        <v>101</v>
      </c>
      <c r="E304" t="s">
        <v>102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133</v>
      </c>
      <c r="C305">
        <v>40</v>
      </c>
      <c r="D305" t="s">
        <v>152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133</v>
      </c>
      <c r="C306">
        <v>50</v>
      </c>
      <c r="D306" t="s">
        <v>103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133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133</v>
      </c>
      <c r="C308">
        <v>70</v>
      </c>
      <c r="D308" t="s">
        <v>153</v>
      </c>
      <c r="E308" t="s">
        <v>12</v>
      </c>
      <c r="F308">
        <v>0.13200000000000001</v>
      </c>
      <c r="G308" t="s">
        <v>13</v>
      </c>
    </row>
    <row r="309" spans="1:7" x14ac:dyDescent="0.25">
      <c r="A309">
        <v>26</v>
      </c>
      <c r="B309" t="s">
        <v>133</v>
      </c>
      <c r="C309">
        <v>80</v>
      </c>
      <c r="D309" t="s">
        <v>154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133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133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133</v>
      </c>
      <c r="C312">
        <v>110</v>
      </c>
      <c r="D312" t="s">
        <v>104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133</v>
      </c>
      <c r="C313">
        <v>120</v>
      </c>
      <c r="D313" t="s">
        <v>180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134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134</v>
      </c>
      <c r="C315">
        <v>20</v>
      </c>
      <c r="D315" t="s">
        <v>151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134</v>
      </c>
      <c r="C316">
        <v>30</v>
      </c>
      <c r="D316" t="s">
        <v>101</v>
      </c>
      <c r="E316" t="s">
        <v>102</v>
      </c>
      <c r="F316">
        <v>1.069</v>
      </c>
      <c r="G316" t="s">
        <v>13</v>
      </c>
    </row>
    <row r="317" spans="1:7" x14ac:dyDescent="0.25">
      <c r="A317">
        <v>27</v>
      </c>
      <c r="B317" t="s">
        <v>134</v>
      </c>
      <c r="C317">
        <v>40</v>
      </c>
      <c r="D317" t="s">
        <v>152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134</v>
      </c>
      <c r="C318">
        <v>50</v>
      </c>
      <c r="D318" t="s">
        <v>103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134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134</v>
      </c>
      <c r="C320">
        <v>70</v>
      </c>
      <c r="D320" t="s">
        <v>153</v>
      </c>
      <c r="E320" t="s">
        <v>12</v>
      </c>
      <c r="F320">
        <v>0.14199999999999999</v>
      </c>
      <c r="G320" t="s">
        <v>13</v>
      </c>
    </row>
    <row r="321" spans="1:7" x14ac:dyDescent="0.25">
      <c r="A321">
        <v>27</v>
      </c>
      <c r="B321" t="s">
        <v>134</v>
      </c>
      <c r="C321">
        <v>80</v>
      </c>
      <c r="D321" t="s">
        <v>154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134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134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134</v>
      </c>
      <c r="C324">
        <v>110</v>
      </c>
      <c r="D324" t="s">
        <v>104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134</v>
      </c>
      <c r="C325">
        <v>120</v>
      </c>
      <c r="D325" t="s">
        <v>181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135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135</v>
      </c>
      <c r="C327">
        <v>20</v>
      </c>
      <c r="D327" t="s">
        <v>151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135</v>
      </c>
      <c r="C328">
        <v>30</v>
      </c>
      <c r="D328" t="s">
        <v>101</v>
      </c>
      <c r="E328" t="s">
        <v>102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135</v>
      </c>
      <c r="C329">
        <v>40</v>
      </c>
      <c r="D329" t="s">
        <v>152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135</v>
      </c>
      <c r="C330">
        <v>50</v>
      </c>
      <c r="D330" t="s">
        <v>103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135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135</v>
      </c>
      <c r="C332">
        <v>70</v>
      </c>
      <c r="D332" t="s">
        <v>153</v>
      </c>
      <c r="E332" t="s">
        <v>12</v>
      </c>
      <c r="F332">
        <v>0.153</v>
      </c>
      <c r="G332" t="s">
        <v>13</v>
      </c>
    </row>
    <row r="333" spans="1:7" x14ac:dyDescent="0.25">
      <c r="A333">
        <v>28</v>
      </c>
      <c r="B333" t="s">
        <v>135</v>
      </c>
      <c r="C333">
        <v>80</v>
      </c>
      <c r="D333" t="s">
        <v>154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135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135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135</v>
      </c>
      <c r="C336">
        <v>110</v>
      </c>
      <c r="D336" t="s">
        <v>104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135</v>
      </c>
      <c r="C337">
        <v>120</v>
      </c>
      <c r="D337" t="s">
        <v>182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136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136</v>
      </c>
      <c r="C339">
        <v>20</v>
      </c>
      <c r="D339" t="s">
        <v>151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136</v>
      </c>
      <c r="C340">
        <v>30</v>
      </c>
      <c r="D340" t="s">
        <v>101</v>
      </c>
      <c r="E340" t="s">
        <v>102</v>
      </c>
      <c r="F340">
        <v>0.51</v>
      </c>
      <c r="G340" t="s">
        <v>13</v>
      </c>
    </row>
    <row r="341" spans="1:7" x14ac:dyDescent="0.25">
      <c r="A341">
        <v>29</v>
      </c>
      <c r="B341" t="s">
        <v>136</v>
      </c>
      <c r="C341">
        <v>40</v>
      </c>
      <c r="D341" t="s">
        <v>152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136</v>
      </c>
      <c r="C342">
        <v>50</v>
      </c>
      <c r="D342" t="s">
        <v>103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136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136</v>
      </c>
      <c r="C344">
        <v>70</v>
      </c>
      <c r="D344" t="s">
        <v>153</v>
      </c>
      <c r="E344" t="s">
        <v>12</v>
      </c>
      <c r="F344">
        <v>7.8E-2</v>
      </c>
      <c r="G344" t="s">
        <v>13</v>
      </c>
    </row>
    <row r="345" spans="1:7" x14ac:dyDescent="0.25">
      <c r="A345">
        <v>29</v>
      </c>
      <c r="B345" t="s">
        <v>136</v>
      </c>
      <c r="C345">
        <v>80</v>
      </c>
      <c r="D345" t="s">
        <v>154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136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136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136</v>
      </c>
      <c r="C348">
        <v>110</v>
      </c>
      <c r="D348" t="s">
        <v>104</v>
      </c>
      <c r="E348" t="s">
        <v>12</v>
      </c>
      <c r="F348">
        <v>1.27</v>
      </c>
      <c r="G348" t="s">
        <v>13</v>
      </c>
    </row>
    <row r="349" spans="1:7" x14ac:dyDescent="0.25">
      <c r="A349">
        <v>29</v>
      </c>
      <c r="B349" t="s">
        <v>136</v>
      </c>
      <c r="C349">
        <v>120</v>
      </c>
      <c r="D349" t="s">
        <v>183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137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137</v>
      </c>
      <c r="C351">
        <v>20</v>
      </c>
      <c r="D351" t="s">
        <v>151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137</v>
      </c>
      <c r="C352">
        <v>30</v>
      </c>
      <c r="D352" t="s">
        <v>101</v>
      </c>
      <c r="E352" t="s">
        <v>102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137</v>
      </c>
      <c r="C353">
        <v>40</v>
      </c>
      <c r="D353" t="s">
        <v>152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137</v>
      </c>
      <c r="C354">
        <v>50</v>
      </c>
      <c r="D354" t="s">
        <v>103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137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137</v>
      </c>
      <c r="C356">
        <v>70</v>
      </c>
      <c r="D356" t="s">
        <v>153</v>
      </c>
      <c r="E356" t="s">
        <v>12</v>
      </c>
      <c r="F356">
        <v>8.8999999999999996E-2</v>
      </c>
      <c r="G356" t="s">
        <v>13</v>
      </c>
    </row>
    <row r="357" spans="1:7" x14ac:dyDescent="0.25">
      <c r="A357">
        <v>30</v>
      </c>
      <c r="B357" t="s">
        <v>137</v>
      </c>
      <c r="C357">
        <v>80</v>
      </c>
      <c r="D357" t="s">
        <v>154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137</v>
      </c>
      <c r="C360">
        <v>110</v>
      </c>
      <c r="D360" t="s">
        <v>104</v>
      </c>
      <c r="E360" t="s">
        <v>12</v>
      </c>
      <c r="F360">
        <v>1.27</v>
      </c>
      <c r="G360" t="s">
        <v>13</v>
      </c>
    </row>
    <row r="361" spans="1:7" x14ac:dyDescent="0.25">
      <c r="A361">
        <v>30</v>
      </c>
      <c r="B361" t="s">
        <v>137</v>
      </c>
      <c r="C361">
        <v>120</v>
      </c>
      <c r="D361" t="s">
        <v>184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138</v>
      </c>
      <c r="C363">
        <v>20</v>
      </c>
      <c r="D363" t="s">
        <v>151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138</v>
      </c>
      <c r="C364">
        <v>30</v>
      </c>
      <c r="D364" t="s">
        <v>101</v>
      </c>
      <c r="E364" t="s">
        <v>102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138</v>
      </c>
      <c r="C365">
        <v>40</v>
      </c>
      <c r="D365" t="s">
        <v>152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138</v>
      </c>
      <c r="C366">
        <v>50</v>
      </c>
      <c r="D366" t="s">
        <v>103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138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138</v>
      </c>
      <c r="C368">
        <v>70</v>
      </c>
      <c r="D368" t="s">
        <v>153</v>
      </c>
      <c r="E368" t="s">
        <v>12</v>
      </c>
      <c r="F368">
        <v>0.1</v>
      </c>
      <c r="G368" t="s">
        <v>13</v>
      </c>
    </row>
    <row r="369" spans="1:7" x14ac:dyDescent="0.25">
      <c r="A369">
        <v>31</v>
      </c>
      <c r="B369" t="s">
        <v>138</v>
      </c>
      <c r="C369">
        <v>80</v>
      </c>
      <c r="D369" t="s">
        <v>154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138</v>
      </c>
      <c r="C372">
        <v>110</v>
      </c>
      <c r="D372" t="s">
        <v>104</v>
      </c>
      <c r="E372" t="s">
        <v>12</v>
      </c>
      <c r="F372">
        <v>1.27</v>
      </c>
      <c r="G372" t="s">
        <v>13</v>
      </c>
    </row>
    <row r="373" spans="1:7" x14ac:dyDescent="0.25">
      <c r="A373">
        <v>31</v>
      </c>
      <c r="B373" t="s">
        <v>138</v>
      </c>
      <c r="C373">
        <v>120</v>
      </c>
      <c r="D373" t="s">
        <v>185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139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139</v>
      </c>
      <c r="C375">
        <v>20</v>
      </c>
      <c r="D375" t="s">
        <v>151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139</v>
      </c>
      <c r="C376">
        <v>30</v>
      </c>
      <c r="D376" t="s">
        <v>101</v>
      </c>
      <c r="E376" t="s">
        <v>102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139</v>
      </c>
      <c r="C377">
        <v>40</v>
      </c>
      <c r="D377" t="s">
        <v>152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139</v>
      </c>
      <c r="C378">
        <v>50</v>
      </c>
      <c r="D378" t="s">
        <v>103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139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139</v>
      </c>
      <c r="C380">
        <v>70</v>
      </c>
      <c r="D380" t="s">
        <v>153</v>
      </c>
      <c r="E380" t="s">
        <v>12</v>
      </c>
      <c r="F380">
        <v>0.11</v>
      </c>
      <c r="G380" t="s">
        <v>13</v>
      </c>
    </row>
    <row r="381" spans="1:7" x14ac:dyDescent="0.25">
      <c r="A381">
        <v>32</v>
      </c>
      <c r="B381" t="s">
        <v>139</v>
      </c>
      <c r="C381">
        <v>80</v>
      </c>
      <c r="D381" t="s">
        <v>154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139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139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139</v>
      </c>
      <c r="C384">
        <v>110</v>
      </c>
      <c r="D384" t="s">
        <v>104</v>
      </c>
      <c r="E384" t="s">
        <v>12</v>
      </c>
      <c r="F384">
        <v>1.27</v>
      </c>
      <c r="G384" t="s">
        <v>13</v>
      </c>
    </row>
    <row r="385" spans="1:7" x14ac:dyDescent="0.25">
      <c r="A385">
        <v>32</v>
      </c>
      <c r="B385" t="s">
        <v>139</v>
      </c>
      <c r="C385">
        <v>120</v>
      </c>
      <c r="D385" t="s">
        <v>186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140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140</v>
      </c>
      <c r="C387">
        <v>20</v>
      </c>
      <c r="D387" t="s">
        <v>151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140</v>
      </c>
      <c r="C388">
        <v>30</v>
      </c>
      <c r="D388" t="s">
        <v>101</v>
      </c>
      <c r="E388" t="s">
        <v>102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140</v>
      </c>
      <c r="C389">
        <v>40</v>
      </c>
      <c r="D389" t="s">
        <v>152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140</v>
      </c>
      <c r="C390">
        <v>50</v>
      </c>
      <c r="D390" t="s">
        <v>103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140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140</v>
      </c>
      <c r="C392">
        <v>70</v>
      </c>
      <c r="D392" t="s">
        <v>153</v>
      </c>
      <c r="E392" t="s">
        <v>12</v>
      </c>
      <c r="F392">
        <v>0.13200000000000001</v>
      </c>
      <c r="G392" t="s">
        <v>13</v>
      </c>
    </row>
    <row r="393" spans="1:7" x14ac:dyDescent="0.25">
      <c r="A393">
        <v>33</v>
      </c>
      <c r="B393" t="s">
        <v>140</v>
      </c>
      <c r="C393">
        <v>80</v>
      </c>
      <c r="D393" t="s">
        <v>154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140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140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140</v>
      </c>
      <c r="C396">
        <v>110</v>
      </c>
      <c r="D396" t="s">
        <v>104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140</v>
      </c>
      <c r="C397">
        <v>120</v>
      </c>
      <c r="D397" t="s">
        <v>187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141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141</v>
      </c>
      <c r="C399">
        <v>20</v>
      </c>
      <c r="D399" t="s">
        <v>151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141</v>
      </c>
      <c r="C400">
        <v>30</v>
      </c>
      <c r="D400" t="s">
        <v>101</v>
      </c>
      <c r="E400" t="s">
        <v>102</v>
      </c>
      <c r="F400">
        <v>1.123</v>
      </c>
      <c r="G400" t="s">
        <v>13</v>
      </c>
    </row>
    <row r="401" spans="1:7" x14ac:dyDescent="0.25">
      <c r="A401">
        <v>34</v>
      </c>
      <c r="B401" t="s">
        <v>141</v>
      </c>
      <c r="C401">
        <v>40</v>
      </c>
      <c r="D401" t="s">
        <v>152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141</v>
      </c>
      <c r="C402">
        <v>50</v>
      </c>
      <c r="D402" t="s">
        <v>103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141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141</v>
      </c>
      <c r="C404">
        <v>70</v>
      </c>
      <c r="D404" t="s">
        <v>153</v>
      </c>
      <c r="E404" t="s">
        <v>12</v>
      </c>
      <c r="F404">
        <v>0.14199999999999999</v>
      </c>
      <c r="G404" t="s">
        <v>13</v>
      </c>
    </row>
    <row r="405" spans="1:7" x14ac:dyDescent="0.25">
      <c r="A405">
        <v>34</v>
      </c>
      <c r="B405" t="s">
        <v>141</v>
      </c>
      <c r="C405">
        <v>80</v>
      </c>
      <c r="D405" t="s">
        <v>154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141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141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141</v>
      </c>
      <c r="C408">
        <v>110</v>
      </c>
      <c r="D408" t="s">
        <v>104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141</v>
      </c>
      <c r="C409">
        <v>120</v>
      </c>
      <c r="D409" t="s">
        <v>188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142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142</v>
      </c>
      <c r="C411">
        <v>20</v>
      </c>
      <c r="D411" t="s">
        <v>151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142</v>
      </c>
      <c r="C412">
        <v>30</v>
      </c>
      <c r="D412" t="s">
        <v>101</v>
      </c>
      <c r="E412" t="s">
        <v>102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142</v>
      </c>
      <c r="C413">
        <v>40</v>
      </c>
      <c r="D413" t="s">
        <v>152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142</v>
      </c>
      <c r="C414">
        <v>50</v>
      </c>
      <c r="D414" t="s">
        <v>103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142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142</v>
      </c>
      <c r="C416">
        <v>70</v>
      </c>
      <c r="D416" t="s">
        <v>153</v>
      </c>
      <c r="E416" t="s">
        <v>12</v>
      </c>
      <c r="F416">
        <v>0.153</v>
      </c>
      <c r="G416" t="s">
        <v>13</v>
      </c>
    </row>
    <row r="417" spans="1:7" x14ac:dyDescent="0.25">
      <c r="A417">
        <v>35</v>
      </c>
      <c r="B417" t="s">
        <v>142</v>
      </c>
      <c r="C417">
        <v>80</v>
      </c>
      <c r="D417" t="s">
        <v>154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142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142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142</v>
      </c>
      <c r="C420">
        <v>110</v>
      </c>
      <c r="D420" t="s">
        <v>104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142</v>
      </c>
      <c r="C421">
        <v>120</v>
      </c>
      <c r="D421" t="s">
        <v>189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190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190</v>
      </c>
      <c r="C423">
        <v>20</v>
      </c>
      <c r="D423" t="s">
        <v>151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190</v>
      </c>
      <c r="C424">
        <v>30</v>
      </c>
      <c r="D424" t="s">
        <v>101</v>
      </c>
      <c r="E424" t="s">
        <v>102</v>
      </c>
      <c r="F424">
        <v>0.48099999999999998</v>
      </c>
      <c r="G424" t="s">
        <v>13</v>
      </c>
    </row>
    <row r="425" spans="1:7" x14ac:dyDescent="0.25">
      <c r="A425">
        <v>36</v>
      </c>
      <c r="B425" t="s">
        <v>190</v>
      </c>
      <c r="C425">
        <v>40</v>
      </c>
      <c r="D425" t="s">
        <v>152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190</v>
      </c>
      <c r="C426">
        <v>50</v>
      </c>
      <c r="D426" t="s">
        <v>103</v>
      </c>
      <c r="E426" t="s">
        <v>14</v>
      </c>
      <c r="F426">
        <v>16.154</v>
      </c>
      <c r="G426" t="s">
        <v>13</v>
      </c>
    </row>
    <row r="427" spans="1:7" x14ac:dyDescent="0.25">
      <c r="A427">
        <v>36</v>
      </c>
      <c r="B427" t="s">
        <v>190</v>
      </c>
      <c r="C427">
        <v>60</v>
      </c>
      <c r="D427" t="s">
        <v>16</v>
      </c>
      <c r="E427" t="s">
        <v>14</v>
      </c>
      <c r="F427">
        <v>100.28700000000001</v>
      </c>
      <c r="G427" t="s">
        <v>13</v>
      </c>
    </row>
    <row r="428" spans="1:7" x14ac:dyDescent="0.25">
      <c r="A428">
        <v>36</v>
      </c>
      <c r="B428" t="s">
        <v>190</v>
      </c>
      <c r="C428">
        <v>70</v>
      </c>
      <c r="D428" t="s">
        <v>153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190</v>
      </c>
      <c r="C429">
        <v>80</v>
      </c>
      <c r="D429" t="s">
        <v>191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190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190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190</v>
      </c>
      <c r="C432">
        <v>110</v>
      </c>
      <c r="D432" t="s">
        <v>104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190</v>
      </c>
      <c r="C433">
        <v>120</v>
      </c>
      <c r="D433" t="s">
        <v>192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193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193</v>
      </c>
      <c r="C435">
        <v>20</v>
      </c>
      <c r="D435" t="s">
        <v>151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193</v>
      </c>
      <c r="C436">
        <v>30</v>
      </c>
      <c r="D436" t="s">
        <v>101</v>
      </c>
      <c r="E436" t="s">
        <v>102</v>
      </c>
      <c r="F436">
        <v>0.56899999999999995</v>
      </c>
      <c r="G436" t="s">
        <v>13</v>
      </c>
    </row>
    <row r="437" spans="1:7" x14ac:dyDescent="0.25">
      <c r="A437">
        <v>37</v>
      </c>
      <c r="B437" t="s">
        <v>193</v>
      </c>
      <c r="C437">
        <v>40</v>
      </c>
      <c r="D437" t="s">
        <v>152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193</v>
      </c>
      <c r="C438">
        <v>50</v>
      </c>
      <c r="D438" t="s">
        <v>103</v>
      </c>
      <c r="E438" t="s">
        <v>14</v>
      </c>
      <c r="F438">
        <v>17.068999999999999</v>
      </c>
      <c r="G438" t="s">
        <v>13</v>
      </c>
    </row>
    <row r="439" spans="1:7" x14ac:dyDescent="0.25">
      <c r="A439">
        <v>37</v>
      </c>
      <c r="B439" t="s">
        <v>193</v>
      </c>
      <c r="C439">
        <v>60</v>
      </c>
      <c r="D439" t="s">
        <v>16</v>
      </c>
      <c r="E439" t="s">
        <v>14</v>
      </c>
      <c r="F439">
        <v>105.91</v>
      </c>
      <c r="G439" t="s">
        <v>13</v>
      </c>
    </row>
    <row r="440" spans="1:7" x14ac:dyDescent="0.25">
      <c r="A440">
        <v>37</v>
      </c>
      <c r="B440" t="s">
        <v>193</v>
      </c>
      <c r="C440">
        <v>70</v>
      </c>
      <c r="D440" t="s">
        <v>153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193</v>
      </c>
      <c r="C441">
        <v>80</v>
      </c>
      <c r="D441" t="s">
        <v>191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193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193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193</v>
      </c>
      <c r="C444">
        <v>110</v>
      </c>
      <c r="D444" t="s">
        <v>104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193</v>
      </c>
      <c r="C445">
        <v>120</v>
      </c>
      <c r="D445" t="s">
        <v>194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195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195</v>
      </c>
      <c r="C447">
        <v>20</v>
      </c>
      <c r="D447" t="s">
        <v>151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195</v>
      </c>
      <c r="C448">
        <v>30</v>
      </c>
      <c r="D448" t="s">
        <v>101</v>
      </c>
      <c r="E448" t="s">
        <v>102</v>
      </c>
      <c r="F448">
        <v>0.65600000000000003</v>
      </c>
      <c r="G448" t="s">
        <v>13</v>
      </c>
    </row>
    <row r="449" spans="1:7" x14ac:dyDescent="0.25">
      <c r="A449">
        <v>38</v>
      </c>
      <c r="B449" t="s">
        <v>195</v>
      </c>
      <c r="C449">
        <v>40</v>
      </c>
      <c r="D449" t="s">
        <v>152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195</v>
      </c>
      <c r="C450">
        <v>50</v>
      </c>
      <c r="D450" t="s">
        <v>103</v>
      </c>
      <c r="E450" t="s">
        <v>14</v>
      </c>
      <c r="F450">
        <v>17.983000000000001</v>
      </c>
      <c r="G450" t="s">
        <v>13</v>
      </c>
    </row>
    <row r="451" spans="1:7" x14ac:dyDescent="0.25">
      <c r="A451">
        <v>38</v>
      </c>
      <c r="B451" t="s">
        <v>195</v>
      </c>
      <c r="C451">
        <v>60</v>
      </c>
      <c r="D451" t="s">
        <v>16</v>
      </c>
      <c r="E451" t="s">
        <v>14</v>
      </c>
      <c r="F451">
        <v>111.53400000000001</v>
      </c>
      <c r="G451" t="s">
        <v>13</v>
      </c>
    </row>
    <row r="452" spans="1:7" x14ac:dyDescent="0.25">
      <c r="A452">
        <v>38</v>
      </c>
      <c r="B452" t="s">
        <v>195</v>
      </c>
      <c r="C452">
        <v>70</v>
      </c>
      <c r="D452" t="s">
        <v>153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195</v>
      </c>
      <c r="C453">
        <v>80</v>
      </c>
      <c r="D453" t="s">
        <v>191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195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195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195</v>
      </c>
      <c r="C456">
        <v>110</v>
      </c>
      <c r="D456" t="s">
        <v>104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195</v>
      </c>
      <c r="C457">
        <v>120</v>
      </c>
      <c r="D457" t="s">
        <v>196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197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197</v>
      </c>
      <c r="C459">
        <v>20</v>
      </c>
      <c r="D459" t="s">
        <v>151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197</v>
      </c>
      <c r="C460">
        <v>30</v>
      </c>
      <c r="D460" t="s">
        <v>101</v>
      </c>
      <c r="E460" t="s">
        <v>102</v>
      </c>
      <c r="F460">
        <v>0.74399999999999999</v>
      </c>
      <c r="G460" t="s">
        <v>13</v>
      </c>
    </row>
    <row r="461" spans="1:7" x14ac:dyDescent="0.25">
      <c r="A461">
        <v>39</v>
      </c>
      <c r="B461" t="s">
        <v>197</v>
      </c>
      <c r="C461">
        <v>40</v>
      </c>
      <c r="D461" t="s">
        <v>152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197</v>
      </c>
      <c r="C462">
        <v>50</v>
      </c>
      <c r="D462" t="s">
        <v>103</v>
      </c>
      <c r="E462" t="s">
        <v>14</v>
      </c>
      <c r="F462">
        <v>18.898</v>
      </c>
      <c r="G462" t="s">
        <v>13</v>
      </c>
    </row>
    <row r="463" spans="1:7" x14ac:dyDescent="0.25">
      <c r="A463">
        <v>39</v>
      </c>
      <c r="B463" t="s">
        <v>197</v>
      </c>
      <c r="C463">
        <v>60</v>
      </c>
      <c r="D463" t="s">
        <v>16</v>
      </c>
      <c r="E463" t="s">
        <v>14</v>
      </c>
      <c r="F463">
        <v>117.158</v>
      </c>
      <c r="G463" t="s">
        <v>13</v>
      </c>
    </row>
    <row r="464" spans="1:7" x14ac:dyDescent="0.25">
      <c r="A464">
        <v>39</v>
      </c>
      <c r="B464" t="s">
        <v>197</v>
      </c>
      <c r="C464">
        <v>70</v>
      </c>
      <c r="D464" t="s">
        <v>153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197</v>
      </c>
      <c r="C465">
        <v>80</v>
      </c>
      <c r="D465" t="s">
        <v>191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197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197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197</v>
      </c>
      <c r="C468">
        <v>110</v>
      </c>
      <c r="D468" t="s">
        <v>104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197</v>
      </c>
      <c r="C469">
        <v>120</v>
      </c>
      <c r="D469" t="s">
        <v>198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199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199</v>
      </c>
      <c r="C471">
        <v>20</v>
      </c>
      <c r="D471" t="s">
        <v>151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199</v>
      </c>
      <c r="C472">
        <v>30</v>
      </c>
      <c r="D472" t="s">
        <v>101</v>
      </c>
      <c r="E472" t="s">
        <v>102</v>
      </c>
      <c r="F472">
        <v>0.78700000000000003</v>
      </c>
      <c r="G472" t="s">
        <v>13</v>
      </c>
    </row>
    <row r="473" spans="1:7" x14ac:dyDescent="0.25">
      <c r="A473">
        <v>40</v>
      </c>
      <c r="B473" t="s">
        <v>199</v>
      </c>
      <c r="C473">
        <v>40</v>
      </c>
      <c r="D473" t="s">
        <v>152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199</v>
      </c>
      <c r="C474">
        <v>50</v>
      </c>
      <c r="D474" t="s">
        <v>103</v>
      </c>
      <c r="E474" t="s">
        <v>14</v>
      </c>
      <c r="F474">
        <v>19.355</v>
      </c>
      <c r="G474" t="s">
        <v>13</v>
      </c>
    </row>
    <row r="475" spans="1:7" x14ac:dyDescent="0.25">
      <c r="A475">
        <v>40</v>
      </c>
      <c r="B475" t="s">
        <v>199</v>
      </c>
      <c r="C475">
        <v>60</v>
      </c>
      <c r="D475" t="s">
        <v>16</v>
      </c>
      <c r="E475" t="s">
        <v>14</v>
      </c>
      <c r="F475">
        <v>119.96899999999999</v>
      </c>
      <c r="G475" t="s">
        <v>13</v>
      </c>
    </row>
    <row r="476" spans="1:7" x14ac:dyDescent="0.25">
      <c r="A476">
        <v>40</v>
      </c>
      <c r="B476" t="s">
        <v>199</v>
      </c>
      <c r="C476">
        <v>70</v>
      </c>
      <c r="D476" t="s">
        <v>153</v>
      </c>
      <c r="E476" t="s">
        <v>12</v>
      </c>
      <c r="F476">
        <v>0.11600000000000001</v>
      </c>
      <c r="G476" t="s">
        <v>13</v>
      </c>
    </row>
    <row r="477" spans="1:7" x14ac:dyDescent="0.25">
      <c r="A477">
        <v>40</v>
      </c>
      <c r="B477" t="s">
        <v>199</v>
      </c>
      <c r="C477">
        <v>80</v>
      </c>
      <c r="D477" t="s">
        <v>191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199</v>
      </c>
      <c r="C480">
        <v>110</v>
      </c>
      <c r="D480" t="s">
        <v>104</v>
      </c>
      <c r="E480" t="s">
        <v>12</v>
      </c>
      <c r="F480">
        <v>0.82399999999999995</v>
      </c>
      <c r="G480" t="s">
        <v>13</v>
      </c>
    </row>
    <row r="481" spans="1:7" x14ac:dyDescent="0.25">
      <c r="A481">
        <v>40</v>
      </c>
      <c r="B481" t="s">
        <v>199</v>
      </c>
      <c r="C481">
        <v>120</v>
      </c>
      <c r="D481" t="s">
        <v>200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201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201</v>
      </c>
      <c r="C483">
        <v>20</v>
      </c>
      <c r="D483" t="s">
        <v>151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201</v>
      </c>
      <c r="C484">
        <v>30</v>
      </c>
      <c r="D484" t="s">
        <v>101</v>
      </c>
      <c r="E484" t="s">
        <v>102</v>
      </c>
      <c r="F484">
        <v>0.83099999999999996</v>
      </c>
      <c r="G484" t="s">
        <v>13</v>
      </c>
    </row>
    <row r="485" spans="1:7" x14ac:dyDescent="0.25">
      <c r="A485">
        <v>41</v>
      </c>
      <c r="B485" t="s">
        <v>201</v>
      </c>
      <c r="C485">
        <v>40</v>
      </c>
      <c r="D485" t="s">
        <v>152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201</v>
      </c>
      <c r="C486">
        <v>50</v>
      </c>
      <c r="D486" t="s">
        <v>103</v>
      </c>
      <c r="E486" t="s">
        <v>14</v>
      </c>
      <c r="F486">
        <v>19.812000000000001</v>
      </c>
      <c r="G486" t="s">
        <v>13</v>
      </c>
    </row>
    <row r="487" spans="1:7" x14ac:dyDescent="0.25">
      <c r="A487">
        <v>41</v>
      </c>
      <c r="B487" t="s">
        <v>201</v>
      </c>
      <c r="C487">
        <v>60</v>
      </c>
      <c r="D487" t="s">
        <v>16</v>
      </c>
      <c r="E487" t="s">
        <v>14</v>
      </c>
      <c r="F487">
        <v>122.78100000000001</v>
      </c>
      <c r="G487" t="s">
        <v>13</v>
      </c>
    </row>
    <row r="488" spans="1:7" x14ac:dyDescent="0.25">
      <c r="A488">
        <v>41</v>
      </c>
      <c r="B488" t="s">
        <v>201</v>
      </c>
      <c r="C488">
        <v>70</v>
      </c>
      <c r="D488" t="s">
        <v>153</v>
      </c>
      <c r="E488" t="s">
        <v>12</v>
      </c>
      <c r="F488">
        <v>0.121</v>
      </c>
      <c r="G488" t="s">
        <v>13</v>
      </c>
    </row>
    <row r="489" spans="1:7" x14ac:dyDescent="0.25">
      <c r="A489">
        <v>41</v>
      </c>
      <c r="B489" t="s">
        <v>201</v>
      </c>
      <c r="C489">
        <v>80</v>
      </c>
      <c r="D489" t="s">
        <v>191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201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201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201</v>
      </c>
      <c r="C492">
        <v>110</v>
      </c>
      <c r="D492" t="s">
        <v>104</v>
      </c>
      <c r="E492" t="s">
        <v>12</v>
      </c>
      <c r="F492">
        <v>0.86499999999999999</v>
      </c>
      <c r="G492" t="s">
        <v>13</v>
      </c>
    </row>
    <row r="493" spans="1:7" x14ac:dyDescent="0.25">
      <c r="A493">
        <v>41</v>
      </c>
      <c r="B493" t="s">
        <v>201</v>
      </c>
      <c r="C493">
        <v>120</v>
      </c>
      <c r="D493" t="s">
        <v>202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203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203</v>
      </c>
      <c r="C495">
        <v>20</v>
      </c>
      <c r="D495" t="s">
        <v>151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203</v>
      </c>
      <c r="C496">
        <v>30</v>
      </c>
      <c r="D496" t="s">
        <v>101</v>
      </c>
      <c r="E496" t="s">
        <v>102</v>
      </c>
      <c r="F496">
        <v>0.91900000000000004</v>
      </c>
      <c r="G496" t="s">
        <v>13</v>
      </c>
    </row>
    <row r="497" spans="1:7" x14ac:dyDescent="0.25">
      <c r="A497">
        <v>42</v>
      </c>
      <c r="B497" t="s">
        <v>203</v>
      </c>
      <c r="C497">
        <v>40</v>
      </c>
      <c r="D497" t="s">
        <v>152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203</v>
      </c>
      <c r="C498">
        <v>50</v>
      </c>
      <c r="D498" t="s">
        <v>103</v>
      </c>
      <c r="E498" t="s">
        <v>14</v>
      </c>
      <c r="F498">
        <v>20.725999999999999</v>
      </c>
      <c r="G498" t="s">
        <v>13</v>
      </c>
    </row>
    <row r="499" spans="1:7" x14ac:dyDescent="0.25">
      <c r="A499">
        <v>42</v>
      </c>
      <c r="B499" t="s">
        <v>203</v>
      </c>
      <c r="C499">
        <v>60</v>
      </c>
      <c r="D499" t="s">
        <v>16</v>
      </c>
      <c r="E499" t="s">
        <v>14</v>
      </c>
      <c r="F499">
        <v>128.405</v>
      </c>
      <c r="G499" t="s">
        <v>13</v>
      </c>
    </row>
    <row r="500" spans="1:7" x14ac:dyDescent="0.25">
      <c r="A500">
        <v>42</v>
      </c>
      <c r="B500" t="s">
        <v>203</v>
      </c>
      <c r="C500">
        <v>70</v>
      </c>
      <c r="D500" t="s">
        <v>153</v>
      </c>
      <c r="E500" t="s">
        <v>12</v>
      </c>
      <c r="F500">
        <v>0.13200000000000001</v>
      </c>
      <c r="G500" t="s">
        <v>13</v>
      </c>
    </row>
    <row r="501" spans="1:7" x14ac:dyDescent="0.25">
      <c r="A501">
        <v>42</v>
      </c>
      <c r="B501" t="s">
        <v>203</v>
      </c>
      <c r="C501">
        <v>80</v>
      </c>
      <c r="D501" t="s">
        <v>191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203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203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203</v>
      </c>
      <c r="C504">
        <v>110</v>
      </c>
      <c r="D504" t="s">
        <v>104</v>
      </c>
      <c r="E504" t="s">
        <v>12</v>
      </c>
      <c r="F504">
        <v>0.94599999999999995</v>
      </c>
      <c r="G504" t="s">
        <v>13</v>
      </c>
    </row>
    <row r="505" spans="1:7" x14ac:dyDescent="0.25">
      <c r="A505">
        <v>42</v>
      </c>
      <c r="B505" t="s">
        <v>203</v>
      </c>
      <c r="C505">
        <v>120</v>
      </c>
      <c r="D505" t="s">
        <v>204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205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205</v>
      </c>
      <c r="C507">
        <v>20</v>
      </c>
      <c r="D507" t="s">
        <v>151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205</v>
      </c>
      <c r="C508">
        <v>30</v>
      </c>
      <c r="D508" t="s">
        <v>101</v>
      </c>
      <c r="E508" t="s">
        <v>102</v>
      </c>
      <c r="F508">
        <v>1.006</v>
      </c>
      <c r="G508" t="s">
        <v>13</v>
      </c>
    </row>
    <row r="509" spans="1:7" x14ac:dyDescent="0.25">
      <c r="A509">
        <v>43</v>
      </c>
      <c r="B509" t="s">
        <v>205</v>
      </c>
      <c r="C509">
        <v>40</v>
      </c>
      <c r="D509" t="s">
        <v>152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205</v>
      </c>
      <c r="C510">
        <v>50</v>
      </c>
      <c r="D510" t="s">
        <v>103</v>
      </c>
      <c r="E510" t="s">
        <v>14</v>
      </c>
      <c r="F510">
        <v>21.640999999999998</v>
      </c>
      <c r="G510" t="s">
        <v>13</v>
      </c>
    </row>
    <row r="511" spans="1:7" x14ac:dyDescent="0.25">
      <c r="A511">
        <v>43</v>
      </c>
      <c r="B511" t="s">
        <v>205</v>
      </c>
      <c r="C511">
        <v>60</v>
      </c>
      <c r="D511" t="s">
        <v>16</v>
      </c>
      <c r="E511" t="s">
        <v>14</v>
      </c>
      <c r="F511">
        <v>134.02799999999999</v>
      </c>
      <c r="G511" t="s">
        <v>13</v>
      </c>
    </row>
    <row r="512" spans="1:7" x14ac:dyDescent="0.25">
      <c r="A512">
        <v>43</v>
      </c>
      <c r="B512" t="s">
        <v>205</v>
      </c>
      <c r="C512">
        <v>70</v>
      </c>
      <c r="D512" t="s">
        <v>153</v>
      </c>
      <c r="E512" t="s">
        <v>12</v>
      </c>
      <c r="F512">
        <v>0.14199999999999999</v>
      </c>
      <c r="G512" t="s">
        <v>13</v>
      </c>
    </row>
    <row r="513" spans="1:7" x14ac:dyDescent="0.25">
      <c r="A513">
        <v>43</v>
      </c>
      <c r="B513" t="s">
        <v>205</v>
      </c>
      <c r="C513">
        <v>80</v>
      </c>
      <c r="D513" t="s">
        <v>191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205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205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205</v>
      </c>
      <c r="C516">
        <v>110</v>
      </c>
      <c r="D516" t="s">
        <v>104</v>
      </c>
      <c r="E516" t="s">
        <v>12</v>
      </c>
      <c r="F516">
        <v>1.0269999999999999</v>
      </c>
      <c r="G516" t="s">
        <v>13</v>
      </c>
    </row>
    <row r="517" spans="1:7" x14ac:dyDescent="0.25">
      <c r="A517">
        <v>43</v>
      </c>
      <c r="B517" t="s">
        <v>205</v>
      </c>
      <c r="C517">
        <v>120</v>
      </c>
      <c r="D517" t="s">
        <v>206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207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207</v>
      </c>
      <c r="C519">
        <v>20</v>
      </c>
      <c r="D519" t="s">
        <v>151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207</v>
      </c>
      <c r="C520">
        <v>30</v>
      </c>
      <c r="D520" t="s">
        <v>101</v>
      </c>
      <c r="E520" t="s">
        <v>102</v>
      </c>
      <c r="F520">
        <v>0.501</v>
      </c>
      <c r="G520" t="s">
        <v>13</v>
      </c>
    </row>
    <row r="521" spans="1:7" x14ac:dyDescent="0.25">
      <c r="A521">
        <v>44</v>
      </c>
      <c r="B521" t="s">
        <v>207</v>
      </c>
      <c r="C521">
        <v>40</v>
      </c>
      <c r="D521" t="s">
        <v>152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207</v>
      </c>
      <c r="C522">
        <v>50</v>
      </c>
      <c r="D522" t="s">
        <v>103</v>
      </c>
      <c r="E522" t="s">
        <v>14</v>
      </c>
      <c r="F522">
        <v>16.611999999999998</v>
      </c>
      <c r="G522" t="s">
        <v>13</v>
      </c>
    </row>
    <row r="523" spans="1:7" x14ac:dyDescent="0.25">
      <c r="A523">
        <v>44</v>
      </c>
      <c r="B523" t="s">
        <v>207</v>
      </c>
      <c r="C523">
        <v>60</v>
      </c>
      <c r="D523" t="s">
        <v>16</v>
      </c>
      <c r="E523" t="s">
        <v>14</v>
      </c>
      <c r="F523">
        <v>103.099</v>
      </c>
      <c r="G523" t="s">
        <v>13</v>
      </c>
    </row>
    <row r="524" spans="1:7" x14ac:dyDescent="0.25">
      <c r="A524">
        <v>44</v>
      </c>
      <c r="B524" t="s">
        <v>207</v>
      </c>
      <c r="C524">
        <v>70</v>
      </c>
      <c r="D524" t="s">
        <v>153</v>
      </c>
      <c r="E524" t="s">
        <v>12</v>
      </c>
      <c r="F524">
        <v>7.8E-2</v>
      </c>
      <c r="G524" t="s">
        <v>13</v>
      </c>
    </row>
    <row r="525" spans="1:7" x14ac:dyDescent="0.25">
      <c r="A525">
        <v>44</v>
      </c>
      <c r="B525" t="s">
        <v>207</v>
      </c>
      <c r="C525">
        <v>80</v>
      </c>
      <c r="D525" t="s">
        <v>191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207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207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207</v>
      </c>
      <c r="C528">
        <v>110</v>
      </c>
      <c r="D528" t="s">
        <v>104</v>
      </c>
      <c r="E528" t="s">
        <v>12</v>
      </c>
      <c r="F528">
        <v>0.54</v>
      </c>
      <c r="G528" t="s">
        <v>13</v>
      </c>
    </row>
    <row r="529" spans="1:7" x14ac:dyDescent="0.25">
      <c r="A529">
        <v>44</v>
      </c>
      <c r="B529" t="s">
        <v>207</v>
      </c>
      <c r="C529">
        <v>120</v>
      </c>
      <c r="D529" t="s">
        <v>208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209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209</v>
      </c>
      <c r="C531">
        <v>20</v>
      </c>
      <c r="D531" t="s">
        <v>151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209</v>
      </c>
      <c r="C532">
        <v>30</v>
      </c>
      <c r="D532" t="s">
        <v>101</v>
      </c>
      <c r="E532" t="s">
        <v>102</v>
      </c>
      <c r="F532">
        <v>0.59199999999999997</v>
      </c>
      <c r="G532" t="s">
        <v>13</v>
      </c>
    </row>
    <row r="533" spans="1:7" x14ac:dyDescent="0.25">
      <c r="A533">
        <v>45</v>
      </c>
      <c r="B533" t="s">
        <v>209</v>
      </c>
      <c r="C533">
        <v>40</v>
      </c>
      <c r="D533" t="s">
        <v>152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209</v>
      </c>
      <c r="C534">
        <v>50</v>
      </c>
      <c r="D534" t="s">
        <v>103</v>
      </c>
      <c r="E534" t="s">
        <v>14</v>
      </c>
      <c r="F534">
        <v>17.526</v>
      </c>
      <c r="G534" t="s">
        <v>13</v>
      </c>
    </row>
    <row r="535" spans="1:7" x14ac:dyDescent="0.25">
      <c r="A535">
        <v>45</v>
      </c>
      <c r="B535" t="s">
        <v>209</v>
      </c>
      <c r="C535">
        <v>60</v>
      </c>
      <c r="D535" t="s">
        <v>16</v>
      </c>
      <c r="E535" t="s">
        <v>14</v>
      </c>
      <c r="F535">
        <v>108.72199999999999</v>
      </c>
      <c r="G535" t="s">
        <v>13</v>
      </c>
    </row>
    <row r="536" spans="1:7" x14ac:dyDescent="0.25">
      <c r="A536">
        <v>45</v>
      </c>
      <c r="B536" t="s">
        <v>209</v>
      </c>
      <c r="C536">
        <v>70</v>
      </c>
      <c r="D536" t="s">
        <v>153</v>
      </c>
      <c r="E536" t="s">
        <v>12</v>
      </c>
      <c r="F536">
        <v>8.8999999999999996E-2</v>
      </c>
      <c r="G536" t="s">
        <v>13</v>
      </c>
    </row>
    <row r="537" spans="1:7" x14ac:dyDescent="0.25">
      <c r="A537">
        <v>45</v>
      </c>
      <c r="B537" t="s">
        <v>209</v>
      </c>
      <c r="C537">
        <v>80</v>
      </c>
      <c r="D537" t="s">
        <v>191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209</v>
      </c>
      <c r="C540">
        <v>110</v>
      </c>
      <c r="D540" t="s">
        <v>104</v>
      </c>
      <c r="E540" t="s">
        <v>12</v>
      </c>
      <c r="F540">
        <v>0.622</v>
      </c>
      <c r="G540" t="s">
        <v>13</v>
      </c>
    </row>
    <row r="541" spans="1:7" x14ac:dyDescent="0.25">
      <c r="A541">
        <v>45</v>
      </c>
      <c r="B541" t="s">
        <v>209</v>
      </c>
      <c r="C541">
        <v>120</v>
      </c>
      <c r="D541" t="s">
        <v>210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211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211</v>
      </c>
      <c r="C543">
        <v>20</v>
      </c>
      <c r="D543" t="s">
        <v>151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211</v>
      </c>
      <c r="C544">
        <v>30</v>
      </c>
      <c r="D544" t="s">
        <v>101</v>
      </c>
      <c r="E544" t="s">
        <v>102</v>
      </c>
      <c r="F544">
        <v>0.68300000000000005</v>
      </c>
      <c r="G544" t="s">
        <v>13</v>
      </c>
    </row>
    <row r="545" spans="1:7" x14ac:dyDescent="0.25">
      <c r="A545">
        <v>46</v>
      </c>
      <c r="B545" t="s">
        <v>211</v>
      </c>
      <c r="C545">
        <v>40</v>
      </c>
      <c r="D545" t="s">
        <v>152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211</v>
      </c>
      <c r="C546">
        <v>50</v>
      </c>
      <c r="D546" t="s">
        <v>103</v>
      </c>
      <c r="E546" t="s">
        <v>14</v>
      </c>
      <c r="F546">
        <v>18.440000000000001</v>
      </c>
      <c r="G546" t="s">
        <v>13</v>
      </c>
    </row>
    <row r="547" spans="1:7" x14ac:dyDescent="0.25">
      <c r="A547">
        <v>46</v>
      </c>
      <c r="B547" t="s">
        <v>211</v>
      </c>
      <c r="C547">
        <v>60</v>
      </c>
      <c r="D547" t="s">
        <v>16</v>
      </c>
      <c r="E547" t="s">
        <v>14</v>
      </c>
      <c r="F547">
        <v>114.346</v>
      </c>
      <c r="G547" t="s">
        <v>13</v>
      </c>
    </row>
    <row r="548" spans="1:7" x14ac:dyDescent="0.25">
      <c r="A548">
        <v>46</v>
      </c>
      <c r="B548" t="s">
        <v>211</v>
      </c>
      <c r="C548">
        <v>70</v>
      </c>
      <c r="D548" t="s">
        <v>153</v>
      </c>
      <c r="E548" t="s">
        <v>12</v>
      </c>
      <c r="F548">
        <v>0.1</v>
      </c>
      <c r="G548" t="s">
        <v>13</v>
      </c>
    </row>
    <row r="549" spans="1:7" x14ac:dyDescent="0.25">
      <c r="A549">
        <v>46</v>
      </c>
      <c r="B549" t="s">
        <v>211</v>
      </c>
      <c r="C549">
        <v>80</v>
      </c>
      <c r="D549" t="s">
        <v>191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211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211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211</v>
      </c>
      <c r="C552">
        <v>110</v>
      </c>
      <c r="D552" t="s">
        <v>104</v>
      </c>
      <c r="E552" t="s">
        <v>12</v>
      </c>
      <c r="F552">
        <v>0.70299999999999996</v>
      </c>
      <c r="G552" t="s">
        <v>13</v>
      </c>
    </row>
    <row r="553" spans="1:7" x14ac:dyDescent="0.25">
      <c r="A553">
        <v>46</v>
      </c>
      <c r="B553" t="s">
        <v>211</v>
      </c>
      <c r="C553">
        <v>120</v>
      </c>
      <c r="D553" t="s">
        <v>212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213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213</v>
      </c>
      <c r="C555">
        <v>20</v>
      </c>
      <c r="D555" t="s">
        <v>151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213</v>
      </c>
      <c r="C556">
        <v>30</v>
      </c>
      <c r="D556" t="s">
        <v>101</v>
      </c>
      <c r="E556" t="s">
        <v>102</v>
      </c>
      <c r="F556">
        <v>0.77500000000000002</v>
      </c>
      <c r="G556" t="s">
        <v>13</v>
      </c>
    </row>
    <row r="557" spans="1:7" x14ac:dyDescent="0.25">
      <c r="A557">
        <v>47</v>
      </c>
      <c r="B557" t="s">
        <v>213</v>
      </c>
      <c r="C557">
        <v>40</v>
      </c>
      <c r="D557" t="s">
        <v>152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213</v>
      </c>
      <c r="C558">
        <v>50</v>
      </c>
      <c r="D558" t="s">
        <v>103</v>
      </c>
      <c r="E558" t="s">
        <v>14</v>
      </c>
      <c r="F558">
        <v>19.355</v>
      </c>
      <c r="G558" t="s">
        <v>13</v>
      </c>
    </row>
    <row r="559" spans="1:7" x14ac:dyDescent="0.25">
      <c r="A559">
        <v>47</v>
      </c>
      <c r="B559" t="s">
        <v>213</v>
      </c>
      <c r="C559">
        <v>60</v>
      </c>
      <c r="D559" t="s">
        <v>16</v>
      </c>
      <c r="E559" t="s">
        <v>14</v>
      </c>
      <c r="F559">
        <v>119.96899999999999</v>
      </c>
      <c r="G559" t="s">
        <v>13</v>
      </c>
    </row>
    <row r="560" spans="1:7" x14ac:dyDescent="0.25">
      <c r="A560">
        <v>47</v>
      </c>
      <c r="B560" t="s">
        <v>213</v>
      </c>
      <c r="C560">
        <v>70</v>
      </c>
      <c r="D560" t="s">
        <v>153</v>
      </c>
      <c r="E560" t="s">
        <v>12</v>
      </c>
      <c r="F560">
        <v>0.11</v>
      </c>
      <c r="G560" t="s">
        <v>13</v>
      </c>
    </row>
    <row r="561" spans="1:7" x14ac:dyDescent="0.25">
      <c r="A561">
        <v>47</v>
      </c>
      <c r="B561" t="s">
        <v>213</v>
      </c>
      <c r="C561">
        <v>80</v>
      </c>
      <c r="D561" t="s">
        <v>191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213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213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213</v>
      </c>
      <c r="C564">
        <v>110</v>
      </c>
      <c r="D564" t="s">
        <v>104</v>
      </c>
      <c r="E564" t="s">
        <v>12</v>
      </c>
      <c r="F564">
        <v>0.78400000000000003</v>
      </c>
      <c r="G564" t="s">
        <v>13</v>
      </c>
    </row>
    <row r="565" spans="1:7" x14ac:dyDescent="0.25">
      <c r="A565">
        <v>47</v>
      </c>
      <c r="B565" t="s">
        <v>213</v>
      </c>
      <c r="C565">
        <v>120</v>
      </c>
      <c r="D565" t="s">
        <v>214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215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215</v>
      </c>
      <c r="C567">
        <v>20</v>
      </c>
      <c r="D567" t="s">
        <v>151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215</v>
      </c>
      <c r="C568">
        <v>30</v>
      </c>
      <c r="D568" t="s">
        <v>101</v>
      </c>
      <c r="E568" t="s">
        <v>102</v>
      </c>
      <c r="F568">
        <v>0.82</v>
      </c>
      <c r="G568" t="s">
        <v>13</v>
      </c>
    </row>
    <row r="569" spans="1:7" x14ac:dyDescent="0.25">
      <c r="A569">
        <v>48</v>
      </c>
      <c r="B569" t="s">
        <v>215</v>
      </c>
      <c r="C569">
        <v>40</v>
      </c>
      <c r="D569" t="s">
        <v>152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215</v>
      </c>
      <c r="C570">
        <v>50</v>
      </c>
      <c r="D570" t="s">
        <v>103</v>
      </c>
      <c r="E570" t="s">
        <v>14</v>
      </c>
      <c r="F570">
        <v>19.812000000000001</v>
      </c>
      <c r="G570" t="s">
        <v>13</v>
      </c>
    </row>
    <row r="571" spans="1:7" x14ac:dyDescent="0.25">
      <c r="A571">
        <v>48</v>
      </c>
      <c r="B571" t="s">
        <v>215</v>
      </c>
      <c r="C571">
        <v>60</v>
      </c>
      <c r="D571" t="s">
        <v>16</v>
      </c>
      <c r="E571" t="s">
        <v>14</v>
      </c>
      <c r="F571">
        <v>122.78100000000001</v>
      </c>
      <c r="G571" t="s">
        <v>13</v>
      </c>
    </row>
    <row r="572" spans="1:7" x14ac:dyDescent="0.25">
      <c r="A572">
        <v>48</v>
      </c>
      <c r="B572" t="s">
        <v>215</v>
      </c>
      <c r="C572">
        <v>70</v>
      </c>
      <c r="D572" t="s">
        <v>153</v>
      </c>
      <c r="E572" t="s">
        <v>12</v>
      </c>
      <c r="F572">
        <v>0.11600000000000001</v>
      </c>
      <c r="G572" t="s">
        <v>13</v>
      </c>
    </row>
    <row r="573" spans="1:7" x14ac:dyDescent="0.25">
      <c r="A573">
        <v>48</v>
      </c>
      <c r="B573" t="s">
        <v>215</v>
      </c>
      <c r="C573">
        <v>80</v>
      </c>
      <c r="D573" t="s">
        <v>191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215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215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215</v>
      </c>
      <c r="C576">
        <v>110</v>
      </c>
      <c r="D576" t="s">
        <v>104</v>
      </c>
      <c r="E576" t="s">
        <v>12</v>
      </c>
      <c r="F576">
        <v>0.82399999999999995</v>
      </c>
      <c r="G576" t="s">
        <v>13</v>
      </c>
    </row>
    <row r="577" spans="1:7" x14ac:dyDescent="0.25">
      <c r="A577">
        <v>48</v>
      </c>
      <c r="B577" t="s">
        <v>215</v>
      </c>
      <c r="C577">
        <v>120</v>
      </c>
      <c r="D577" t="s">
        <v>216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217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217</v>
      </c>
      <c r="C579">
        <v>20</v>
      </c>
      <c r="D579" t="s">
        <v>151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217</v>
      </c>
      <c r="C580">
        <v>30</v>
      </c>
      <c r="D580" t="s">
        <v>101</v>
      </c>
      <c r="E580" t="s">
        <v>102</v>
      </c>
      <c r="F580">
        <v>0.86599999999999999</v>
      </c>
      <c r="G580" t="s">
        <v>13</v>
      </c>
    </row>
    <row r="581" spans="1:7" x14ac:dyDescent="0.25">
      <c r="A581">
        <v>49</v>
      </c>
      <c r="B581" t="s">
        <v>217</v>
      </c>
      <c r="C581">
        <v>40</v>
      </c>
      <c r="D581" t="s">
        <v>152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217</v>
      </c>
      <c r="C582">
        <v>50</v>
      </c>
      <c r="D582" t="s">
        <v>103</v>
      </c>
      <c r="E582" t="s">
        <v>14</v>
      </c>
      <c r="F582">
        <v>20.268999999999998</v>
      </c>
      <c r="G582" t="s">
        <v>13</v>
      </c>
    </row>
    <row r="583" spans="1:7" x14ac:dyDescent="0.25">
      <c r="A583">
        <v>49</v>
      </c>
      <c r="B583" t="s">
        <v>217</v>
      </c>
      <c r="C583">
        <v>60</v>
      </c>
      <c r="D583" t="s">
        <v>16</v>
      </c>
      <c r="E583" t="s">
        <v>14</v>
      </c>
      <c r="F583">
        <v>125.593</v>
      </c>
      <c r="G583" t="s">
        <v>13</v>
      </c>
    </row>
    <row r="584" spans="1:7" x14ac:dyDescent="0.25">
      <c r="A584">
        <v>49</v>
      </c>
      <c r="B584" t="s">
        <v>217</v>
      </c>
      <c r="C584">
        <v>70</v>
      </c>
      <c r="D584" t="s">
        <v>153</v>
      </c>
      <c r="E584" t="s">
        <v>12</v>
      </c>
      <c r="F584">
        <v>0.121</v>
      </c>
      <c r="G584" t="s">
        <v>13</v>
      </c>
    </row>
    <row r="585" spans="1:7" x14ac:dyDescent="0.25">
      <c r="A585">
        <v>49</v>
      </c>
      <c r="B585" t="s">
        <v>217</v>
      </c>
      <c r="C585">
        <v>80</v>
      </c>
      <c r="D585" t="s">
        <v>191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217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217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217</v>
      </c>
      <c r="C588">
        <v>110</v>
      </c>
      <c r="D588" t="s">
        <v>104</v>
      </c>
      <c r="E588" t="s">
        <v>12</v>
      </c>
      <c r="F588">
        <v>0.86499999999999999</v>
      </c>
      <c r="G588" t="s">
        <v>13</v>
      </c>
    </row>
    <row r="589" spans="1:7" x14ac:dyDescent="0.25">
      <c r="A589">
        <v>49</v>
      </c>
      <c r="B589" t="s">
        <v>217</v>
      </c>
      <c r="C589">
        <v>120</v>
      </c>
      <c r="D589" t="s">
        <v>218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219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219</v>
      </c>
      <c r="C591">
        <v>20</v>
      </c>
      <c r="D591" t="s">
        <v>151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219</v>
      </c>
      <c r="C592">
        <v>30</v>
      </c>
      <c r="D592" t="s">
        <v>101</v>
      </c>
      <c r="E592" t="s">
        <v>102</v>
      </c>
      <c r="F592">
        <v>0.95699999999999996</v>
      </c>
      <c r="G592" t="s">
        <v>13</v>
      </c>
    </row>
    <row r="593" spans="1:7" x14ac:dyDescent="0.25">
      <c r="A593">
        <v>50</v>
      </c>
      <c r="B593" t="s">
        <v>219</v>
      </c>
      <c r="C593">
        <v>40</v>
      </c>
      <c r="D593" t="s">
        <v>152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219</v>
      </c>
      <c r="C594">
        <v>50</v>
      </c>
      <c r="D594" t="s">
        <v>103</v>
      </c>
      <c r="E594" t="s">
        <v>14</v>
      </c>
      <c r="F594">
        <v>21.184000000000001</v>
      </c>
      <c r="G594" t="s">
        <v>13</v>
      </c>
    </row>
    <row r="595" spans="1:7" x14ac:dyDescent="0.25">
      <c r="A595">
        <v>50</v>
      </c>
      <c r="B595" t="s">
        <v>219</v>
      </c>
      <c r="C595">
        <v>60</v>
      </c>
      <c r="D595" t="s">
        <v>16</v>
      </c>
      <c r="E595" t="s">
        <v>14</v>
      </c>
      <c r="F595">
        <v>131.21600000000001</v>
      </c>
      <c r="G595" t="s">
        <v>13</v>
      </c>
    </row>
    <row r="596" spans="1:7" x14ac:dyDescent="0.25">
      <c r="A596">
        <v>50</v>
      </c>
      <c r="B596" t="s">
        <v>219</v>
      </c>
      <c r="C596">
        <v>70</v>
      </c>
      <c r="D596" t="s">
        <v>153</v>
      </c>
      <c r="E596" t="s">
        <v>12</v>
      </c>
      <c r="F596">
        <v>0.13200000000000001</v>
      </c>
      <c r="G596" t="s">
        <v>13</v>
      </c>
    </row>
    <row r="597" spans="1:7" x14ac:dyDescent="0.25">
      <c r="A597">
        <v>50</v>
      </c>
      <c r="B597" t="s">
        <v>219</v>
      </c>
      <c r="C597">
        <v>80</v>
      </c>
      <c r="D597" t="s">
        <v>191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219</v>
      </c>
      <c r="C600">
        <v>110</v>
      </c>
      <c r="D600" t="s">
        <v>104</v>
      </c>
      <c r="E600" t="s">
        <v>12</v>
      </c>
      <c r="F600">
        <v>0.94599999999999995</v>
      </c>
      <c r="G600" t="s">
        <v>13</v>
      </c>
    </row>
    <row r="601" spans="1:7" x14ac:dyDescent="0.25">
      <c r="A601">
        <v>50</v>
      </c>
      <c r="B601" t="s">
        <v>219</v>
      </c>
      <c r="C601">
        <v>120</v>
      </c>
      <c r="D601" t="s">
        <v>220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221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221</v>
      </c>
      <c r="C603">
        <v>20</v>
      </c>
      <c r="D603" t="s">
        <v>151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221</v>
      </c>
      <c r="C604">
        <v>30</v>
      </c>
      <c r="D604" t="s">
        <v>101</v>
      </c>
      <c r="E604" t="s">
        <v>102</v>
      </c>
      <c r="F604">
        <v>1.048</v>
      </c>
      <c r="G604" t="s">
        <v>13</v>
      </c>
    </row>
    <row r="605" spans="1:7" x14ac:dyDescent="0.25">
      <c r="A605">
        <v>51</v>
      </c>
      <c r="B605" t="s">
        <v>221</v>
      </c>
      <c r="C605">
        <v>40</v>
      </c>
      <c r="D605" t="s">
        <v>152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221</v>
      </c>
      <c r="C606">
        <v>50</v>
      </c>
      <c r="D606" t="s">
        <v>103</v>
      </c>
      <c r="E606" t="s">
        <v>14</v>
      </c>
      <c r="F606">
        <v>22.097999999999999</v>
      </c>
      <c r="G606" t="s">
        <v>13</v>
      </c>
    </row>
    <row r="607" spans="1:7" x14ac:dyDescent="0.25">
      <c r="A607">
        <v>51</v>
      </c>
      <c r="B607" t="s">
        <v>221</v>
      </c>
      <c r="C607">
        <v>60</v>
      </c>
      <c r="D607" t="s">
        <v>16</v>
      </c>
      <c r="E607" t="s">
        <v>14</v>
      </c>
      <c r="F607">
        <v>136.84</v>
      </c>
      <c r="G607" t="s">
        <v>13</v>
      </c>
    </row>
    <row r="608" spans="1:7" x14ac:dyDescent="0.25">
      <c r="A608">
        <v>51</v>
      </c>
      <c r="B608" t="s">
        <v>221</v>
      </c>
      <c r="C608">
        <v>70</v>
      </c>
      <c r="D608" t="s">
        <v>153</v>
      </c>
      <c r="E608" t="s">
        <v>12</v>
      </c>
      <c r="F608">
        <v>0.14199999999999999</v>
      </c>
      <c r="G608" t="s">
        <v>13</v>
      </c>
    </row>
    <row r="609" spans="1:7" x14ac:dyDescent="0.25">
      <c r="A609">
        <v>51</v>
      </c>
      <c r="B609" t="s">
        <v>221</v>
      </c>
      <c r="C609">
        <v>80</v>
      </c>
      <c r="D609" t="s">
        <v>191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221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221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221</v>
      </c>
      <c r="C612">
        <v>110</v>
      </c>
      <c r="D612" t="s">
        <v>104</v>
      </c>
      <c r="E612" t="s">
        <v>12</v>
      </c>
      <c r="F612">
        <v>1.0269999999999999</v>
      </c>
      <c r="G612" t="s">
        <v>13</v>
      </c>
    </row>
    <row r="613" spans="1:7" x14ac:dyDescent="0.25">
      <c r="A613">
        <v>51</v>
      </c>
      <c r="B613" t="s">
        <v>221</v>
      </c>
      <c r="C613">
        <v>120</v>
      </c>
      <c r="D613" t="s">
        <v>222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223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223</v>
      </c>
      <c r="C615">
        <v>20</v>
      </c>
      <c r="D615" t="s">
        <v>151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223</v>
      </c>
      <c r="C616">
        <v>30</v>
      </c>
      <c r="D616" t="s">
        <v>101</v>
      </c>
      <c r="E616" t="s">
        <v>102</v>
      </c>
      <c r="F616">
        <v>0.52100000000000002</v>
      </c>
      <c r="G616" t="s">
        <v>13</v>
      </c>
    </row>
    <row r="617" spans="1:7" x14ac:dyDescent="0.25">
      <c r="A617">
        <v>52</v>
      </c>
      <c r="B617" t="s">
        <v>223</v>
      </c>
      <c r="C617">
        <v>40</v>
      </c>
      <c r="D617" t="s">
        <v>152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223</v>
      </c>
      <c r="C618">
        <v>50</v>
      </c>
      <c r="D618" t="s">
        <v>103</v>
      </c>
      <c r="E618" t="s">
        <v>14</v>
      </c>
      <c r="F618">
        <v>17.068999999999999</v>
      </c>
      <c r="G618" t="s">
        <v>13</v>
      </c>
    </row>
    <row r="619" spans="1:7" x14ac:dyDescent="0.25">
      <c r="A619">
        <v>52</v>
      </c>
      <c r="B619" t="s">
        <v>223</v>
      </c>
      <c r="C619">
        <v>60</v>
      </c>
      <c r="D619" t="s">
        <v>16</v>
      </c>
      <c r="E619" t="s">
        <v>14</v>
      </c>
      <c r="F619">
        <v>105.91</v>
      </c>
      <c r="G619" t="s">
        <v>13</v>
      </c>
    </row>
    <row r="620" spans="1:7" x14ac:dyDescent="0.25">
      <c r="A620">
        <v>52</v>
      </c>
      <c r="B620" t="s">
        <v>223</v>
      </c>
      <c r="C620">
        <v>70</v>
      </c>
      <c r="D620" t="s">
        <v>153</v>
      </c>
      <c r="E620" t="s">
        <v>12</v>
      </c>
      <c r="F620">
        <v>7.8E-2</v>
      </c>
      <c r="G620" t="s">
        <v>13</v>
      </c>
    </row>
    <row r="621" spans="1:7" x14ac:dyDescent="0.25">
      <c r="A621">
        <v>52</v>
      </c>
      <c r="B621" t="s">
        <v>223</v>
      </c>
      <c r="C621">
        <v>80</v>
      </c>
      <c r="D621" t="s">
        <v>191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223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223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223</v>
      </c>
      <c r="C624">
        <v>110</v>
      </c>
      <c r="D624" t="s">
        <v>104</v>
      </c>
      <c r="E624" t="s">
        <v>12</v>
      </c>
      <c r="F624">
        <v>0.54</v>
      </c>
      <c r="G624" t="s">
        <v>13</v>
      </c>
    </row>
    <row r="625" spans="1:7" x14ac:dyDescent="0.25">
      <c r="A625">
        <v>52</v>
      </c>
      <c r="B625" t="s">
        <v>223</v>
      </c>
      <c r="C625">
        <v>120</v>
      </c>
      <c r="D625" t="s">
        <v>224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225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225</v>
      </c>
      <c r="C627">
        <v>20</v>
      </c>
      <c r="D627" t="s">
        <v>151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225</v>
      </c>
      <c r="C628">
        <v>30</v>
      </c>
      <c r="D628" t="s">
        <v>101</v>
      </c>
      <c r="E628" t="s">
        <v>102</v>
      </c>
      <c r="F628">
        <v>0.61599999999999999</v>
      </c>
      <c r="G628" t="s">
        <v>13</v>
      </c>
    </row>
    <row r="629" spans="1:7" x14ac:dyDescent="0.25">
      <c r="A629">
        <v>53</v>
      </c>
      <c r="B629" t="s">
        <v>225</v>
      </c>
      <c r="C629">
        <v>40</v>
      </c>
      <c r="D629" t="s">
        <v>152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225</v>
      </c>
      <c r="C630">
        <v>50</v>
      </c>
      <c r="D630" t="s">
        <v>103</v>
      </c>
      <c r="E630" t="s">
        <v>14</v>
      </c>
      <c r="F630">
        <v>17.983000000000001</v>
      </c>
      <c r="G630" t="s">
        <v>13</v>
      </c>
    </row>
    <row r="631" spans="1:7" x14ac:dyDescent="0.25">
      <c r="A631">
        <v>53</v>
      </c>
      <c r="B631" t="s">
        <v>225</v>
      </c>
      <c r="C631">
        <v>60</v>
      </c>
      <c r="D631" t="s">
        <v>16</v>
      </c>
      <c r="E631" t="s">
        <v>14</v>
      </c>
      <c r="F631">
        <v>111.53400000000001</v>
      </c>
      <c r="G631" t="s">
        <v>13</v>
      </c>
    </row>
    <row r="632" spans="1:7" x14ac:dyDescent="0.25">
      <c r="A632">
        <v>53</v>
      </c>
      <c r="B632" t="s">
        <v>225</v>
      </c>
      <c r="C632">
        <v>70</v>
      </c>
      <c r="D632" t="s">
        <v>153</v>
      </c>
      <c r="E632" t="s">
        <v>12</v>
      </c>
      <c r="F632">
        <v>8.8999999999999996E-2</v>
      </c>
      <c r="G632" t="s">
        <v>13</v>
      </c>
    </row>
    <row r="633" spans="1:7" x14ac:dyDescent="0.25">
      <c r="A633">
        <v>53</v>
      </c>
      <c r="B633" t="s">
        <v>225</v>
      </c>
      <c r="C633">
        <v>80</v>
      </c>
      <c r="D633" t="s">
        <v>191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225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225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225</v>
      </c>
      <c r="C636">
        <v>110</v>
      </c>
      <c r="D636" t="s">
        <v>104</v>
      </c>
      <c r="E636" t="s">
        <v>12</v>
      </c>
      <c r="F636">
        <v>0.622</v>
      </c>
      <c r="G636" t="s">
        <v>13</v>
      </c>
    </row>
    <row r="637" spans="1:7" x14ac:dyDescent="0.25">
      <c r="A637">
        <v>53</v>
      </c>
      <c r="B637" t="s">
        <v>225</v>
      </c>
      <c r="C637">
        <v>120</v>
      </c>
      <c r="D637" t="s">
        <v>226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227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227</v>
      </c>
      <c r="C639">
        <v>20</v>
      </c>
      <c r="D639" t="s">
        <v>151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227</v>
      </c>
      <c r="C640">
        <v>30</v>
      </c>
      <c r="D640" t="s">
        <v>101</v>
      </c>
      <c r="E640" t="s">
        <v>102</v>
      </c>
      <c r="F640">
        <v>0.71099999999999997</v>
      </c>
      <c r="G640" t="s">
        <v>13</v>
      </c>
    </row>
    <row r="641" spans="1:7" x14ac:dyDescent="0.25">
      <c r="A641">
        <v>54</v>
      </c>
      <c r="B641" t="s">
        <v>227</v>
      </c>
      <c r="C641">
        <v>40</v>
      </c>
      <c r="D641" t="s">
        <v>152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227</v>
      </c>
      <c r="C642">
        <v>50</v>
      </c>
      <c r="D642" t="s">
        <v>103</v>
      </c>
      <c r="E642" t="s">
        <v>14</v>
      </c>
      <c r="F642">
        <v>18.898</v>
      </c>
      <c r="G642" t="s">
        <v>13</v>
      </c>
    </row>
    <row r="643" spans="1:7" x14ac:dyDescent="0.25">
      <c r="A643">
        <v>54</v>
      </c>
      <c r="B643" t="s">
        <v>227</v>
      </c>
      <c r="C643">
        <v>60</v>
      </c>
      <c r="D643" t="s">
        <v>16</v>
      </c>
      <c r="E643" t="s">
        <v>14</v>
      </c>
      <c r="F643">
        <v>117.158</v>
      </c>
      <c r="G643" t="s">
        <v>13</v>
      </c>
    </row>
    <row r="644" spans="1:7" x14ac:dyDescent="0.25">
      <c r="A644">
        <v>54</v>
      </c>
      <c r="B644" t="s">
        <v>227</v>
      </c>
      <c r="C644">
        <v>70</v>
      </c>
      <c r="D644" t="s">
        <v>153</v>
      </c>
      <c r="E644" t="s">
        <v>12</v>
      </c>
      <c r="F644">
        <v>0.1</v>
      </c>
      <c r="G644" t="s">
        <v>13</v>
      </c>
    </row>
    <row r="645" spans="1:7" x14ac:dyDescent="0.25">
      <c r="A645">
        <v>54</v>
      </c>
      <c r="B645" t="s">
        <v>227</v>
      </c>
      <c r="C645">
        <v>80</v>
      </c>
      <c r="D645" t="s">
        <v>191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227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227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227</v>
      </c>
      <c r="C648">
        <v>110</v>
      </c>
      <c r="D648" t="s">
        <v>104</v>
      </c>
      <c r="E648" t="s">
        <v>12</v>
      </c>
      <c r="F648">
        <v>0.70299999999999996</v>
      </c>
      <c r="G648" t="s">
        <v>13</v>
      </c>
    </row>
    <row r="649" spans="1:7" x14ac:dyDescent="0.25">
      <c r="A649">
        <v>54</v>
      </c>
      <c r="B649" t="s">
        <v>227</v>
      </c>
      <c r="C649">
        <v>120</v>
      </c>
      <c r="D649" t="s">
        <v>228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229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229</v>
      </c>
      <c r="C651">
        <v>20</v>
      </c>
      <c r="D651" t="s">
        <v>151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229</v>
      </c>
      <c r="C652">
        <v>30</v>
      </c>
      <c r="D652" t="s">
        <v>101</v>
      </c>
      <c r="E652" t="s">
        <v>102</v>
      </c>
      <c r="F652">
        <v>0.80600000000000005</v>
      </c>
      <c r="G652" t="s">
        <v>13</v>
      </c>
    </row>
    <row r="653" spans="1:7" x14ac:dyDescent="0.25">
      <c r="A653">
        <v>55</v>
      </c>
      <c r="B653" t="s">
        <v>229</v>
      </c>
      <c r="C653">
        <v>40</v>
      </c>
      <c r="D653" t="s">
        <v>152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229</v>
      </c>
      <c r="C654">
        <v>50</v>
      </c>
      <c r="D654" t="s">
        <v>103</v>
      </c>
      <c r="E654" t="s">
        <v>14</v>
      </c>
      <c r="F654">
        <v>19.812000000000001</v>
      </c>
      <c r="G654" t="s">
        <v>13</v>
      </c>
    </row>
    <row r="655" spans="1:7" x14ac:dyDescent="0.25">
      <c r="A655">
        <v>55</v>
      </c>
      <c r="B655" t="s">
        <v>229</v>
      </c>
      <c r="C655">
        <v>60</v>
      </c>
      <c r="D655" t="s">
        <v>16</v>
      </c>
      <c r="E655" t="s">
        <v>14</v>
      </c>
      <c r="F655">
        <v>122.78100000000001</v>
      </c>
      <c r="G655" t="s">
        <v>13</v>
      </c>
    </row>
    <row r="656" spans="1:7" x14ac:dyDescent="0.25">
      <c r="A656">
        <v>55</v>
      </c>
      <c r="B656" t="s">
        <v>229</v>
      </c>
      <c r="C656">
        <v>70</v>
      </c>
      <c r="D656" t="s">
        <v>153</v>
      </c>
      <c r="E656" t="s">
        <v>12</v>
      </c>
      <c r="F656">
        <v>0.11</v>
      </c>
      <c r="G656" t="s">
        <v>13</v>
      </c>
    </row>
    <row r="657" spans="1:7" x14ac:dyDescent="0.25">
      <c r="A657">
        <v>55</v>
      </c>
      <c r="B657" t="s">
        <v>229</v>
      </c>
      <c r="C657">
        <v>80</v>
      </c>
      <c r="D657" t="s">
        <v>191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229</v>
      </c>
      <c r="C660">
        <v>110</v>
      </c>
      <c r="D660" t="s">
        <v>104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55</v>
      </c>
      <c r="B661" t="s">
        <v>229</v>
      </c>
      <c r="C661">
        <v>120</v>
      </c>
      <c r="D661" t="s">
        <v>230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231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231</v>
      </c>
      <c r="C663">
        <v>20</v>
      </c>
      <c r="D663" t="s">
        <v>151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231</v>
      </c>
      <c r="C664">
        <v>30</v>
      </c>
      <c r="D664" t="s">
        <v>101</v>
      </c>
      <c r="E664" t="s">
        <v>102</v>
      </c>
      <c r="F664">
        <v>0.85299999999999998</v>
      </c>
      <c r="G664" t="s">
        <v>13</v>
      </c>
    </row>
    <row r="665" spans="1:7" x14ac:dyDescent="0.25">
      <c r="A665">
        <v>56</v>
      </c>
      <c r="B665" t="s">
        <v>231</v>
      </c>
      <c r="C665">
        <v>40</v>
      </c>
      <c r="D665" t="s">
        <v>152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231</v>
      </c>
      <c r="C666">
        <v>50</v>
      </c>
      <c r="D666" t="s">
        <v>103</v>
      </c>
      <c r="E666" t="s">
        <v>14</v>
      </c>
      <c r="F666">
        <v>20.268999999999998</v>
      </c>
      <c r="G666" t="s">
        <v>13</v>
      </c>
    </row>
    <row r="667" spans="1:7" x14ac:dyDescent="0.25">
      <c r="A667">
        <v>56</v>
      </c>
      <c r="B667" t="s">
        <v>231</v>
      </c>
      <c r="C667">
        <v>60</v>
      </c>
      <c r="D667" t="s">
        <v>16</v>
      </c>
      <c r="E667" t="s">
        <v>14</v>
      </c>
      <c r="F667">
        <v>125.593</v>
      </c>
      <c r="G667" t="s">
        <v>13</v>
      </c>
    </row>
    <row r="668" spans="1:7" x14ac:dyDescent="0.25">
      <c r="A668">
        <v>56</v>
      </c>
      <c r="B668" t="s">
        <v>231</v>
      </c>
      <c r="C668">
        <v>70</v>
      </c>
      <c r="D668" t="s">
        <v>153</v>
      </c>
      <c r="E668" t="s">
        <v>12</v>
      </c>
      <c r="F668">
        <v>0.11600000000000001</v>
      </c>
      <c r="G668" t="s">
        <v>13</v>
      </c>
    </row>
    <row r="669" spans="1:7" x14ac:dyDescent="0.25">
      <c r="A669">
        <v>56</v>
      </c>
      <c r="B669" t="s">
        <v>231</v>
      </c>
      <c r="C669">
        <v>80</v>
      </c>
      <c r="D669" t="s">
        <v>191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231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231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231</v>
      </c>
      <c r="C672">
        <v>110</v>
      </c>
      <c r="D672" t="s">
        <v>104</v>
      </c>
      <c r="E672" t="s">
        <v>12</v>
      </c>
      <c r="F672">
        <v>0.82399999999999995</v>
      </c>
      <c r="G672" t="s">
        <v>13</v>
      </c>
    </row>
    <row r="673" spans="1:7" x14ac:dyDescent="0.25">
      <c r="A673">
        <v>56</v>
      </c>
      <c r="B673" t="s">
        <v>231</v>
      </c>
      <c r="C673">
        <v>120</v>
      </c>
      <c r="D673" t="s">
        <v>232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233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233</v>
      </c>
      <c r="C675">
        <v>20</v>
      </c>
      <c r="D675" t="s">
        <v>151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233</v>
      </c>
      <c r="C676">
        <v>30</v>
      </c>
      <c r="D676" t="s">
        <v>101</v>
      </c>
      <c r="E676" t="s">
        <v>102</v>
      </c>
      <c r="F676">
        <v>0.9</v>
      </c>
      <c r="G676" t="s">
        <v>13</v>
      </c>
    </row>
    <row r="677" spans="1:7" x14ac:dyDescent="0.25">
      <c r="A677">
        <v>57</v>
      </c>
      <c r="B677" t="s">
        <v>233</v>
      </c>
      <c r="C677">
        <v>40</v>
      </c>
      <c r="D677" t="s">
        <v>152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233</v>
      </c>
      <c r="C678">
        <v>50</v>
      </c>
      <c r="D678" t="s">
        <v>103</v>
      </c>
      <c r="E678" t="s">
        <v>14</v>
      </c>
      <c r="F678">
        <v>20.725999999999999</v>
      </c>
      <c r="G678" t="s">
        <v>13</v>
      </c>
    </row>
    <row r="679" spans="1:7" x14ac:dyDescent="0.25">
      <c r="A679">
        <v>57</v>
      </c>
      <c r="B679" t="s">
        <v>233</v>
      </c>
      <c r="C679">
        <v>60</v>
      </c>
      <c r="D679" t="s">
        <v>16</v>
      </c>
      <c r="E679" t="s">
        <v>14</v>
      </c>
      <c r="F679">
        <v>128.405</v>
      </c>
      <c r="G679" t="s">
        <v>13</v>
      </c>
    </row>
    <row r="680" spans="1:7" x14ac:dyDescent="0.25">
      <c r="A680">
        <v>57</v>
      </c>
      <c r="B680" t="s">
        <v>233</v>
      </c>
      <c r="C680">
        <v>70</v>
      </c>
      <c r="D680" t="s">
        <v>153</v>
      </c>
      <c r="E680" t="s">
        <v>12</v>
      </c>
      <c r="F680">
        <v>0.121</v>
      </c>
      <c r="G680" t="s">
        <v>13</v>
      </c>
    </row>
    <row r="681" spans="1:7" x14ac:dyDescent="0.25">
      <c r="A681">
        <v>57</v>
      </c>
      <c r="B681" t="s">
        <v>233</v>
      </c>
      <c r="C681">
        <v>80</v>
      </c>
      <c r="D681" t="s">
        <v>191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233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233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233</v>
      </c>
      <c r="C684">
        <v>110</v>
      </c>
      <c r="D684" t="s">
        <v>104</v>
      </c>
      <c r="E684" t="s">
        <v>12</v>
      </c>
      <c r="F684">
        <v>0.86499999999999999</v>
      </c>
      <c r="G684" t="s">
        <v>13</v>
      </c>
    </row>
    <row r="685" spans="1:7" x14ac:dyDescent="0.25">
      <c r="A685">
        <v>57</v>
      </c>
      <c r="B685" t="s">
        <v>233</v>
      </c>
      <c r="C685">
        <v>120</v>
      </c>
      <c r="D685" t="s">
        <v>234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235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235</v>
      </c>
      <c r="C687">
        <v>20</v>
      </c>
      <c r="D687" t="s">
        <v>151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235</v>
      </c>
      <c r="C688">
        <v>30</v>
      </c>
      <c r="D688" t="s">
        <v>101</v>
      </c>
      <c r="E688" t="s">
        <v>102</v>
      </c>
      <c r="F688">
        <v>0.995</v>
      </c>
      <c r="G688" t="s">
        <v>13</v>
      </c>
    </row>
    <row r="689" spans="1:7" x14ac:dyDescent="0.25">
      <c r="A689">
        <v>58</v>
      </c>
      <c r="B689" t="s">
        <v>235</v>
      </c>
      <c r="C689">
        <v>40</v>
      </c>
      <c r="D689" t="s">
        <v>152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235</v>
      </c>
      <c r="C690">
        <v>50</v>
      </c>
      <c r="D690" t="s">
        <v>103</v>
      </c>
      <c r="E690" t="s">
        <v>14</v>
      </c>
      <c r="F690">
        <v>21.640999999999998</v>
      </c>
      <c r="G690" t="s">
        <v>13</v>
      </c>
    </row>
    <row r="691" spans="1:7" x14ac:dyDescent="0.25">
      <c r="A691">
        <v>58</v>
      </c>
      <c r="B691" t="s">
        <v>235</v>
      </c>
      <c r="C691">
        <v>60</v>
      </c>
      <c r="D691" t="s">
        <v>16</v>
      </c>
      <c r="E691" t="s">
        <v>14</v>
      </c>
      <c r="F691">
        <v>134.02799999999999</v>
      </c>
      <c r="G691" t="s">
        <v>13</v>
      </c>
    </row>
    <row r="692" spans="1:7" x14ac:dyDescent="0.25">
      <c r="A692">
        <v>58</v>
      </c>
      <c r="B692" t="s">
        <v>235</v>
      </c>
      <c r="C692">
        <v>70</v>
      </c>
      <c r="D692" t="s">
        <v>153</v>
      </c>
      <c r="E692" t="s">
        <v>12</v>
      </c>
      <c r="F692">
        <v>0.13200000000000001</v>
      </c>
      <c r="G692" t="s">
        <v>13</v>
      </c>
    </row>
    <row r="693" spans="1:7" x14ac:dyDescent="0.25">
      <c r="A693">
        <v>58</v>
      </c>
      <c r="B693" t="s">
        <v>235</v>
      </c>
      <c r="C693">
        <v>80</v>
      </c>
      <c r="D693" t="s">
        <v>191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235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235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235</v>
      </c>
      <c r="C696">
        <v>110</v>
      </c>
      <c r="D696" t="s">
        <v>104</v>
      </c>
      <c r="E696" t="s">
        <v>12</v>
      </c>
      <c r="F696">
        <v>0.94599999999999995</v>
      </c>
      <c r="G696" t="s">
        <v>13</v>
      </c>
    </row>
    <row r="697" spans="1:7" x14ac:dyDescent="0.25">
      <c r="A697">
        <v>58</v>
      </c>
      <c r="B697" t="s">
        <v>235</v>
      </c>
      <c r="C697">
        <v>120</v>
      </c>
      <c r="D697" t="s">
        <v>236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237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237</v>
      </c>
      <c r="C699">
        <v>20</v>
      </c>
      <c r="D699" t="s">
        <v>151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237</v>
      </c>
      <c r="C700">
        <v>30</v>
      </c>
      <c r="D700" t="s">
        <v>101</v>
      </c>
      <c r="E700" t="s">
        <v>102</v>
      </c>
      <c r="F700">
        <v>1.0900000000000001</v>
      </c>
      <c r="G700" t="s">
        <v>13</v>
      </c>
    </row>
    <row r="701" spans="1:7" x14ac:dyDescent="0.25">
      <c r="A701">
        <v>59</v>
      </c>
      <c r="B701" t="s">
        <v>237</v>
      </c>
      <c r="C701">
        <v>40</v>
      </c>
      <c r="D701" t="s">
        <v>152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237</v>
      </c>
      <c r="C702">
        <v>50</v>
      </c>
      <c r="D702" t="s">
        <v>103</v>
      </c>
      <c r="E702" t="s">
        <v>14</v>
      </c>
      <c r="F702">
        <v>22.555</v>
      </c>
      <c r="G702" t="s">
        <v>13</v>
      </c>
    </row>
    <row r="703" spans="1:7" x14ac:dyDescent="0.25">
      <c r="A703">
        <v>59</v>
      </c>
      <c r="B703" t="s">
        <v>237</v>
      </c>
      <c r="C703">
        <v>60</v>
      </c>
      <c r="D703" t="s">
        <v>16</v>
      </c>
      <c r="E703" t="s">
        <v>14</v>
      </c>
      <c r="F703">
        <v>139.65199999999999</v>
      </c>
      <c r="G703" t="s">
        <v>13</v>
      </c>
    </row>
    <row r="704" spans="1:7" x14ac:dyDescent="0.25">
      <c r="A704">
        <v>59</v>
      </c>
      <c r="B704" t="s">
        <v>237</v>
      </c>
      <c r="C704">
        <v>70</v>
      </c>
      <c r="D704" t="s">
        <v>153</v>
      </c>
      <c r="E704" t="s">
        <v>12</v>
      </c>
      <c r="F704">
        <v>0.14199999999999999</v>
      </c>
      <c r="G704" t="s">
        <v>13</v>
      </c>
    </row>
    <row r="705" spans="1:7" x14ac:dyDescent="0.25">
      <c r="A705">
        <v>59</v>
      </c>
      <c r="B705" t="s">
        <v>237</v>
      </c>
      <c r="C705">
        <v>80</v>
      </c>
      <c r="D705" t="s">
        <v>191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237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237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237</v>
      </c>
      <c r="C708">
        <v>110</v>
      </c>
      <c r="D708" t="s">
        <v>104</v>
      </c>
      <c r="E708" t="s">
        <v>12</v>
      </c>
      <c r="F708">
        <v>1.0269999999999999</v>
      </c>
      <c r="G708" t="s">
        <v>13</v>
      </c>
    </row>
    <row r="709" spans="1:7" x14ac:dyDescent="0.25">
      <c r="A709">
        <v>59</v>
      </c>
      <c r="B709" t="s">
        <v>237</v>
      </c>
      <c r="C709">
        <v>120</v>
      </c>
      <c r="D709" t="s">
        <v>238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239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239</v>
      </c>
      <c r="C711">
        <v>20</v>
      </c>
      <c r="D711" t="s">
        <v>151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239</v>
      </c>
      <c r="C712">
        <v>30</v>
      </c>
      <c r="D712" t="s">
        <v>101</v>
      </c>
      <c r="E712" t="s">
        <v>102</v>
      </c>
      <c r="F712">
        <v>0.53500000000000003</v>
      </c>
      <c r="G712" t="s">
        <v>13</v>
      </c>
    </row>
    <row r="713" spans="1:7" x14ac:dyDescent="0.25">
      <c r="A713">
        <v>60</v>
      </c>
      <c r="B713" t="s">
        <v>239</v>
      </c>
      <c r="C713">
        <v>40</v>
      </c>
      <c r="D713" t="s">
        <v>152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239</v>
      </c>
      <c r="C714">
        <v>50</v>
      </c>
      <c r="D714" t="s">
        <v>103</v>
      </c>
      <c r="E714" t="s">
        <v>14</v>
      </c>
      <c r="F714">
        <v>17.373999999999999</v>
      </c>
      <c r="G714" t="s">
        <v>13</v>
      </c>
    </row>
    <row r="715" spans="1:7" x14ac:dyDescent="0.25">
      <c r="A715">
        <v>60</v>
      </c>
      <c r="B715" t="s">
        <v>239</v>
      </c>
      <c r="C715">
        <v>60</v>
      </c>
      <c r="D715" t="s">
        <v>16</v>
      </c>
      <c r="E715" t="s">
        <v>14</v>
      </c>
      <c r="F715">
        <v>107.785</v>
      </c>
      <c r="G715" t="s">
        <v>13</v>
      </c>
    </row>
    <row r="716" spans="1:7" x14ac:dyDescent="0.25">
      <c r="A716">
        <v>60</v>
      </c>
      <c r="B716" t="s">
        <v>239</v>
      </c>
      <c r="C716">
        <v>70</v>
      </c>
      <c r="D716" t="s">
        <v>153</v>
      </c>
      <c r="E716" t="s">
        <v>12</v>
      </c>
      <c r="F716">
        <v>7.8E-2</v>
      </c>
      <c r="G716" t="s">
        <v>13</v>
      </c>
    </row>
    <row r="717" spans="1:7" x14ac:dyDescent="0.25">
      <c r="A717">
        <v>60</v>
      </c>
      <c r="B717" t="s">
        <v>239</v>
      </c>
      <c r="C717">
        <v>80</v>
      </c>
      <c r="D717" t="s">
        <v>191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239</v>
      </c>
      <c r="C720">
        <v>110</v>
      </c>
      <c r="D720" t="s">
        <v>104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239</v>
      </c>
      <c r="C721">
        <v>120</v>
      </c>
      <c r="D721" t="s">
        <v>240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241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241</v>
      </c>
      <c r="C723">
        <v>20</v>
      </c>
      <c r="D723" t="s">
        <v>151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241</v>
      </c>
      <c r="C724">
        <v>30</v>
      </c>
      <c r="D724" t="s">
        <v>101</v>
      </c>
      <c r="E724" t="s">
        <v>102</v>
      </c>
      <c r="F724">
        <v>0.63200000000000001</v>
      </c>
      <c r="G724" t="s">
        <v>13</v>
      </c>
    </row>
    <row r="725" spans="1:7" x14ac:dyDescent="0.25">
      <c r="A725">
        <v>61</v>
      </c>
      <c r="B725" t="s">
        <v>241</v>
      </c>
      <c r="C725">
        <v>40</v>
      </c>
      <c r="D725" t="s">
        <v>152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241</v>
      </c>
      <c r="C726">
        <v>50</v>
      </c>
      <c r="D726" t="s">
        <v>103</v>
      </c>
      <c r="E726" t="s">
        <v>14</v>
      </c>
      <c r="F726">
        <v>18.288</v>
      </c>
      <c r="G726" t="s">
        <v>13</v>
      </c>
    </row>
    <row r="727" spans="1:7" x14ac:dyDescent="0.25">
      <c r="A727">
        <v>61</v>
      </c>
      <c r="B727" t="s">
        <v>241</v>
      </c>
      <c r="C727">
        <v>60</v>
      </c>
      <c r="D727" t="s">
        <v>16</v>
      </c>
      <c r="E727" t="s">
        <v>14</v>
      </c>
      <c r="F727">
        <v>113.408</v>
      </c>
      <c r="G727" t="s">
        <v>13</v>
      </c>
    </row>
    <row r="728" spans="1:7" x14ac:dyDescent="0.25">
      <c r="A728">
        <v>61</v>
      </c>
      <c r="B728" t="s">
        <v>241</v>
      </c>
      <c r="C728">
        <v>70</v>
      </c>
      <c r="D728" t="s">
        <v>153</v>
      </c>
      <c r="E728" t="s">
        <v>12</v>
      </c>
      <c r="F728">
        <v>8.8999999999999996E-2</v>
      </c>
      <c r="G728" t="s">
        <v>13</v>
      </c>
    </row>
    <row r="729" spans="1:7" x14ac:dyDescent="0.25">
      <c r="A729">
        <v>61</v>
      </c>
      <c r="B729" t="s">
        <v>241</v>
      </c>
      <c r="C729">
        <v>80</v>
      </c>
      <c r="D729" t="s">
        <v>191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241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241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241</v>
      </c>
      <c r="C732">
        <v>110</v>
      </c>
      <c r="D732" t="s">
        <v>104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241</v>
      </c>
      <c r="C733">
        <v>120</v>
      </c>
      <c r="D733" t="s">
        <v>242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243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243</v>
      </c>
      <c r="C735">
        <v>20</v>
      </c>
      <c r="D735" t="s">
        <v>151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243</v>
      </c>
      <c r="C736">
        <v>30</v>
      </c>
      <c r="D736" t="s">
        <v>101</v>
      </c>
      <c r="E736" t="s">
        <v>102</v>
      </c>
      <c r="F736">
        <v>0.72899999999999998</v>
      </c>
      <c r="G736" t="s">
        <v>13</v>
      </c>
    </row>
    <row r="737" spans="1:7" x14ac:dyDescent="0.25">
      <c r="A737">
        <v>62</v>
      </c>
      <c r="B737" t="s">
        <v>243</v>
      </c>
      <c r="C737">
        <v>40</v>
      </c>
      <c r="D737" t="s">
        <v>152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243</v>
      </c>
      <c r="C738">
        <v>50</v>
      </c>
      <c r="D738" t="s">
        <v>103</v>
      </c>
      <c r="E738" t="s">
        <v>14</v>
      </c>
      <c r="F738">
        <v>19.202000000000002</v>
      </c>
      <c r="G738" t="s">
        <v>13</v>
      </c>
    </row>
    <row r="739" spans="1:7" x14ac:dyDescent="0.25">
      <c r="A739">
        <v>62</v>
      </c>
      <c r="B739" t="s">
        <v>243</v>
      </c>
      <c r="C739">
        <v>60</v>
      </c>
      <c r="D739" t="s">
        <v>16</v>
      </c>
      <c r="E739" t="s">
        <v>14</v>
      </c>
      <c r="F739">
        <v>119.032</v>
      </c>
      <c r="G739" t="s">
        <v>13</v>
      </c>
    </row>
    <row r="740" spans="1:7" x14ac:dyDescent="0.25">
      <c r="A740">
        <v>62</v>
      </c>
      <c r="B740" t="s">
        <v>243</v>
      </c>
      <c r="C740">
        <v>70</v>
      </c>
      <c r="D740" t="s">
        <v>153</v>
      </c>
      <c r="E740" t="s">
        <v>12</v>
      </c>
      <c r="F740">
        <v>0.1</v>
      </c>
      <c r="G740" t="s">
        <v>13</v>
      </c>
    </row>
    <row r="741" spans="1:7" x14ac:dyDescent="0.25">
      <c r="A741">
        <v>62</v>
      </c>
      <c r="B741" t="s">
        <v>243</v>
      </c>
      <c r="C741">
        <v>80</v>
      </c>
      <c r="D741" t="s">
        <v>191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243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243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243</v>
      </c>
      <c r="C744">
        <v>110</v>
      </c>
      <c r="D744" t="s">
        <v>104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243</v>
      </c>
      <c r="C745">
        <v>120</v>
      </c>
      <c r="D745" t="s">
        <v>244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245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245</v>
      </c>
      <c r="C747">
        <v>20</v>
      </c>
      <c r="D747" t="s">
        <v>151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245</v>
      </c>
      <c r="C748">
        <v>30</v>
      </c>
      <c r="D748" t="s">
        <v>101</v>
      </c>
      <c r="E748" t="s">
        <v>102</v>
      </c>
      <c r="F748">
        <v>0.82599999999999996</v>
      </c>
      <c r="G748" t="s">
        <v>13</v>
      </c>
    </row>
    <row r="749" spans="1:7" x14ac:dyDescent="0.25">
      <c r="A749">
        <v>63</v>
      </c>
      <c r="B749" t="s">
        <v>245</v>
      </c>
      <c r="C749">
        <v>40</v>
      </c>
      <c r="D749" t="s">
        <v>152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245</v>
      </c>
      <c r="C750">
        <v>50</v>
      </c>
      <c r="D750" t="s">
        <v>103</v>
      </c>
      <c r="E750" t="s">
        <v>14</v>
      </c>
      <c r="F750">
        <v>20.117000000000001</v>
      </c>
      <c r="G750" t="s">
        <v>13</v>
      </c>
    </row>
    <row r="751" spans="1:7" x14ac:dyDescent="0.25">
      <c r="A751">
        <v>63</v>
      </c>
      <c r="B751" t="s">
        <v>245</v>
      </c>
      <c r="C751">
        <v>60</v>
      </c>
      <c r="D751" t="s">
        <v>16</v>
      </c>
      <c r="E751" t="s">
        <v>14</v>
      </c>
      <c r="F751">
        <v>124.65600000000001</v>
      </c>
      <c r="G751" t="s">
        <v>13</v>
      </c>
    </row>
    <row r="752" spans="1:7" x14ac:dyDescent="0.25">
      <c r="A752">
        <v>63</v>
      </c>
      <c r="B752" t="s">
        <v>245</v>
      </c>
      <c r="C752">
        <v>70</v>
      </c>
      <c r="D752" t="s">
        <v>153</v>
      </c>
      <c r="E752" t="s">
        <v>12</v>
      </c>
      <c r="F752">
        <v>0.11</v>
      </c>
      <c r="G752" t="s">
        <v>13</v>
      </c>
    </row>
    <row r="753" spans="1:7" x14ac:dyDescent="0.25">
      <c r="A753">
        <v>63</v>
      </c>
      <c r="B753" t="s">
        <v>245</v>
      </c>
      <c r="C753">
        <v>80</v>
      </c>
      <c r="D753" t="s">
        <v>191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245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245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245</v>
      </c>
      <c r="C756">
        <v>110</v>
      </c>
      <c r="D756" t="s">
        <v>104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245</v>
      </c>
      <c r="C757">
        <v>120</v>
      </c>
      <c r="D757" t="s">
        <v>246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247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247</v>
      </c>
      <c r="C759">
        <v>20</v>
      </c>
      <c r="D759" t="s">
        <v>151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247</v>
      </c>
      <c r="C760">
        <v>30</v>
      </c>
      <c r="D760" t="s">
        <v>101</v>
      </c>
      <c r="E760" t="s">
        <v>102</v>
      </c>
      <c r="F760">
        <v>0.875</v>
      </c>
      <c r="G760" t="s">
        <v>13</v>
      </c>
    </row>
    <row r="761" spans="1:7" x14ac:dyDescent="0.25">
      <c r="A761">
        <v>64</v>
      </c>
      <c r="B761" t="s">
        <v>247</v>
      </c>
      <c r="C761">
        <v>40</v>
      </c>
      <c r="D761" t="s">
        <v>152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247</v>
      </c>
      <c r="C762">
        <v>50</v>
      </c>
      <c r="D762" t="s">
        <v>103</v>
      </c>
      <c r="E762" t="s">
        <v>14</v>
      </c>
      <c r="F762">
        <v>20.574000000000002</v>
      </c>
      <c r="G762" t="s">
        <v>13</v>
      </c>
    </row>
    <row r="763" spans="1:7" x14ac:dyDescent="0.25">
      <c r="A763">
        <v>64</v>
      </c>
      <c r="B763" t="s">
        <v>247</v>
      </c>
      <c r="C763">
        <v>60</v>
      </c>
      <c r="D763" t="s">
        <v>16</v>
      </c>
      <c r="E763" t="s">
        <v>14</v>
      </c>
      <c r="F763">
        <v>127.467</v>
      </c>
      <c r="G763" t="s">
        <v>13</v>
      </c>
    </row>
    <row r="764" spans="1:7" x14ac:dyDescent="0.25">
      <c r="A764">
        <v>64</v>
      </c>
      <c r="B764" t="s">
        <v>247</v>
      </c>
      <c r="C764">
        <v>70</v>
      </c>
      <c r="D764" t="s">
        <v>153</v>
      </c>
      <c r="E764" t="s">
        <v>12</v>
      </c>
      <c r="F764">
        <v>0.11600000000000001</v>
      </c>
      <c r="G764" t="s">
        <v>13</v>
      </c>
    </row>
    <row r="765" spans="1:7" x14ac:dyDescent="0.25">
      <c r="A765">
        <v>64</v>
      </c>
      <c r="B765" t="s">
        <v>247</v>
      </c>
      <c r="C765">
        <v>80</v>
      </c>
      <c r="D765" t="s">
        <v>191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247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247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247</v>
      </c>
      <c r="C768">
        <v>110</v>
      </c>
      <c r="D768" t="s">
        <v>104</v>
      </c>
      <c r="E768" t="s">
        <v>12</v>
      </c>
      <c r="F768">
        <v>1.1759999999999999</v>
      </c>
      <c r="G768" t="s">
        <v>13</v>
      </c>
    </row>
    <row r="769" spans="1:7" x14ac:dyDescent="0.25">
      <c r="A769">
        <v>64</v>
      </c>
      <c r="B769" t="s">
        <v>247</v>
      </c>
      <c r="C769">
        <v>120</v>
      </c>
      <c r="D769" t="s">
        <v>248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249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249</v>
      </c>
      <c r="C771">
        <v>20</v>
      </c>
      <c r="D771" t="s">
        <v>151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249</v>
      </c>
      <c r="C772">
        <v>30</v>
      </c>
      <c r="D772" t="s">
        <v>101</v>
      </c>
      <c r="E772" t="s">
        <v>102</v>
      </c>
      <c r="F772">
        <v>0.92300000000000004</v>
      </c>
      <c r="G772" t="s">
        <v>13</v>
      </c>
    </row>
    <row r="773" spans="1:7" x14ac:dyDescent="0.25">
      <c r="A773">
        <v>65</v>
      </c>
      <c r="B773" t="s">
        <v>249</v>
      </c>
      <c r="C773">
        <v>40</v>
      </c>
      <c r="D773" t="s">
        <v>152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249</v>
      </c>
      <c r="C774">
        <v>50</v>
      </c>
      <c r="D774" t="s">
        <v>103</v>
      </c>
      <c r="E774" t="s">
        <v>14</v>
      </c>
      <c r="F774">
        <v>21.030999999999999</v>
      </c>
      <c r="G774" t="s">
        <v>13</v>
      </c>
    </row>
    <row r="775" spans="1:7" x14ac:dyDescent="0.25">
      <c r="A775">
        <v>65</v>
      </c>
      <c r="B775" t="s">
        <v>249</v>
      </c>
      <c r="C775">
        <v>60</v>
      </c>
      <c r="D775" t="s">
        <v>16</v>
      </c>
      <c r="E775" t="s">
        <v>14</v>
      </c>
      <c r="F775">
        <v>130.279</v>
      </c>
      <c r="G775" t="s">
        <v>13</v>
      </c>
    </row>
    <row r="776" spans="1:7" x14ac:dyDescent="0.25">
      <c r="A776">
        <v>65</v>
      </c>
      <c r="B776" t="s">
        <v>249</v>
      </c>
      <c r="C776">
        <v>70</v>
      </c>
      <c r="D776" t="s">
        <v>153</v>
      </c>
      <c r="E776" t="s">
        <v>12</v>
      </c>
      <c r="F776">
        <v>0.121</v>
      </c>
      <c r="G776" t="s">
        <v>13</v>
      </c>
    </row>
    <row r="777" spans="1:7" x14ac:dyDescent="0.25">
      <c r="A777">
        <v>65</v>
      </c>
      <c r="B777" t="s">
        <v>249</v>
      </c>
      <c r="C777">
        <v>80</v>
      </c>
      <c r="D777" t="s">
        <v>191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249</v>
      </c>
      <c r="C780">
        <v>110</v>
      </c>
      <c r="D780" t="s">
        <v>104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249</v>
      </c>
      <c r="C781">
        <v>120</v>
      </c>
      <c r="D781" t="s">
        <v>250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251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251</v>
      </c>
      <c r="C783">
        <v>20</v>
      </c>
      <c r="D783" t="s">
        <v>151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251</v>
      </c>
      <c r="C784">
        <v>30</v>
      </c>
      <c r="D784" t="s">
        <v>101</v>
      </c>
      <c r="E784" t="s">
        <v>102</v>
      </c>
      <c r="F784">
        <v>1.0209999999999999</v>
      </c>
      <c r="G784" t="s">
        <v>13</v>
      </c>
    </row>
    <row r="785" spans="1:7" x14ac:dyDescent="0.25">
      <c r="A785">
        <v>66</v>
      </c>
      <c r="B785" t="s">
        <v>251</v>
      </c>
      <c r="C785">
        <v>40</v>
      </c>
      <c r="D785" t="s">
        <v>152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251</v>
      </c>
      <c r="C786">
        <v>50</v>
      </c>
      <c r="D786" t="s">
        <v>103</v>
      </c>
      <c r="E786" t="s">
        <v>14</v>
      </c>
      <c r="F786">
        <v>21.946000000000002</v>
      </c>
      <c r="G786" t="s">
        <v>13</v>
      </c>
    </row>
    <row r="787" spans="1:7" x14ac:dyDescent="0.25">
      <c r="A787">
        <v>66</v>
      </c>
      <c r="B787" t="s">
        <v>251</v>
      </c>
      <c r="C787">
        <v>60</v>
      </c>
      <c r="D787" t="s">
        <v>16</v>
      </c>
      <c r="E787" t="s">
        <v>14</v>
      </c>
      <c r="F787">
        <v>135.90299999999999</v>
      </c>
      <c r="G787" t="s">
        <v>13</v>
      </c>
    </row>
    <row r="788" spans="1:7" x14ac:dyDescent="0.25">
      <c r="A788">
        <v>66</v>
      </c>
      <c r="B788" t="s">
        <v>251</v>
      </c>
      <c r="C788">
        <v>70</v>
      </c>
      <c r="D788" t="s">
        <v>153</v>
      </c>
      <c r="E788" t="s">
        <v>12</v>
      </c>
      <c r="F788">
        <v>0.13200000000000001</v>
      </c>
      <c r="G788" t="s">
        <v>13</v>
      </c>
    </row>
    <row r="789" spans="1:7" x14ac:dyDescent="0.25">
      <c r="A789">
        <v>66</v>
      </c>
      <c r="B789" t="s">
        <v>251</v>
      </c>
      <c r="C789">
        <v>80</v>
      </c>
      <c r="D789" t="s">
        <v>191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251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251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251</v>
      </c>
      <c r="C792">
        <v>110</v>
      </c>
      <c r="D792" t="s">
        <v>104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251</v>
      </c>
      <c r="C793">
        <v>120</v>
      </c>
      <c r="D793" t="s">
        <v>252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253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253</v>
      </c>
      <c r="C795">
        <v>20</v>
      </c>
      <c r="D795" t="s">
        <v>151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253</v>
      </c>
      <c r="C796">
        <v>30</v>
      </c>
      <c r="D796" t="s">
        <v>101</v>
      </c>
      <c r="E796" t="s">
        <v>102</v>
      </c>
      <c r="F796">
        <v>1.1180000000000001</v>
      </c>
      <c r="G796" t="s">
        <v>13</v>
      </c>
    </row>
    <row r="797" spans="1:7" x14ac:dyDescent="0.25">
      <c r="A797">
        <v>67</v>
      </c>
      <c r="B797" t="s">
        <v>253</v>
      </c>
      <c r="C797">
        <v>40</v>
      </c>
      <c r="D797" t="s">
        <v>152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253</v>
      </c>
      <c r="C798">
        <v>50</v>
      </c>
      <c r="D798" t="s">
        <v>103</v>
      </c>
      <c r="E798" t="s">
        <v>14</v>
      </c>
      <c r="F798">
        <v>22.86</v>
      </c>
      <c r="G798" t="s">
        <v>13</v>
      </c>
    </row>
    <row r="799" spans="1:7" x14ac:dyDescent="0.25">
      <c r="A799">
        <v>67</v>
      </c>
      <c r="B799" t="s">
        <v>253</v>
      </c>
      <c r="C799">
        <v>60</v>
      </c>
      <c r="D799" t="s">
        <v>16</v>
      </c>
      <c r="E799" t="s">
        <v>14</v>
      </c>
      <c r="F799">
        <v>141.52600000000001</v>
      </c>
      <c r="G799" t="s">
        <v>13</v>
      </c>
    </row>
    <row r="800" spans="1:7" x14ac:dyDescent="0.25">
      <c r="A800">
        <v>67</v>
      </c>
      <c r="B800" t="s">
        <v>253</v>
      </c>
      <c r="C800">
        <v>70</v>
      </c>
      <c r="D800" t="s">
        <v>153</v>
      </c>
      <c r="E800" t="s">
        <v>12</v>
      </c>
      <c r="F800">
        <v>0.14199999999999999</v>
      </c>
      <c r="G800" t="s">
        <v>13</v>
      </c>
    </row>
    <row r="801" spans="1:7" x14ac:dyDescent="0.25">
      <c r="A801">
        <v>67</v>
      </c>
      <c r="B801" t="s">
        <v>253</v>
      </c>
      <c r="C801">
        <v>80</v>
      </c>
      <c r="D801" t="s">
        <v>191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253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253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253</v>
      </c>
      <c r="C804">
        <v>110</v>
      </c>
      <c r="D804" t="s">
        <v>104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253</v>
      </c>
      <c r="C805">
        <v>120</v>
      </c>
      <c r="D805" t="s">
        <v>254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255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255</v>
      </c>
      <c r="C807">
        <v>20</v>
      </c>
      <c r="D807" t="s">
        <v>151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255</v>
      </c>
      <c r="C808">
        <v>30</v>
      </c>
      <c r="D808" t="s">
        <v>101</v>
      </c>
      <c r="E808" t="s">
        <v>102</v>
      </c>
      <c r="F808">
        <v>0.56100000000000005</v>
      </c>
      <c r="G808" t="s">
        <v>13</v>
      </c>
    </row>
    <row r="809" spans="1:7" x14ac:dyDescent="0.25">
      <c r="A809">
        <v>68</v>
      </c>
      <c r="B809" t="s">
        <v>255</v>
      </c>
      <c r="C809">
        <v>40</v>
      </c>
      <c r="D809" t="s">
        <v>152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255</v>
      </c>
      <c r="C810">
        <v>50</v>
      </c>
      <c r="D810" t="s">
        <v>103</v>
      </c>
      <c r="E810" t="s">
        <v>14</v>
      </c>
      <c r="F810">
        <v>17.983000000000001</v>
      </c>
      <c r="G810" t="s">
        <v>13</v>
      </c>
    </row>
    <row r="811" spans="1:7" x14ac:dyDescent="0.25">
      <c r="A811">
        <v>68</v>
      </c>
      <c r="B811" t="s">
        <v>255</v>
      </c>
      <c r="C811">
        <v>60</v>
      </c>
      <c r="D811" t="s">
        <v>16</v>
      </c>
      <c r="E811" t="s">
        <v>14</v>
      </c>
      <c r="F811">
        <v>111.53400000000001</v>
      </c>
      <c r="G811" t="s">
        <v>13</v>
      </c>
    </row>
    <row r="812" spans="1:7" x14ac:dyDescent="0.25">
      <c r="A812">
        <v>68</v>
      </c>
      <c r="B812" t="s">
        <v>255</v>
      </c>
      <c r="C812">
        <v>70</v>
      </c>
      <c r="D812" t="s">
        <v>153</v>
      </c>
      <c r="E812" t="s">
        <v>12</v>
      </c>
      <c r="F812">
        <v>7.8E-2</v>
      </c>
      <c r="G812" t="s">
        <v>13</v>
      </c>
    </row>
    <row r="813" spans="1:7" x14ac:dyDescent="0.25">
      <c r="A813">
        <v>68</v>
      </c>
      <c r="B813" t="s">
        <v>255</v>
      </c>
      <c r="C813">
        <v>80</v>
      </c>
      <c r="D813" t="s">
        <v>191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255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255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255</v>
      </c>
      <c r="C816">
        <v>110</v>
      </c>
      <c r="D816" t="s">
        <v>104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255</v>
      </c>
      <c r="C817">
        <v>120</v>
      </c>
      <c r="D817" t="s">
        <v>256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257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257</v>
      </c>
      <c r="C819">
        <v>20</v>
      </c>
      <c r="D819" t="s">
        <v>151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257</v>
      </c>
      <c r="C820">
        <v>30</v>
      </c>
      <c r="D820" t="s">
        <v>101</v>
      </c>
      <c r="E820" t="s">
        <v>102</v>
      </c>
      <c r="F820">
        <v>0.66300000000000003</v>
      </c>
      <c r="G820" t="s">
        <v>13</v>
      </c>
    </row>
    <row r="821" spans="1:7" x14ac:dyDescent="0.25">
      <c r="A821">
        <v>69</v>
      </c>
      <c r="B821" t="s">
        <v>257</v>
      </c>
      <c r="C821">
        <v>40</v>
      </c>
      <c r="D821" t="s">
        <v>152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257</v>
      </c>
      <c r="C822">
        <v>50</v>
      </c>
      <c r="D822" t="s">
        <v>103</v>
      </c>
      <c r="E822" t="s">
        <v>14</v>
      </c>
      <c r="F822">
        <v>18.898</v>
      </c>
      <c r="G822" t="s">
        <v>13</v>
      </c>
    </row>
    <row r="823" spans="1:7" x14ac:dyDescent="0.25">
      <c r="A823">
        <v>69</v>
      </c>
      <c r="B823" t="s">
        <v>257</v>
      </c>
      <c r="C823">
        <v>60</v>
      </c>
      <c r="D823" t="s">
        <v>16</v>
      </c>
      <c r="E823" t="s">
        <v>14</v>
      </c>
      <c r="F823">
        <v>117.158</v>
      </c>
      <c r="G823" t="s">
        <v>13</v>
      </c>
    </row>
    <row r="824" spans="1:7" x14ac:dyDescent="0.25">
      <c r="A824">
        <v>69</v>
      </c>
      <c r="B824" t="s">
        <v>257</v>
      </c>
      <c r="C824">
        <v>70</v>
      </c>
      <c r="D824" t="s">
        <v>153</v>
      </c>
      <c r="E824" t="s">
        <v>12</v>
      </c>
      <c r="F824">
        <v>8.8999999999999996E-2</v>
      </c>
      <c r="G824" t="s">
        <v>13</v>
      </c>
    </row>
    <row r="825" spans="1:7" x14ac:dyDescent="0.25">
      <c r="A825">
        <v>69</v>
      </c>
      <c r="B825" t="s">
        <v>257</v>
      </c>
      <c r="C825">
        <v>80</v>
      </c>
      <c r="D825" t="s">
        <v>191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257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257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257</v>
      </c>
      <c r="C828">
        <v>110</v>
      </c>
      <c r="D828" t="s">
        <v>104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257</v>
      </c>
      <c r="C829">
        <v>120</v>
      </c>
      <c r="D829" t="s">
        <v>258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259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259</v>
      </c>
      <c r="C831">
        <v>20</v>
      </c>
      <c r="D831" t="s">
        <v>151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259</v>
      </c>
      <c r="C832">
        <v>30</v>
      </c>
      <c r="D832" t="s">
        <v>101</v>
      </c>
      <c r="E832" t="s">
        <v>102</v>
      </c>
      <c r="F832">
        <v>0.76500000000000001</v>
      </c>
      <c r="G832" t="s">
        <v>13</v>
      </c>
    </row>
    <row r="833" spans="1:7" x14ac:dyDescent="0.25">
      <c r="A833">
        <v>70</v>
      </c>
      <c r="B833" t="s">
        <v>259</v>
      </c>
      <c r="C833">
        <v>40</v>
      </c>
      <c r="D833" t="s">
        <v>152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259</v>
      </c>
      <c r="C834">
        <v>50</v>
      </c>
      <c r="D834" t="s">
        <v>103</v>
      </c>
      <c r="E834" t="s">
        <v>14</v>
      </c>
      <c r="F834">
        <v>19.812000000000001</v>
      </c>
      <c r="G834" t="s">
        <v>13</v>
      </c>
    </row>
    <row r="835" spans="1:7" x14ac:dyDescent="0.25">
      <c r="A835">
        <v>70</v>
      </c>
      <c r="B835" t="s">
        <v>259</v>
      </c>
      <c r="C835">
        <v>60</v>
      </c>
      <c r="D835" t="s">
        <v>16</v>
      </c>
      <c r="E835" t="s">
        <v>14</v>
      </c>
      <c r="F835">
        <v>122.78100000000001</v>
      </c>
      <c r="G835" t="s">
        <v>13</v>
      </c>
    </row>
    <row r="836" spans="1:7" x14ac:dyDescent="0.25">
      <c r="A836">
        <v>70</v>
      </c>
      <c r="B836" t="s">
        <v>259</v>
      </c>
      <c r="C836">
        <v>70</v>
      </c>
      <c r="D836" t="s">
        <v>153</v>
      </c>
      <c r="E836" t="s">
        <v>12</v>
      </c>
      <c r="F836">
        <v>0.1</v>
      </c>
      <c r="G836" t="s">
        <v>13</v>
      </c>
    </row>
    <row r="837" spans="1:7" x14ac:dyDescent="0.25">
      <c r="A837">
        <v>70</v>
      </c>
      <c r="B837" t="s">
        <v>259</v>
      </c>
      <c r="C837">
        <v>80</v>
      </c>
      <c r="D837" t="s">
        <v>191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259</v>
      </c>
      <c r="C840">
        <v>110</v>
      </c>
      <c r="D840" t="s">
        <v>104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259</v>
      </c>
      <c r="C841">
        <v>120</v>
      </c>
      <c r="D841" t="s">
        <v>260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261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261</v>
      </c>
      <c r="C843">
        <v>20</v>
      </c>
      <c r="D843" t="s">
        <v>151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261</v>
      </c>
      <c r="C844">
        <v>30</v>
      </c>
      <c r="D844" t="s">
        <v>101</v>
      </c>
      <c r="E844" t="s">
        <v>102</v>
      </c>
      <c r="F844">
        <v>0.86799999999999999</v>
      </c>
      <c r="G844" t="s">
        <v>13</v>
      </c>
    </row>
    <row r="845" spans="1:7" x14ac:dyDescent="0.25">
      <c r="A845">
        <v>71</v>
      </c>
      <c r="B845" t="s">
        <v>261</v>
      </c>
      <c r="C845">
        <v>40</v>
      </c>
      <c r="D845" t="s">
        <v>152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261</v>
      </c>
      <c r="C846">
        <v>50</v>
      </c>
      <c r="D846" t="s">
        <v>103</v>
      </c>
      <c r="E846" t="s">
        <v>14</v>
      </c>
      <c r="F846">
        <v>20.725999999999999</v>
      </c>
      <c r="G846" t="s">
        <v>13</v>
      </c>
    </row>
    <row r="847" spans="1:7" x14ac:dyDescent="0.25">
      <c r="A847">
        <v>71</v>
      </c>
      <c r="B847" t="s">
        <v>261</v>
      </c>
      <c r="C847">
        <v>60</v>
      </c>
      <c r="D847" t="s">
        <v>16</v>
      </c>
      <c r="E847" t="s">
        <v>14</v>
      </c>
      <c r="F847">
        <v>128.405</v>
      </c>
      <c r="G847" t="s">
        <v>13</v>
      </c>
    </row>
    <row r="848" spans="1:7" x14ac:dyDescent="0.25">
      <c r="A848">
        <v>71</v>
      </c>
      <c r="B848" t="s">
        <v>261</v>
      </c>
      <c r="C848">
        <v>70</v>
      </c>
      <c r="D848" t="s">
        <v>153</v>
      </c>
      <c r="E848" t="s">
        <v>12</v>
      </c>
      <c r="F848">
        <v>0.11</v>
      </c>
      <c r="G848" t="s">
        <v>13</v>
      </c>
    </row>
    <row r="849" spans="1:7" x14ac:dyDescent="0.25">
      <c r="A849">
        <v>71</v>
      </c>
      <c r="B849" t="s">
        <v>261</v>
      </c>
      <c r="C849">
        <v>80</v>
      </c>
      <c r="D849" t="s">
        <v>191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261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261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261</v>
      </c>
      <c r="C852">
        <v>110</v>
      </c>
      <c r="D852" t="s">
        <v>104</v>
      </c>
      <c r="E852" t="s">
        <v>12</v>
      </c>
      <c r="F852">
        <v>1.23</v>
      </c>
      <c r="G852" t="s">
        <v>13</v>
      </c>
    </row>
    <row r="853" spans="1:7" x14ac:dyDescent="0.25">
      <c r="A853">
        <v>71</v>
      </c>
      <c r="B853" t="s">
        <v>261</v>
      </c>
      <c r="C853">
        <v>120</v>
      </c>
      <c r="D853" t="s">
        <v>262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263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263</v>
      </c>
      <c r="C855">
        <v>20</v>
      </c>
      <c r="D855" t="s">
        <v>151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263</v>
      </c>
      <c r="C856">
        <v>30</v>
      </c>
      <c r="D856" t="s">
        <v>101</v>
      </c>
      <c r="E856" t="s">
        <v>102</v>
      </c>
      <c r="F856">
        <v>0.91900000000000004</v>
      </c>
      <c r="G856" t="s">
        <v>13</v>
      </c>
    </row>
    <row r="857" spans="1:7" x14ac:dyDescent="0.25">
      <c r="A857">
        <v>72</v>
      </c>
      <c r="B857" t="s">
        <v>263</v>
      </c>
      <c r="C857">
        <v>40</v>
      </c>
      <c r="D857" t="s">
        <v>152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263</v>
      </c>
      <c r="C858">
        <v>50</v>
      </c>
      <c r="D858" t="s">
        <v>103</v>
      </c>
      <c r="E858" t="s">
        <v>14</v>
      </c>
      <c r="F858">
        <v>21.184000000000001</v>
      </c>
      <c r="G858" t="s">
        <v>13</v>
      </c>
    </row>
    <row r="859" spans="1:7" x14ac:dyDescent="0.25">
      <c r="A859">
        <v>72</v>
      </c>
      <c r="B859" t="s">
        <v>263</v>
      </c>
      <c r="C859">
        <v>60</v>
      </c>
      <c r="D859" t="s">
        <v>16</v>
      </c>
      <c r="E859" t="s">
        <v>14</v>
      </c>
      <c r="F859">
        <v>131.21600000000001</v>
      </c>
      <c r="G859" t="s">
        <v>13</v>
      </c>
    </row>
    <row r="860" spans="1:7" x14ac:dyDescent="0.25">
      <c r="A860">
        <v>72</v>
      </c>
      <c r="B860" t="s">
        <v>263</v>
      </c>
      <c r="C860">
        <v>70</v>
      </c>
      <c r="D860" t="s">
        <v>153</v>
      </c>
      <c r="E860" t="s">
        <v>12</v>
      </c>
      <c r="F860">
        <v>0.11600000000000001</v>
      </c>
      <c r="G860" t="s">
        <v>13</v>
      </c>
    </row>
    <row r="861" spans="1:7" x14ac:dyDescent="0.25">
      <c r="A861">
        <v>72</v>
      </c>
      <c r="B861" t="s">
        <v>263</v>
      </c>
      <c r="C861">
        <v>80</v>
      </c>
      <c r="D861" t="s">
        <v>191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263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263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263</v>
      </c>
      <c r="C864">
        <v>110</v>
      </c>
      <c r="D864" t="s">
        <v>104</v>
      </c>
      <c r="E864" t="s">
        <v>12</v>
      </c>
      <c r="F864">
        <v>1.23</v>
      </c>
      <c r="G864" t="s">
        <v>13</v>
      </c>
    </row>
    <row r="865" spans="1:7" x14ac:dyDescent="0.25">
      <c r="A865">
        <v>72</v>
      </c>
      <c r="B865" t="s">
        <v>263</v>
      </c>
      <c r="C865">
        <v>120</v>
      </c>
      <c r="D865" t="s">
        <v>264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265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265</v>
      </c>
      <c r="C867">
        <v>20</v>
      </c>
      <c r="D867" t="s">
        <v>151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265</v>
      </c>
      <c r="C868">
        <v>30</v>
      </c>
      <c r="D868" t="s">
        <v>101</v>
      </c>
      <c r="E868" t="s">
        <v>102</v>
      </c>
      <c r="F868">
        <v>0.97</v>
      </c>
      <c r="G868" t="s">
        <v>13</v>
      </c>
    </row>
    <row r="869" spans="1:7" x14ac:dyDescent="0.25">
      <c r="A869">
        <v>73</v>
      </c>
      <c r="B869" t="s">
        <v>265</v>
      </c>
      <c r="C869">
        <v>40</v>
      </c>
      <c r="D869" t="s">
        <v>152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265</v>
      </c>
      <c r="C870">
        <v>50</v>
      </c>
      <c r="D870" t="s">
        <v>103</v>
      </c>
      <c r="E870" t="s">
        <v>14</v>
      </c>
      <c r="F870">
        <v>21.640999999999998</v>
      </c>
      <c r="G870" t="s">
        <v>13</v>
      </c>
    </row>
    <row r="871" spans="1:7" x14ac:dyDescent="0.25">
      <c r="A871">
        <v>73</v>
      </c>
      <c r="B871" t="s">
        <v>265</v>
      </c>
      <c r="C871">
        <v>60</v>
      </c>
      <c r="D871" t="s">
        <v>16</v>
      </c>
      <c r="E871" t="s">
        <v>14</v>
      </c>
      <c r="F871">
        <v>134.02799999999999</v>
      </c>
      <c r="G871" t="s">
        <v>13</v>
      </c>
    </row>
    <row r="872" spans="1:7" x14ac:dyDescent="0.25">
      <c r="A872">
        <v>73</v>
      </c>
      <c r="B872" t="s">
        <v>265</v>
      </c>
      <c r="C872">
        <v>70</v>
      </c>
      <c r="D872" t="s">
        <v>153</v>
      </c>
      <c r="E872" t="s">
        <v>12</v>
      </c>
      <c r="F872">
        <v>0.121</v>
      </c>
      <c r="G872" t="s">
        <v>13</v>
      </c>
    </row>
    <row r="873" spans="1:7" x14ac:dyDescent="0.25">
      <c r="A873">
        <v>73</v>
      </c>
      <c r="B873" t="s">
        <v>265</v>
      </c>
      <c r="C873">
        <v>80</v>
      </c>
      <c r="D873" t="s">
        <v>191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265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265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265</v>
      </c>
      <c r="C876">
        <v>110</v>
      </c>
      <c r="D876" t="s">
        <v>104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265</v>
      </c>
      <c r="C877">
        <v>120</v>
      </c>
      <c r="D877" t="s">
        <v>266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267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267</v>
      </c>
      <c r="C879">
        <v>20</v>
      </c>
      <c r="D879" t="s">
        <v>151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267</v>
      </c>
      <c r="C880">
        <v>30</v>
      </c>
      <c r="D880" t="s">
        <v>101</v>
      </c>
      <c r="E880" t="s">
        <v>102</v>
      </c>
      <c r="F880">
        <v>1.0720000000000001</v>
      </c>
      <c r="G880" t="s">
        <v>13</v>
      </c>
    </row>
    <row r="881" spans="1:7" x14ac:dyDescent="0.25">
      <c r="A881">
        <v>74</v>
      </c>
      <c r="B881" t="s">
        <v>267</v>
      </c>
      <c r="C881">
        <v>40</v>
      </c>
      <c r="D881" t="s">
        <v>152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267</v>
      </c>
      <c r="C882">
        <v>50</v>
      </c>
      <c r="D882" t="s">
        <v>103</v>
      </c>
      <c r="E882" t="s">
        <v>14</v>
      </c>
      <c r="F882">
        <v>22.555</v>
      </c>
      <c r="G882" t="s">
        <v>13</v>
      </c>
    </row>
    <row r="883" spans="1:7" x14ac:dyDescent="0.25">
      <c r="A883">
        <v>74</v>
      </c>
      <c r="B883" t="s">
        <v>267</v>
      </c>
      <c r="C883">
        <v>60</v>
      </c>
      <c r="D883" t="s">
        <v>16</v>
      </c>
      <c r="E883" t="s">
        <v>14</v>
      </c>
      <c r="F883">
        <v>139.65199999999999</v>
      </c>
      <c r="G883" t="s">
        <v>13</v>
      </c>
    </row>
    <row r="884" spans="1:7" x14ac:dyDescent="0.25">
      <c r="A884">
        <v>74</v>
      </c>
      <c r="B884" t="s">
        <v>267</v>
      </c>
      <c r="C884">
        <v>70</v>
      </c>
      <c r="D884" t="s">
        <v>153</v>
      </c>
      <c r="E884" t="s">
        <v>12</v>
      </c>
      <c r="F884">
        <v>0.13200000000000001</v>
      </c>
      <c r="G884" t="s">
        <v>13</v>
      </c>
    </row>
    <row r="885" spans="1:7" x14ac:dyDescent="0.25">
      <c r="A885">
        <v>74</v>
      </c>
      <c r="B885" t="s">
        <v>267</v>
      </c>
      <c r="C885">
        <v>80</v>
      </c>
      <c r="D885" t="s">
        <v>191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267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267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267</v>
      </c>
      <c r="C888">
        <v>110</v>
      </c>
      <c r="D888" t="s">
        <v>104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267</v>
      </c>
      <c r="C889">
        <v>120</v>
      </c>
      <c r="D889" t="s">
        <v>268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269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269</v>
      </c>
      <c r="C891">
        <v>20</v>
      </c>
      <c r="D891" t="s">
        <v>151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269</v>
      </c>
      <c r="C892">
        <v>30</v>
      </c>
      <c r="D892" t="s">
        <v>101</v>
      </c>
      <c r="E892" t="s">
        <v>102</v>
      </c>
      <c r="F892">
        <v>1.1739999999999999</v>
      </c>
      <c r="G892" t="s">
        <v>13</v>
      </c>
    </row>
    <row r="893" spans="1:7" x14ac:dyDescent="0.25">
      <c r="A893">
        <v>75</v>
      </c>
      <c r="B893" t="s">
        <v>269</v>
      </c>
      <c r="C893">
        <v>40</v>
      </c>
      <c r="D893" t="s">
        <v>152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269</v>
      </c>
      <c r="C894">
        <v>50</v>
      </c>
      <c r="D894" t="s">
        <v>103</v>
      </c>
      <c r="E894" t="s">
        <v>14</v>
      </c>
      <c r="F894">
        <v>23.47</v>
      </c>
      <c r="G894" t="s">
        <v>13</v>
      </c>
    </row>
    <row r="895" spans="1:7" x14ac:dyDescent="0.25">
      <c r="A895">
        <v>75</v>
      </c>
      <c r="B895" t="s">
        <v>269</v>
      </c>
      <c r="C895">
        <v>60</v>
      </c>
      <c r="D895" t="s">
        <v>16</v>
      </c>
      <c r="E895" t="s">
        <v>14</v>
      </c>
      <c r="F895">
        <v>145.27500000000001</v>
      </c>
      <c r="G895" t="s">
        <v>13</v>
      </c>
    </row>
    <row r="896" spans="1:7" x14ac:dyDescent="0.25">
      <c r="A896">
        <v>75</v>
      </c>
      <c r="B896" t="s">
        <v>269</v>
      </c>
      <c r="C896">
        <v>70</v>
      </c>
      <c r="D896" t="s">
        <v>153</v>
      </c>
      <c r="E896" t="s">
        <v>12</v>
      </c>
      <c r="F896">
        <v>0.14199999999999999</v>
      </c>
      <c r="G896" t="s">
        <v>13</v>
      </c>
    </row>
    <row r="897" spans="1:7" x14ac:dyDescent="0.25">
      <c r="A897">
        <v>75</v>
      </c>
      <c r="B897" t="s">
        <v>269</v>
      </c>
      <c r="C897">
        <v>80</v>
      </c>
      <c r="D897" t="s">
        <v>191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269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269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269</v>
      </c>
      <c r="C900">
        <v>110</v>
      </c>
      <c r="D900" t="s">
        <v>104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269</v>
      </c>
      <c r="C901">
        <v>120</v>
      </c>
      <c r="D901" t="s">
        <v>270</v>
      </c>
      <c r="E901" t="s">
        <v>11</v>
      </c>
      <c r="F901">
        <v>1</v>
      </c>
      <c r="G9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AN5" sqref="AN5"/>
    </sheetView>
  </sheetViews>
  <sheetFormatPr defaultRowHeight="15" x14ac:dyDescent="0.25"/>
  <cols>
    <col min="1" max="1" width="7.42578125" bestFit="1" customWidth="1"/>
    <col min="2" max="2" width="9.7109375" customWidth="1"/>
    <col min="3" max="3" width="27.85546875" bestFit="1" customWidth="1"/>
    <col min="4" max="4" width="12.28515625" customWidth="1"/>
    <col min="5" max="5" width="27.85546875" bestFit="1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21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8" x14ac:dyDescent="0.25">
      <c r="A3" s="49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21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8" x14ac:dyDescent="0.25">
      <c r="A4" s="49"/>
      <c r="B4" s="22" t="s">
        <v>46</v>
      </c>
      <c r="C4" s="22" t="s">
        <v>47</v>
      </c>
      <c r="D4" s="47" t="s">
        <v>48</v>
      </c>
      <c r="E4" s="22" t="s">
        <v>3</v>
      </c>
      <c r="F4" s="47" t="s">
        <v>49</v>
      </c>
      <c r="G4" s="22" t="s">
        <v>50</v>
      </c>
      <c r="H4" s="22" t="s">
        <v>6</v>
      </c>
      <c r="I4" s="22" t="s">
        <v>51</v>
      </c>
      <c r="J4" s="47" t="s">
        <v>52</v>
      </c>
      <c r="K4" s="47" t="s">
        <v>53</v>
      </c>
      <c r="L4" s="47" t="s">
        <v>54</v>
      </c>
      <c r="M4" s="23" t="s">
        <v>55</v>
      </c>
      <c r="N4" s="24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151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0.437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152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103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153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154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104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155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151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101</v>
      </c>
      <c r="O19" s="3"/>
      <c r="P19" s="3"/>
      <c r="Q19" s="3">
        <v>0.52500000000000002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152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103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153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154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104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110</v>
      </c>
      <c r="D29" s="3"/>
      <c r="E29" s="3" t="s">
        <v>110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110</v>
      </c>
      <c r="D30" s="3"/>
      <c r="E30" s="3" t="s">
        <v>110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151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110</v>
      </c>
      <c r="D31" s="3"/>
      <c r="E31" s="3" t="s">
        <v>110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101</v>
      </c>
      <c r="O31" s="3"/>
      <c r="P31" s="3"/>
      <c r="Q31" s="3">
        <v>0.61199999999999999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110</v>
      </c>
      <c r="D32" s="3"/>
      <c r="E32" s="3" t="s">
        <v>110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152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110</v>
      </c>
      <c r="D33" s="3"/>
      <c r="E33" s="3" t="s">
        <v>110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103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110</v>
      </c>
      <c r="D34" s="3"/>
      <c r="E34" s="3" t="s">
        <v>110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110</v>
      </c>
      <c r="D35" s="3"/>
      <c r="E35" s="3" t="s">
        <v>110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153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110</v>
      </c>
      <c r="D36" s="3"/>
      <c r="E36" s="3" t="s">
        <v>110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154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110</v>
      </c>
      <c r="D37" s="3"/>
      <c r="E37" s="3" t="s">
        <v>110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110</v>
      </c>
      <c r="D38" s="3"/>
      <c r="E38" s="3" t="s">
        <v>110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110</v>
      </c>
      <c r="D39" s="3"/>
      <c r="E39" s="3" t="s">
        <v>110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104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110</v>
      </c>
      <c r="D40" s="3"/>
      <c r="E40" s="3" t="s">
        <v>110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157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151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101</v>
      </c>
      <c r="O43" s="3"/>
      <c r="P43" s="3"/>
      <c r="Q43" s="3">
        <v>0.7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152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103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111</v>
      </c>
      <c r="D47" s="3"/>
      <c r="E47" s="3" t="s">
        <v>111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153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111</v>
      </c>
      <c r="D48" s="3"/>
      <c r="E48" s="3" t="s">
        <v>111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154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111</v>
      </c>
      <c r="D49" s="3"/>
      <c r="E49" s="3" t="s">
        <v>111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111</v>
      </c>
      <c r="D50" s="3"/>
      <c r="E50" s="3" t="s">
        <v>111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111</v>
      </c>
      <c r="D51" s="3"/>
      <c r="E51" s="3" t="s">
        <v>111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104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111</v>
      </c>
      <c r="D52" s="3"/>
      <c r="E52" s="3" t="s">
        <v>111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158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112</v>
      </c>
      <c r="D53" s="3"/>
      <c r="E53" s="3" t="s">
        <v>112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112</v>
      </c>
      <c r="D54" s="3"/>
      <c r="E54" s="3" t="s">
        <v>112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151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112</v>
      </c>
      <c r="D55" s="3"/>
      <c r="E55" s="3" t="s">
        <v>112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101</v>
      </c>
      <c r="O55" s="3"/>
      <c r="P55" s="3"/>
      <c r="Q55" s="3">
        <v>0.875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112</v>
      </c>
      <c r="D56" s="3"/>
      <c r="E56" s="3" t="s">
        <v>112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112</v>
      </c>
      <c r="D57" s="3"/>
      <c r="E57" s="3" t="s">
        <v>112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103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112</v>
      </c>
      <c r="D58" s="3"/>
      <c r="E58" s="3" t="s">
        <v>112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112</v>
      </c>
      <c r="D59" s="3"/>
      <c r="E59" s="3" t="s">
        <v>112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153</v>
      </c>
      <c r="O59" s="3"/>
      <c r="P59" s="3"/>
      <c r="Q59" s="3">
        <v>0.13200000000000001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154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112</v>
      </c>
      <c r="D61" s="3"/>
      <c r="E61" s="3" t="s">
        <v>112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112</v>
      </c>
      <c r="D62" s="3"/>
      <c r="E62" s="3" t="s">
        <v>112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112</v>
      </c>
      <c r="D63" s="3"/>
      <c r="E63" s="3" t="s">
        <v>112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104</v>
      </c>
      <c r="O63" s="3"/>
      <c r="P63" s="3"/>
      <c r="Q63" s="3">
        <v>0.94599999999999995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112</v>
      </c>
      <c r="D64" s="3"/>
      <c r="E64" s="3" t="s">
        <v>112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159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151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0.96199999999999997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103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153</v>
      </c>
      <c r="O71" s="3"/>
      <c r="P71" s="3"/>
      <c r="Q71" s="3">
        <v>0.14199999999999999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154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113</v>
      </c>
      <c r="D75" s="3"/>
      <c r="E75" s="3" t="s">
        <v>113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104</v>
      </c>
      <c r="O75" s="3"/>
      <c r="P75" s="3"/>
      <c r="Q75" s="3">
        <v>1.0269999999999999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113</v>
      </c>
      <c r="D76" s="3"/>
      <c r="E76" s="3" t="s">
        <v>113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160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114</v>
      </c>
      <c r="D77" s="3"/>
      <c r="E77" s="3" t="s">
        <v>114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114</v>
      </c>
      <c r="D78" s="3"/>
      <c r="E78" s="3" t="s">
        <v>114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151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114</v>
      </c>
      <c r="D79" s="3"/>
      <c r="E79" s="3" t="s">
        <v>114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101</v>
      </c>
      <c r="O79" s="3"/>
      <c r="P79" s="3"/>
      <c r="Q79" s="3">
        <v>1.05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114</v>
      </c>
      <c r="D80" s="3"/>
      <c r="E80" s="3" t="s">
        <v>114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152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114</v>
      </c>
      <c r="D81" s="3"/>
      <c r="E81" s="3" t="s">
        <v>114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103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114</v>
      </c>
      <c r="D82" s="3"/>
      <c r="E82" s="3" t="s">
        <v>114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114</v>
      </c>
      <c r="D83" s="3"/>
      <c r="E83" s="3" t="s">
        <v>114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153</v>
      </c>
      <c r="O83" s="3"/>
      <c r="P83" s="3"/>
      <c r="Q83" s="3">
        <v>0.153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114</v>
      </c>
      <c r="D84" s="3"/>
      <c r="E84" s="3" t="s">
        <v>114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154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114</v>
      </c>
      <c r="D85" s="3"/>
      <c r="E85" s="3" t="s">
        <v>114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114</v>
      </c>
      <c r="D86" s="3"/>
      <c r="E86" s="3" t="s">
        <v>114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114</v>
      </c>
      <c r="D87" s="3"/>
      <c r="E87" s="3" t="s">
        <v>114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104</v>
      </c>
      <c r="O87" s="3"/>
      <c r="P87" s="3"/>
      <c r="Q87" s="3">
        <v>1.1080000000000001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114</v>
      </c>
      <c r="D88" s="3"/>
      <c r="E88" s="3" t="s">
        <v>114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161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151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101</v>
      </c>
      <c r="O91" s="3"/>
      <c r="P91" s="3"/>
      <c r="Q91" s="3">
        <v>0.45600000000000002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152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103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153</v>
      </c>
      <c r="O95" s="3"/>
      <c r="P95" s="3"/>
      <c r="Q95" s="3">
        <v>7.8E-2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154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104</v>
      </c>
      <c r="O99" s="3"/>
      <c r="P99" s="3"/>
      <c r="Q99" s="3">
        <v>0.54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162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116</v>
      </c>
      <c r="D101" s="3"/>
      <c r="E101" s="3" t="s">
        <v>116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116</v>
      </c>
      <c r="D102" s="3"/>
      <c r="E102" s="3" t="s">
        <v>116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151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116</v>
      </c>
      <c r="D103" s="3"/>
      <c r="E103" s="3" t="s">
        <v>116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101</v>
      </c>
      <c r="O103" s="3"/>
      <c r="P103" s="3"/>
      <c r="Q103" s="3">
        <v>0.54700000000000004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116</v>
      </c>
      <c r="D104" s="3"/>
      <c r="E104" s="3" t="s">
        <v>116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152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116</v>
      </c>
      <c r="D105" s="3"/>
      <c r="E105" s="3" t="s">
        <v>116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103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116</v>
      </c>
      <c r="D106" s="3"/>
      <c r="E106" s="3" t="s">
        <v>116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116</v>
      </c>
      <c r="D107" s="3"/>
      <c r="E107" s="3" t="s">
        <v>116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153</v>
      </c>
      <c r="O107" s="3"/>
      <c r="P107" s="3"/>
      <c r="Q107" s="3">
        <v>8.8999999999999996E-2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116</v>
      </c>
      <c r="D108" s="3"/>
      <c r="E108" s="3" t="s">
        <v>116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154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116</v>
      </c>
      <c r="D109" s="3"/>
      <c r="E109" s="3" t="s">
        <v>116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116</v>
      </c>
      <c r="D110" s="3"/>
      <c r="E110" s="3" t="s">
        <v>116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116</v>
      </c>
      <c r="D111" s="3"/>
      <c r="E111" s="3" t="s">
        <v>116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104</v>
      </c>
      <c r="O111" s="3"/>
      <c r="P111" s="3"/>
      <c r="Q111" s="3">
        <v>0.622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116</v>
      </c>
      <c r="D112" s="3"/>
      <c r="E112" s="3" t="s">
        <v>116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163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117</v>
      </c>
      <c r="D113" s="3"/>
      <c r="E113" s="3" t="s">
        <v>117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117</v>
      </c>
      <c r="D114" s="3"/>
      <c r="E114" s="3" t="s">
        <v>117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151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117</v>
      </c>
      <c r="D115" s="3"/>
      <c r="E115" s="3" t="s">
        <v>117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101</v>
      </c>
      <c r="O115" s="3"/>
      <c r="P115" s="3"/>
      <c r="Q115" s="3">
        <v>0.63800000000000001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117</v>
      </c>
      <c r="D116" s="3"/>
      <c r="E116" s="3" t="s">
        <v>117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152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117</v>
      </c>
      <c r="D117" s="3"/>
      <c r="E117" s="3" t="s">
        <v>117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103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117</v>
      </c>
      <c r="D118" s="3"/>
      <c r="E118" s="3" t="s">
        <v>117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117</v>
      </c>
      <c r="D119" s="3"/>
      <c r="E119" s="3" t="s">
        <v>117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153</v>
      </c>
      <c r="O119" s="3"/>
      <c r="P119" s="3"/>
      <c r="Q119" s="3">
        <v>0.1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117</v>
      </c>
      <c r="D120" s="3"/>
      <c r="E120" s="3" t="s">
        <v>117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154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117</v>
      </c>
      <c r="D121" s="3"/>
      <c r="E121" s="3" t="s">
        <v>117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117</v>
      </c>
      <c r="D122" s="3"/>
      <c r="E122" s="3" t="s">
        <v>117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117</v>
      </c>
      <c r="D123" s="3"/>
      <c r="E123" s="3" t="s">
        <v>117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104</v>
      </c>
      <c r="O123" s="3"/>
      <c r="P123" s="3"/>
      <c r="Q123" s="3">
        <v>0.70299999999999996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117</v>
      </c>
      <c r="D124" s="3"/>
      <c r="E124" s="3" t="s">
        <v>117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164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118</v>
      </c>
      <c r="D125" s="3"/>
      <c r="E125" s="3" t="s">
        <v>118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118</v>
      </c>
      <c r="D126" s="3"/>
      <c r="E126" s="3" t="s">
        <v>118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151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118</v>
      </c>
      <c r="D127" s="3"/>
      <c r="E127" s="3" t="s">
        <v>118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0.72899999999999998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118</v>
      </c>
      <c r="D128" s="3"/>
      <c r="E128" s="3" t="s">
        <v>118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152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118</v>
      </c>
      <c r="D129" s="3"/>
      <c r="E129" s="3" t="s">
        <v>118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103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118</v>
      </c>
      <c r="D130" s="3"/>
      <c r="E130" s="3" t="s">
        <v>118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118</v>
      </c>
      <c r="D131" s="3"/>
      <c r="E131" s="3" t="s">
        <v>118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153</v>
      </c>
      <c r="O131" s="3"/>
      <c r="P131" s="3"/>
      <c r="Q131" s="3">
        <v>0.11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118</v>
      </c>
      <c r="D132" s="3"/>
      <c r="E132" s="3" t="s">
        <v>118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154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118</v>
      </c>
      <c r="D133" s="3"/>
      <c r="E133" s="3" t="s">
        <v>118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118</v>
      </c>
      <c r="D134" s="3"/>
      <c r="E134" s="3" t="s">
        <v>118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118</v>
      </c>
      <c r="D135" s="3"/>
      <c r="E135" s="3" t="s">
        <v>118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104</v>
      </c>
      <c r="O135" s="3"/>
      <c r="P135" s="3"/>
      <c r="Q135" s="3">
        <v>0.78400000000000003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118</v>
      </c>
      <c r="D136" s="3"/>
      <c r="E136" s="3" t="s">
        <v>118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165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119</v>
      </c>
      <c r="D137" s="3"/>
      <c r="E137" s="3" t="s">
        <v>119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119</v>
      </c>
      <c r="D138" s="3"/>
      <c r="E138" s="3" t="s">
        <v>119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151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119</v>
      </c>
      <c r="D139" s="3"/>
      <c r="E139" s="3" t="s">
        <v>119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101</v>
      </c>
      <c r="O139" s="3"/>
      <c r="P139" s="3"/>
      <c r="Q139" s="3">
        <v>0.91100000000000003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119</v>
      </c>
      <c r="D140" s="3"/>
      <c r="E140" s="3" t="s">
        <v>119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152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119</v>
      </c>
      <c r="D141" s="3"/>
      <c r="E141" s="3" t="s">
        <v>119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103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119</v>
      </c>
      <c r="D142" s="3"/>
      <c r="E142" s="3" t="s">
        <v>119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119</v>
      </c>
      <c r="D143" s="3"/>
      <c r="E143" s="3" t="s">
        <v>119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153</v>
      </c>
      <c r="O143" s="3"/>
      <c r="P143" s="3"/>
      <c r="Q143" s="3">
        <v>0.13200000000000001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119</v>
      </c>
      <c r="D144" s="3"/>
      <c r="E144" s="3" t="s">
        <v>119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154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119</v>
      </c>
      <c r="D145" s="3"/>
      <c r="E145" s="3" t="s">
        <v>119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119</v>
      </c>
      <c r="D146" s="3"/>
      <c r="E146" s="3" t="s">
        <v>119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119</v>
      </c>
      <c r="D147" s="3"/>
      <c r="E147" s="3" t="s">
        <v>119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104</v>
      </c>
      <c r="O147" s="3"/>
      <c r="P147" s="3"/>
      <c r="Q147" s="3">
        <v>0.94599999999999995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119</v>
      </c>
      <c r="D148" s="3"/>
      <c r="E148" s="3" t="s">
        <v>119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166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120</v>
      </c>
      <c r="D149" s="3"/>
      <c r="E149" s="3" t="s">
        <v>120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120</v>
      </c>
      <c r="D150" s="3"/>
      <c r="E150" s="3" t="s">
        <v>120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151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120</v>
      </c>
      <c r="D151" s="3"/>
      <c r="E151" s="3" t="s">
        <v>120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101</v>
      </c>
      <c r="O151" s="3"/>
      <c r="P151" s="3"/>
      <c r="Q151" s="3">
        <v>1.002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120</v>
      </c>
      <c r="D152" s="3"/>
      <c r="E152" s="3" t="s">
        <v>120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152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120</v>
      </c>
      <c r="D153" s="3"/>
      <c r="E153" s="3" t="s">
        <v>120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103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120</v>
      </c>
      <c r="D154" s="3"/>
      <c r="E154" s="3" t="s">
        <v>120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120</v>
      </c>
      <c r="D155" s="3"/>
      <c r="E155" s="3" t="s">
        <v>120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153</v>
      </c>
      <c r="O155" s="3"/>
      <c r="P155" s="3"/>
      <c r="Q155" s="3">
        <v>0.14199999999999999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120</v>
      </c>
      <c r="D156" s="3"/>
      <c r="E156" s="3" t="s">
        <v>120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154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120</v>
      </c>
      <c r="D157" s="3"/>
      <c r="E157" s="3" t="s">
        <v>120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120</v>
      </c>
      <c r="D158" s="3"/>
      <c r="E158" s="3" t="s">
        <v>120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120</v>
      </c>
      <c r="D159" s="3"/>
      <c r="E159" s="3" t="s">
        <v>120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104</v>
      </c>
      <c r="O159" s="3"/>
      <c r="P159" s="3"/>
      <c r="Q159" s="3">
        <v>1.0269999999999999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120</v>
      </c>
      <c r="D160" s="3"/>
      <c r="E160" s="3" t="s">
        <v>120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167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121</v>
      </c>
      <c r="D161" s="3"/>
      <c r="E161" s="3" t="s">
        <v>121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121</v>
      </c>
      <c r="D162" s="3"/>
      <c r="E162" s="3" t="s">
        <v>121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151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121</v>
      </c>
      <c r="D163" s="3"/>
      <c r="E163" s="3" t="s">
        <v>121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1.0940000000000001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121</v>
      </c>
      <c r="D164" s="3"/>
      <c r="E164" s="3" t="s">
        <v>121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152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121</v>
      </c>
      <c r="D165" s="3"/>
      <c r="E165" s="3" t="s">
        <v>121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103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121</v>
      </c>
      <c r="D166" s="3"/>
      <c r="E166" s="3" t="s">
        <v>121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121</v>
      </c>
      <c r="D167" s="3"/>
      <c r="E167" s="3" t="s">
        <v>121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153</v>
      </c>
      <c r="O167" s="3"/>
      <c r="P167" s="3"/>
      <c r="Q167" s="3">
        <v>0.153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121</v>
      </c>
      <c r="D168" s="3"/>
      <c r="E168" s="3" t="s">
        <v>121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154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121</v>
      </c>
      <c r="D169" s="3"/>
      <c r="E169" s="3" t="s">
        <v>121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121</v>
      </c>
      <c r="D170" s="3"/>
      <c r="E170" s="3" t="s">
        <v>121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121</v>
      </c>
      <c r="D171" s="3"/>
      <c r="E171" s="3" t="s">
        <v>121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104</v>
      </c>
      <c r="O171" s="3"/>
      <c r="P171" s="3"/>
      <c r="Q171" s="3">
        <v>1.1080000000000001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121</v>
      </c>
      <c r="D172" s="3"/>
      <c r="E172" s="3" t="s">
        <v>121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168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122</v>
      </c>
      <c r="D173" s="3"/>
      <c r="E173" s="3" t="s">
        <v>122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122</v>
      </c>
      <c r="D174" s="3"/>
      <c r="E174" s="3" t="s">
        <v>122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151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122</v>
      </c>
      <c r="D175" s="3"/>
      <c r="E175" s="3" t="s">
        <v>122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101</v>
      </c>
      <c r="O175" s="3"/>
      <c r="P175" s="3"/>
      <c r="Q175" s="3">
        <v>0.47399999999999998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122</v>
      </c>
      <c r="D176" s="3"/>
      <c r="E176" s="3" t="s">
        <v>122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152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122</v>
      </c>
      <c r="D177" s="3"/>
      <c r="E177" s="3" t="s">
        <v>122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103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122</v>
      </c>
      <c r="D178" s="3"/>
      <c r="E178" s="3" t="s">
        <v>122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122</v>
      </c>
      <c r="D179" s="3"/>
      <c r="E179" s="3" t="s">
        <v>122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153</v>
      </c>
      <c r="O179" s="3"/>
      <c r="P179" s="3"/>
      <c r="Q179" s="3">
        <v>7.8E-2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122</v>
      </c>
      <c r="D180" s="3"/>
      <c r="E180" s="3" t="s">
        <v>122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154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122</v>
      </c>
      <c r="D181" s="3"/>
      <c r="E181" s="3" t="s">
        <v>122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122</v>
      </c>
      <c r="D182" s="3"/>
      <c r="E182" s="3" t="s">
        <v>122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122</v>
      </c>
      <c r="D183" s="3"/>
      <c r="E183" s="3" t="s">
        <v>122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104</v>
      </c>
      <c r="O183" s="3"/>
      <c r="P183" s="3"/>
      <c r="Q183" s="3">
        <v>0.54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122</v>
      </c>
      <c r="D184" s="3"/>
      <c r="E184" s="3" t="s">
        <v>122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169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123</v>
      </c>
      <c r="D185" s="3"/>
      <c r="E185" s="3" t="s">
        <v>123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123</v>
      </c>
      <c r="D186" s="3"/>
      <c r="E186" s="3" t="s">
        <v>123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151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123</v>
      </c>
      <c r="D187" s="3"/>
      <c r="E187" s="3" t="s">
        <v>123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0.56899999999999995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123</v>
      </c>
      <c r="D188" s="3"/>
      <c r="E188" s="3" t="s">
        <v>123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152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123</v>
      </c>
      <c r="D189" s="3"/>
      <c r="E189" s="3" t="s">
        <v>123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103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123</v>
      </c>
      <c r="D190" s="3"/>
      <c r="E190" s="3" t="s">
        <v>123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123</v>
      </c>
      <c r="D191" s="3"/>
      <c r="E191" s="3" t="s">
        <v>123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153</v>
      </c>
      <c r="O191" s="3"/>
      <c r="P191" s="3"/>
      <c r="Q191" s="3">
        <v>8.8999999999999996E-2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123</v>
      </c>
      <c r="D192" s="3"/>
      <c r="E192" s="3" t="s">
        <v>123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154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123</v>
      </c>
      <c r="D193" s="3"/>
      <c r="E193" s="3" t="s">
        <v>123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123</v>
      </c>
      <c r="D194" s="3"/>
      <c r="E194" s="3" t="s">
        <v>123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123</v>
      </c>
      <c r="D195" s="3"/>
      <c r="E195" s="3" t="s">
        <v>123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104</v>
      </c>
      <c r="O195" s="3"/>
      <c r="P195" s="3"/>
      <c r="Q195" s="3">
        <v>0.622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123</v>
      </c>
      <c r="D196" s="3"/>
      <c r="E196" s="3" t="s">
        <v>123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170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124</v>
      </c>
      <c r="D197" s="3"/>
      <c r="E197" s="3" t="s">
        <v>124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124</v>
      </c>
      <c r="D198" s="3"/>
      <c r="E198" s="3" t="s">
        <v>124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151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124</v>
      </c>
      <c r="D199" s="3"/>
      <c r="E199" s="3" t="s">
        <v>124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101</v>
      </c>
      <c r="O199" s="3"/>
      <c r="P199" s="3"/>
      <c r="Q199" s="3">
        <v>0.66300000000000003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124</v>
      </c>
      <c r="D200" s="3"/>
      <c r="E200" s="3" t="s">
        <v>124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152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124</v>
      </c>
      <c r="D201" s="3"/>
      <c r="E201" s="3" t="s">
        <v>124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103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124</v>
      </c>
      <c r="D202" s="3"/>
      <c r="E202" s="3" t="s">
        <v>124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124</v>
      </c>
      <c r="D203" s="3"/>
      <c r="E203" s="3" t="s">
        <v>124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153</v>
      </c>
      <c r="O203" s="3"/>
      <c r="P203" s="3"/>
      <c r="Q203" s="3">
        <v>0.1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124</v>
      </c>
      <c r="D204" s="3"/>
      <c r="E204" s="3" t="s">
        <v>124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154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124</v>
      </c>
      <c r="D205" s="3"/>
      <c r="E205" s="3" t="s">
        <v>124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124</v>
      </c>
      <c r="D206" s="3"/>
      <c r="E206" s="3" t="s">
        <v>124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124</v>
      </c>
      <c r="D207" s="3"/>
      <c r="E207" s="3" t="s">
        <v>124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104</v>
      </c>
      <c r="O207" s="3"/>
      <c r="P207" s="3"/>
      <c r="Q207" s="3">
        <v>0.70299999999999996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124</v>
      </c>
      <c r="D208" s="3"/>
      <c r="E208" s="3" t="s">
        <v>124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171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125</v>
      </c>
      <c r="D209" s="3"/>
      <c r="E209" s="3" t="s">
        <v>125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125</v>
      </c>
      <c r="D210" s="3"/>
      <c r="E210" s="3" t="s">
        <v>125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151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125</v>
      </c>
      <c r="D211" s="3"/>
      <c r="E211" s="3" t="s">
        <v>125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101</v>
      </c>
      <c r="O211" s="3"/>
      <c r="P211" s="3"/>
      <c r="Q211" s="3">
        <v>0.75800000000000001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125</v>
      </c>
      <c r="D212" s="3"/>
      <c r="E212" s="3" t="s">
        <v>125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152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125</v>
      </c>
      <c r="D213" s="3"/>
      <c r="E213" s="3" t="s">
        <v>125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103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125</v>
      </c>
      <c r="D214" s="3"/>
      <c r="E214" s="3" t="s">
        <v>125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125</v>
      </c>
      <c r="D215" s="3"/>
      <c r="E215" s="3" t="s">
        <v>125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153</v>
      </c>
      <c r="O215" s="3"/>
      <c r="P215" s="3"/>
      <c r="Q215" s="3">
        <v>0.11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125</v>
      </c>
      <c r="D216" s="3"/>
      <c r="E216" s="3" t="s">
        <v>125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154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125</v>
      </c>
      <c r="D217" s="3"/>
      <c r="E217" s="3" t="s">
        <v>125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125</v>
      </c>
      <c r="D218" s="3"/>
      <c r="E218" s="3" t="s">
        <v>125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125</v>
      </c>
      <c r="D219" s="3"/>
      <c r="E219" s="3" t="s">
        <v>125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104</v>
      </c>
      <c r="O219" s="3"/>
      <c r="P219" s="3"/>
      <c r="Q219" s="3">
        <v>0.78400000000000003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125</v>
      </c>
      <c r="D220" s="3"/>
      <c r="E220" s="3" t="s">
        <v>125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172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126</v>
      </c>
      <c r="D221" s="3"/>
      <c r="E221" s="3" t="s">
        <v>126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126</v>
      </c>
      <c r="D222" s="3"/>
      <c r="E222" s="3" t="s">
        <v>126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151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126</v>
      </c>
      <c r="D223" s="3"/>
      <c r="E223" s="3" t="s">
        <v>126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101</v>
      </c>
      <c r="O223" s="3"/>
      <c r="P223" s="3"/>
      <c r="Q223" s="3">
        <v>0.94799999999999995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126</v>
      </c>
      <c r="D224" s="3"/>
      <c r="E224" s="3" t="s">
        <v>126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152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126</v>
      </c>
      <c r="D225" s="3"/>
      <c r="E225" s="3" t="s">
        <v>126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103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126</v>
      </c>
      <c r="D226" s="3"/>
      <c r="E226" s="3" t="s">
        <v>126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126</v>
      </c>
      <c r="D227" s="3"/>
      <c r="E227" s="3" t="s">
        <v>126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153</v>
      </c>
      <c r="O227" s="3"/>
      <c r="P227" s="3"/>
      <c r="Q227" s="3">
        <v>0.13200000000000001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126</v>
      </c>
      <c r="D228" s="3"/>
      <c r="E228" s="3" t="s">
        <v>126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154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126</v>
      </c>
      <c r="D229" s="3"/>
      <c r="E229" s="3" t="s">
        <v>126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126</v>
      </c>
      <c r="D230" s="3"/>
      <c r="E230" s="3" t="s">
        <v>126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126</v>
      </c>
      <c r="D231" s="3"/>
      <c r="E231" s="3" t="s">
        <v>126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104</v>
      </c>
      <c r="O231" s="3"/>
      <c r="P231" s="3"/>
      <c r="Q231" s="3">
        <v>0.94599999999999995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126</v>
      </c>
      <c r="D232" s="3"/>
      <c r="E232" s="3" t="s">
        <v>126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173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127</v>
      </c>
      <c r="D233" s="3"/>
      <c r="E233" s="3" t="s">
        <v>127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127</v>
      </c>
      <c r="D234" s="3"/>
      <c r="E234" s="3" t="s">
        <v>127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151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127</v>
      </c>
      <c r="D235" s="3"/>
      <c r="E235" s="3" t="s">
        <v>127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101</v>
      </c>
      <c r="O235" s="3"/>
      <c r="P235" s="3"/>
      <c r="Q235" s="3">
        <v>1.042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127</v>
      </c>
      <c r="D236" s="3"/>
      <c r="E236" s="3" t="s">
        <v>127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152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127</v>
      </c>
      <c r="D237" s="3"/>
      <c r="E237" s="3" t="s">
        <v>127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103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127</v>
      </c>
      <c r="D238" s="3"/>
      <c r="E238" s="3" t="s">
        <v>127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127</v>
      </c>
      <c r="D239" s="3"/>
      <c r="E239" s="3" t="s">
        <v>127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153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127</v>
      </c>
      <c r="D240" s="3"/>
      <c r="E240" s="3" t="s">
        <v>127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154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127</v>
      </c>
      <c r="D241" s="3"/>
      <c r="E241" s="3" t="s">
        <v>127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127</v>
      </c>
      <c r="D242" s="3"/>
      <c r="E242" s="3" t="s">
        <v>127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127</v>
      </c>
      <c r="D243" s="3"/>
      <c r="E243" s="3" t="s">
        <v>127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104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127</v>
      </c>
      <c r="D244" s="3"/>
      <c r="E244" s="3" t="s">
        <v>127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174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128</v>
      </c>
      <c r="D245" s="3"/>
      <c r="E245" s="3" t="s">
        <v>128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128</v>
      </c>
      <c r="D246" s="3"/>
      <c r="E246" s="3" t="s">
        <v>128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151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128</v>
      </c>
      <c r="D247" s="3"/>
      <c r="E247" s="3" t="s">
        <v>128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1.137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128</v>
      </c>
      <c r="D248" s="3"/>
      <c r="E248" s="3" t="s">
        <v>128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152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128</v>
      </c>
      <c r="D249" s="3"/>
      <c r="E249" s="3" t="s">
        <v>128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103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128</v>
      </c>
      <c r="D250" s="3"/>
      <c r="E250" s="3" t="s">
        <v>128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128</v>
      </c>
      <c r="D251" s="3"/>
      <c r="E251" s="3" t="s">
        <v>128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153</v>
      </c>
      <c r="O251" s="3"/>
      <c r="P251" s="3"/>
      <c r="Q251" s="3">
        <v>0.153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128</v>
      </c>
      <c r="D252" s="3"/>
      <c r="E252" s="3" t="s">
        <v>128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154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128</v>
      </c>
      <c r="D253" s="3"/>
      <c r="E253" s="3" t="s">
        <v>128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128</v>
      </c>
      <c r="D254" s="3"/>
      <c r="E254" s="3" t="s">
        <v>128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128</v>
      </c>
      <c r="D255" s="3"/>
      <c r="E255" s="3" t="s">
        <v>128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104</v>
      </c>
      <c r="O255" s="3"/>
      <c r="P255" s="3"/>
      <c r="Q255" s="3">
        <v>1.1080000000000001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128</v>
      </c>
      <c r="D256" s="3"/>
      <c r="E256" s="3" t="s">
        <v>128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175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129</v>
      </c>
      <c r="D257" s="3"/>
      <c r="E257" s="3" t="s">
        <v>129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129</v>
      </c>
      <c r="D258" s="3"/>
      <c r="E258" s="3" t="s">
        <v>129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151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129</v>
      </c>
      <c r="D259" s="3"/>
      <c r="E259" s="3" t="s">
        <v>129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101</v>
      </c>
      <c r="O259" s="3"/>
      <c r="P259" s="3"/>
      <c r="Q259" s="3">
        <v>0.48599999999999999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129</v>
      </c>
      <c r="D260" s="3"/>
      <c r="E260" s="3" t="s">
        <v>129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152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129</v>
      </c>
      <c r="D261" s="3"/>
      <c r="E261" s="3" t="s">
        <v>129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103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129</v>
      </c>
      <c r="D262" s="3"/>
      <c r="E262" s="3" t="s">
        <v>129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129</v>
      </c>
      <c r="D263" s="3"/>
      <c r="E263" s="3" t="s">
        <v>129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153</v>
      </c>
      <c r="O263" s="3"/>
      <c r="P263" s="3"/>
      <c r="Q263" s="3">
        <v>7.8E-2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129</v>
      </c>
      <c r="D264" s="3"/>
      <c r="E264" s="3" t="s">
        <v>129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154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129</v>
      </c>
      <c r="D265" s="3"/>
      <c r="E265" s="3" t="s">
        <v>129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129</v>
      </c>
      <c r="D266" s="3"/>
      <c r="E266" s="3" t="s">
        <v>129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129</v>
      </c>
      <c r="D267" s="3"/>
      <c r="E267" s="3" t="s">
        <v>129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104</v>
      </c>
      <c r="O267" s="3"/>
      <c r="P267" s="3"/>
      <c r="Q267" s="3">
        <v>1.216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129</v>
      </c>
      <c r="D268" s="3"/>
      <c r="E268" s="3" t="s">
        <v>129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176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130</v>
      </c>
      <c r="D269" s="3"/>
      <c r="E269" s="3" t="s">
        <v>130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130</v>
      </c>
      <c r="D270" s="3"/>
      <c r="E270" s="3" t="s">
        <v>130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151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130</v>
      </c>
      <c r="D271" s="3"/>
      <c r="E271" s="3" t="s">
        <v>130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101</v>
      </c>
      <c r="O271" s="3"/>
      <c r="P271" s="3"/>
      <c r="Q271" s="3">
        <v>0.58299999999999996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130</v>
      </c>
      <c r="D272" s="3"/>
      <c r="E272" s="3" t="s">
        <v>130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152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130</v>
      </c>
      <c r="D273" s="3"/>
      <c r="E273" s="3" t="s">
        <v>130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103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130</v>
      </c>
      <c r="D274" s="3"/>
      <c r="E274" s="3" t="s">
        <v>130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130</v>
      </c>
      <c r="D275" s="3"/>
      <c r="E275" s="3" t="s">
        <v>130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153</v>
      </c>
      <c r="O275" s="3"/>
      <c r="P275" s="3"/>
      <c r="Q275" s="3">
        <v>8.8999999999999996E-2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130</v>
      </c>
      <c r="D276" s="3"/>
      <c r="E276" s="3" t="s">
        <v>130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154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130</v>
      </c>
      <c r="D277" s="3"/>
      <c r="E277" s="3" t="s">
        <v>130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130</v>
      </c>
      <c r="D278" s="3"/>
      <c r="E278" s="3" t="s">
        <v>130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130</v>
      </c>
      <c r="D279" s="3"/>
      <c r="E279" s="3" t="s">
        <v>130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104</v>
      </c>
      <c r="O279" s="3"/>
      <c r="P279" s="3"/>
      <c r="Q279" s="3">
        <v>1.216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130</v>
      </c>
      <c r="D280" s="3"/>
      <c r="E280" s="3" t="s">
        <v>130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177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131</v>
      </c>
      <c r="D281" s="3"/>
      <c r="E281" s="3" t="s">
        <v>131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131</v>
      </c>
      <c r="D282" s="3"/>
      <c r="E282" s="3" t="s">
        <v>131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151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131</v>
      </c>
      <c r="D283" s="3"/>
      <c r="E283" s="3" t="s">
        <v>131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101</v>
      </c>
      <c r="O283" s="3"/>
      <c r="P283" s="3"/>
      <c r="Q283" s="3">
        <v>0.68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131</v>
      </c>
      <c r="D284" s="3"/>
      <c r="E284" s="3" t="s">
        <v>131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152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131</v>
      </c>
      <c r="D285" s="3"/>
      <c r="E285" s="3" t="s">
        <v>131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103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131</v>
      </c>
      <c r="D286" s="3"/>
      <c r="E286" s="3" t="s">
        <v>131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131</v>
      </c>
      <c r="D287" s="3"/>
      <c r="E287" s="3" t="s">
        <v>131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153</v>
      </c>
      <c r="O287" s="3"/>
      <c r="P287" s="3"/>
      <c r="Q287" s="3">
        <v>0.1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131</v>
      </c>
      <c r="D288" s="3"/>
      <c r="E288" s="3" t="s">
        <v>131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154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131</v>
      </c>
      <c r="D289" s="3"/>
      <c r="E289" s="3" t="s">
        <v>131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131</v>
      </c>
      <c r="D290" s="3"/>
      <c r="E290" s="3" t="s">
        <v>131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131</v>
      </c>
      <c r="D291" s="3"/>
      <c r="E291" s="3" t="s">
        <v>131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104</v>
      </c>
      <c r="O291" s="3"/>
      <c r="P291" s="3"/>
      <c r="Q291" s="3">
        <v>1.216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131</v>
      </c>
      <c r="D292" s="3"/>
      <c r="E292" s="3" t="s">
        <v>131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178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132</v>
      </c>
      <c r="D293" s="3"/>
      <c r="E293" s="3" t="s">
        <v>132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132</v>
      </c>
      <c r="D294" s="3"/>
      <c r="E294" s="3" t="s">
        <v>132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151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132</v>
      </c>
      <c r="D295" s="3"/>
      <c r="E295" s="3" t="s">
        <v>132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101</v>
      </c>
      <c r="O295" s="3"/>
      <c r="P295" s="3"/>
      <c r="Q295" s="3">
        <v>0.77800000000000002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132</v>
      </c>
      <c r="D296" s="3"/>
      <c r="E296" s="3" t="s">
        <v>132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152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132</v>
      </c>
      <c r="D297" s="3"/>
      <c r="E297" s="3" t="s">
        <v>132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103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132</v>
      </c>
      <c r="D298" s="3"/>
      <c r="E298" s="3" t="s">
        <v>132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132</v>
      </c>
      <c r="D299" s="3"/>
      <c r="E299" s="3" t="s">
        <v>132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153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132</v>
      </c>
      <c r="D300" s="3"/>
      <c r="E300" s="3" t="s">
        <v>132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154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132</v>
      </c>
      <c r="D301" s="3"/>
      <c r="E301" s="3" t="s">
        <v>132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132</v>
      </c>
      <c r="D302" s="3"/>
      <c r="E302" s="3" t="s">
        <v>132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132</v>
      </c>
      <c r="D303" s="3"/>
      <c r="E303" s="3" t="s">
        <v>132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104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132</v>
      </c>
      <c r="D304" s="3"/>
      <c r="E304" s="3" t="s">
        <v>132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179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133</v>
      </c>
      <c r="D305" s="3"/>
      <c r="E305" s="3" t="s">
        <v>133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133</v>
      </c>
      <c r="D306" s="3"/>
      <c r="E306" s="3" t="s">
        <v>133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151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133</v>
      </c>
      <c r="D307" s="3"/>
      <c r="E307" s="3" t="s">
        <v>133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0.97199999999999998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133</v>
      </c>
      <c r="D308" s="3"/>
      <c r="E308" s="3" t="s">
        <v>133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152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133</v>
      </c>
      <c r="D309" s="3"/>
      <c r="E309" s="3" t="s">
        <v>133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103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133</v>
      </c>
      <c r="D310" s="3"/>
      <c r="E310" s="3" t="s">
        <v>133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133</v>
      </c>
      <c r="D311" s="3"/>
      <c r="E311" s="3" t="s">
        <v>133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153</v>
      </c>
      <c r="O311" s="3"/>
      <c r="P311" s="3"/>
      <c r="Q311" s="3">
        <v>0.13200000000000001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133</v>
      </c>
      <c r="D312" s="3"/>
      <c r="E312" s="3" t="s">
        <v>133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154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133</v>
      </c>
      <c r="D313" s="3"/>
      <c r="E313" s="3" t="s">
        <v>133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133</v>
      </c>
      <c r="D314" s="3"/>
      <c r="E314" s="3" t="s">
        <v>133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133</v>
      </c>
      <c r="D315" s="3"/>
      <c r="E315" s="3" t="s">
        <v>133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104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133</v>
      </c>
      <c r="D316" s="3"/>
      <c r="E316" s="3" t="s">
        <v>133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180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134</v>
      </c>
      <c r="D317" s="3"/>
      <c r="E317" s="3" t="s">
        <v>134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134</v>
      </c>
      <c r="D318" s="3"/>
      <c r="E318" s="3" t="s">
        <v>134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151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134</v>
      </c>
      <c r="D319" s="3"/>
      <c r="E319" s="3" t="s">
        <v>134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1.069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134</v>
      </c>
      <c r="D320" s="3"/>
      <c r="E320" s="3" t="s">
        <v>134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152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134</v>
      </c>
      <c r="D321" s="3"/>
      <c r="E321" s="3" t="s">
        <v>134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103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134</v>
      </c>
      <c r="D322" s="3"/>
      <c r="E322" s="3" t="s">
        <v>134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134</v>
      </c>
      <c r="D323" s="3"/>
      <c r="E323" s="3" t="s">
        <v>134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153</v>
      </c>
      <c r="O323" s="3"/>
      <c r="P323" s="3"/>
      <c r="Q323" s="3">
        <v>0.14199999999999999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134</v>
      </c>
      <c r="D324" s="3"/>
      <c r="E324" s="3" t="s">
        <v>134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154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134</v>
      </c>
      <c r="D325" s="3"/>
      <c r="E325" s="3" t="s">
        <v>134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134</v>
      </c>
      <c r="D326" s="3"/>
      <c r="E326" s="3" t="s">
        <v>134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134</v>
      </c>
      <c r="D327" s="3"/>
      <c r="E327" s="3" t="s">
        <v>134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104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134</v>
      </c>
      <c r="D328" s="3"/>
      <c r="E328" s="3" t="s">
        <v>134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135</v>
      </c>
      <c r="D329" s="3"/>
      <c r="E329" s="3" t="s">
        <v>135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135</v>
      </c>
      <c r="D330" s="3"/>
      <c r="E330" s="3" t="s">
        <v>135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151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135</v>
      </c>
      <c r="D331" s="3"/>
      <c r="E331" s="3" t="s">
        <v>135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101</v>
      </c>
      <c r="O331" s="3"/>
      <c r="P331" s="3"/>
      <c r="Q331" s="3">
        <v>1.1659999999999999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135</v>
      </c>
      <c r="D332" s="3"/>
      <c r="E332" s="3" t="s">
        <v>135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152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135</v>
      </c>
      <c r="D333" s="3"/>
      <c r="E333" s="3" t="s">
        <v>135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103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135</v>
      </c>
      <c r="D334" s="3"/>
      <c r="E334" s="3" t="s">
        <v>135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135</v>
      </c>
      <c r="D335" s="3"/>
      <c r="E335" s="3" t="s">
        <v>135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153</v>
      </c>
      <c r="O335" s="3"/>
      <c r="P335" s="3"/>
      <c r="Q335" s="3">
        <v>0.153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135</v>
      </c>
      <c r="D336" s="3"/>
      <c r="E336" s="3" t="s">
        <v>135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154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135</v>
      </c>
      <c r="D337" s="3"/>
      <c r="E337" s="3" t="s">
        <v>135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135</v>
      </c>
      <c r="D338" s="3"/>
      <c r="E338" s="3" t="s">
        <v>135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135</v>
      </c>
      <c r="D339" s="3"/>
      <c r="E339" s="3" t="s">
        <v>135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104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135</v>
      </c>
      <c r="D340" s="3"/>
      <c r="E340" s="3" t="s">
        <v>135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182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136</v>
      </c>
      <c r="D341" s="3"/>
      <c r="E341" s="3" t="s">
        <v>136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136</v>
      </c>
      <c r="D342" s="3"/>
      <c r="E342" s="3" t="s">
        <v>136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151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136</v>
      </c>
      <c r="D343" s="3"/>
      <c r="E343" s="3" t="s">
        <v>136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101</v>
      </c>
      <c r="O343" s="3"/>
      <c r="P343" s="3"/>
      <c r="Q343" s="3">
        <v>0.51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136</v>
      </c>
      <c r="D344" s="3"/>
      <c r="E344" s="3" t="s">
        <v>136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152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136</v>
      </c>
      <c r="D345" s="3"/>
      <c r="E345" s="3" t="s">
        <v>136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103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136</v>
      </c>
      <c r="D346" s="3"/>
      <c r="E346" s="3" t="s">
        <v>136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136</v>
      </c>
      <c r="D347" s="3"/>
      <c r="E347" s="3" t="s">
        <v>136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153</v>
      </c>
      <c r="O347" s="3"/>
      <c r="P347" s="3"/>
      <c r="Q347" s="3">
        <v>7.8E-2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136</v>
      </c>
      <c r="D348" s="3"/>
      <c r="E348" s="3" t="s">
        <v>136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154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136</v>
      </c>
      <c r="D349" s="3"/>
      <c r="E349" s="3" t="s">
        <v>136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136</v>
      </c>
      <c r="D350" s="3"/>
      <c r="E350" s="3" t="s">
        <v>136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136</v>
      </c>
      <c r="D351" s="3"/>
      <c r="E351" s="3" t="s">
        <v>136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104</v>
      </c>
      <c r="O351" s="3"/>
      <c r="P351" s="3"/>
      <c r="Q351" s="3">
        <v>1.27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136</v>
      </c>
      <c r="D352" s="3"/>
      <c r="E352" s="3" t="s">
        <v>136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183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137</v>
      </c>
      <c r="D353" s="3"/>
      <c r="E353" s="3" t="s">
        <v>137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137</v>
      </c>
      <c r="D354" s="3"/>
      <c r="E354" s="3" t="s">
        <v>137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151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137</v>
      </c>
      <c r="D355" s="3"/>
      <c r="E355" s="3" t="s">
        <v>137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101</v>
      </c>
      <c r="O355" s="3"/>
      <c r="P355" s="3"/>
      <c r="Q355" s="3">
        <v>0.61199999999999999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137</v>
      </c>
      <c r="D356" s="3"/>
      <c r="E356" s="3" t="s">
        <v>137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152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137</v>
      </c>
      <c r="D357" s="3"/>
      <c r="E357" s="3" t="s">
        <v>137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103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137</v>
      </c>
      <c r="D358" s="3"/>
      <c r="E358" s="3" t="s">
        <v>137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137</v>
      </c>
      <c r="D359" s="3"/>
      <c r="E359" s="3" t="s">
        <v>137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153</v>
      </c>
      <c r="O359" s="3"/>
      <c r="P359" s="3"/>
      <c r="Q359" s="3">
        <v>8.8999999999999996E-2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137</v>
      </c>
      <c r="D360" s="3"/>
      <c r="E360" s="3" t="s">
        <v>137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154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137</v>
      </c>
      <c r="D361" s="3"/>
      <c r="E361" s="3" t="s">
        <v>137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137</v>
      </c>
      <c r="D362" s="3"/>
      <c r="E362" s="3" t="s">
        <v>137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137</v>
      </c>
      <c r="D363" s="3"/>
      <c r="E363" s="3" t="s">
        <v>137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104</v>
      </c>
      <c r="O363" s="3"/>
      <c r="P363" s="3"/>
      <c r="Q363" s="3">
        <v>1.27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137</v>
      </c>
      <c r="D364" s="3"/>
      <c r="E364" s="3" t="s">
        <v>137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184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138</v>
      </c>
      <c r="D365" s="3"/>
      <c r="E365" s="3" t="s">
        <v>138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138</v>
      </c>
      <c r="D366" s="3"/>
      <c r="E366" s="3" t="s">
        <v>138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151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138</v>
      </c>
      <c r="D367" s="3"/>
      <c r="E367" s="3" t="s">
        <v>138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0.71399999999999997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138</v>
      </c>
      <c r="D368" s="3"/>
      <c r="E368" s="3" t="s">
        <v>138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152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138</v>
      </c>
      <c r="D369" s="3"/>
      <c r="E369" s="3" t="s">
        <v>138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103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138</v>
      </c>
      <c r="D370" s="3"/>
      <c r="E370" s="3" t="s">
        <v>138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138</v>
      </c>
      <c r="D371" s="3"/>
      <c r="E371" s="3" t="s">
        <v>138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153</v>
      </c>
      <c r="O371" s="3"/>
      <c r="P371" s="3"/>
      <c r="Q371" s="3">
        <v>0.1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138</v>
      </c>
      <c r="D372" s="3"/>
      <c r="E372" s="3" t="s">
        <v>138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154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138</v>
      </c>
      <c r="D373" s="3"/>
      <c r="E373" s="3" t="s">
        <v>138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138</v>
      </c>
      <c r="D374" s="3"/>
      <c r="E374" s="3" t="s">
        <v>138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138</v>
      </c>
      <c r="D375" s="3"/>
      <c r="E375" s="3" t="s">
        <v>138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104</v>
      </c>
      <c r="O375" s="3"/>
      <c r="P375" s="3"/>
      <c r="Q375" s="3">
        <v>1.27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138</v>
      </c>
      <c r="D376" s="3"/>
      <c r="E376" s="3" t="s">
        <v>138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185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139</v>
      </c>
      <c r="D377" s="3"/>
      <c r="E377" s="3" t="s">
        <v>139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139</v>
      </c>
      <c r="D378" s="3"/>
      <c r="E378" s="3" t="s">
        <v>139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151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139</v>
      </c>
      <c r="D379" s="3"/>
      <c r="E379" s="3" t="s">
        <v>139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101</v>
      </c>
      <c r="O379" s="3"/>
      <c r="P379" s="3"/>
      <c r="Q379" s="3">
        <v>0.81599999999999995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139</v>
      </c>
      <c r="D380" s="3"/>
      <c r="E380" s="3" t="s">
        <v>139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152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139</v>
      </c>
      <c r="D381" s="3"/>
      <c r="E381" s="3" t="s">
        <v>139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103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139</v>
      </c>
      <c r="D382" s="3"/>
      <c r="E382" s="3" t="s">
        <v>139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139</v>
      </c>
      <c r="D383" s="3"/>
      <c r="E383" s="3" t="s">
        <v>139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153</v>
      </c>
      <c r="O383" s="3"/>
      <c r="P383" s="3"/>
      <c r="Q383" s="3">
        <v>0.11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139</v>
      </c>
      <c r="D384" s="3"/>
      <c r="E384" s="3" t="s">
        <v>139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154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139</v>
      </c>
      <c r="D385" s="3"/>
      <c r="E385" s="3" t="s">
        <v>139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139</v>
      </c>
      <c r="D386" s="3"/>
      <c r="E386" s="3" t="s">
        <v>139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139</v>
      </c>
      <c r="D387" s="3"/>
      <c r="E387" s="3" t="s">
        <v>139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104</v>
      </c>
      <c r="O387" s="3"/>
      <c r="P387" s="3"/>
      <c r="Q387" s="3">
        <v>1.27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139</v>
      </c>
      <c r="D388" s="3"/>
      <c r="E388" s="3" t="s">
        <v>139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186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140</v>
      </c>
      <c r="D389" s="3"/>
      <c r="E389" s="3" t="s">
        <v>140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140</v>
      </c>
      <c r="D390" s="3"/>
      <c r="E390" s="3" t="s">
        <v>140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140</v>
      </c>
      <c r="D391" s="3"/>
      <c r="E391" s="3" t="s">
        <v>140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101</v>
      </c>
      <c r="O391" s="3"/>
      <c r="P391" s="3"/>
      <c r="Q391" s="3">
        <v>1.0209999999999999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140</v>
      </c>
      <c r="D392" s="3"/>
      <c r="E392" s="3" t="s">
        <v>140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152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140</v>
      </c>
      <c r="D393" s="3"/>
      <c r="E393" s="3" t="s">
        <v>140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103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140</v>
      </c>
      <c r="D394" s="3"/>
      <c r="E394" s="3" t="s">
        <v>140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140</v>
      </c>
      <c r="D395" s="3"/>
      <c r="E395" s="3" t="s">
        <v>140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153</v>
      </c>
      <c r="O395" s="3"/>
      <c r="P395" s="3"/>
      <c r="Q395" s="3">
        <v>0.13200000000000001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140</v>
      </c>
      <c r="D396" s="3"/>
      <c r="E396" s="3" t="s">
        <v>140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154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140</v>
      </c>
      <c r="D397" s="3"/>
      <c r="E397" s="3" t="s">
        <v>140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140</v>
      </c>
      <c r="D398" s="3"/>
      <c r="E398" s="3" t="s">
        <v>140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140</v>
      </c>
      <c r="D399" s="3"/>
      <c r="E399" s="3" t="s">
        <v>140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104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140</v>
      </c>
      <c r="D400" s="3"/>
      <c r="E400" s="3" t="s">
        <v>140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187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141</v>
      </c>
      <c r="D401" s="3"/>
      <c r="E401" s="3" t="s">
        <v>141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141</v>
      </c>
      <c r="D402" s="3"/>
      <c r="E402" s="3" t="s">
        <v>141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151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141</v>
      </c>
      <c r="D403" s="3"/>
      <c r="E403" s="3" t="s">
        <v>141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101</v>
      </c>
      <c r="O403" s="3"/>
      <c r="P403" s="3"/>
      <c r="Q403" s="3">
        <v>1.123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141</v>
      </c>
      <c r="D404" s="3"/>
      <c r="E404" s="3" t="s">
        <v>141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152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141</v>
      </c>
      <c r="D405" s="3"/>
      <c r="E405" s="3" t="s">
        <v>141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103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141</v>
      </c>
      <c r="D406" s="3"/>
      <c r="E406" s="3" t="s">
        <v>141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141</v>
      </c>
      <c r="D407" s="3"/>
      <c r="E407" s="3" t="s">
        <v>141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153</v>
      </c>
      <c r="O407" s="3"/>
      <c r="P407" s="3"/>
      <c r="Q407" s="3">
        <v>0.14199999999999999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141</v>
      </c>
      <c r="D408" s="3"/>
      <c r="E408" s="3" t="s">
        <v>141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154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141</v>
      </c>
      <c r="D409" s="3"/>
      <c r="E409" s="3" t="s">
        <v>141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141</v>
      </c>
      <c r="D410" s="3"/>
      <c r="E410" s="3" t="s">
        <v>141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141</v>
      </c>
      <c r="D411" s="3"/>
      <c r="E411" s="3" t="s">
        <v>141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104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141</v>
      </c>
      <c r="D412" s="3"/>
      <c r="E412" s="3" t="s">
        <v>141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188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142</v>
      </c>
      <c r="D413" s="3"/>
      <c r="E413" s="3" t="s">
        <v>142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142</v>
      </c>
      <c r="D414" s="3"/>
      <c r="E414" s="3" t="s">
        <v>142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151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142</v>
      </c>
      <c r="D415" s="3"/>
      <c r="E415" s="3" t="s">
        <v>142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101</v>
      </c>
      <c r="O415" s="3"/>
      <c r="P415" s="3"/>
      <c r="Q415" s="3">
        <v>1.2250000000000001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142</v>
      </c>
      <c r="D416" s="3"/>
      <c r="E416" s="3" t="s">
        <v>142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152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142</v>
      </c>
      <c r="D417" s="3"/>
      <c r="E417" s="3" t="s">
        <v>142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103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142</v>
      </c>
      <c r="D418" s="3"/>
      <c r="E418" s="3" t="s">
        <v>142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142</v>
      </c>
      <c r="D419" s="3"/>
      <c r="E419" s="3" t="s">
        <v>142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153</v>
      </c>
      <c r="O419" s="3"/>
      <c r="P419" s="3"/>
      <c r="Q419" s="3">
        <v>0.153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142</v>
      </c>
      <c r="D420" s="3"/>
      <c r="E420" s="3" t="s">
        <v>142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154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142</v>
      </c>
      <c r="D421" s="3"/>
      <c r="E421" s="3" t="s">
        <v>142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142</v>
      </c>
      <c r="D422" s="3"/>
      <c r="E422" s="3" t="s">
        <v>142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142</v>
      </c>
      <c r="D423" s="3"/>
      <c r="E423" s="3" t="s">
        <v>142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104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142</v>
      </c>
      <c r="D424" s="3"/>
      <c r="E424" s="3" t="s">
        <v>142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189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151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0.48099999999999998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152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103</v>
      </c>
      <c r="O429" s="3"/>
      <c r="P429" s="3"/>
      <c r="Q429" s="3">
        <v>16.154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100.28700000000001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153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104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193</v>
      </c>
      <c r="D437" s="3"/>
      <c r="E437" s="3" t="s">
        <v>193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193</v>
      </c>
      <c r="D438" s="3"/>
      <c r="E438" s="3" t="s">
        <v>193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151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193</v>
      </c>
      <c r="D439" s="3"/>
      <c r="E439" s="3" t="s">
        <v>193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101</v>
      </c>
      <c r="O439" s="3"/>
      <c r="P439" s="3"/>
      <c r="Q439" s="3">
        <v>0.56899999999999995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193</v>
      </c>
      <c r="D440" s="3"/>
      <c r="E440" s="3" t="s">
        <v>193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193</v>
      </c>
      <c r="D441" s="3"/>
      <c r="E441" s="3" t="s">
        <v>193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103</v>
      </c>
      <c r="O441" s="3"/>
      <c r="P441" s="3"/>
      <c r="Q441" s="3">
        <v>17.068999999999999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193</v>
      </c>
      <c r="D442" s="3"/>
      <c r="E442" s="3" t="s">
        <v>193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105.91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193</v>
      </c>
      <c r="D443" s="3"/>
      <c r="E443" s="3" t="s">
        <v>193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153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193</v>
      </c>
      <c r="D444" s="3"/>
      <c r="E444" s="3" t="s">
        <v>193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193</v>
      </c>
      <c r="D445" s="3"/>
      <c r="E445" s="3" t="s">
        <v>193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193</v>
      </c>
      <c r="D446" s="3"/>
      <c r="E446" s="3" t="s">
        <v>193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193</v>
      </c>
      <c r="D447" s="3"/>
      <c r="E447" s="3" t="s">
        <v>193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104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193</v>
      </c>
      <c r="D448" s="3"/>
      <c r="E448" s="3" t="s">
        <v>193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195</v>
      </c>
      <c r="D449" s="3"/>
      <c r="E449" s="3" t="s">
        <v>195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195</v>
      </c>
      <c r="D450" s="3"/>
      <c r="E450" s="3" t="s">
        <v>195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151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195</v>
      </c>
      <c r="D451" s="3"/>
      <c r="E451" s="3" t="s">
        <v>195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101</v>
      </c>
      <c r="O451" s="3"/>
      <c r="P451" s="3"/>
      <c r="Q451" s="3">
        <v>0.65600000000000003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195</v>
      </c>
      <c r="D452" s="3"/>
      <c r="E452" s="3" t="s">
        <v>195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152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195</v>
      </c>
      <c r="D453" s="3"/>
      <c r="E453" s="3" t="s">
        <v>195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103</v>
      </c>
      <c r="O453" s="3"/>
      <c r="P453" s="3"/>
      <c r="Q453" s="3">
        <v>17.983000000000001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195</v>
      </c>
      <c r="D454" s="3"/>
      <c r="E454" s="3" t="s">
        <v>195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111.53400000000001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195</v>
      </c>
      <c r="D455" s="3"/>
      <c r="E455" s="3" t="s">
        <v>195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153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195</v>
      </c>
      <c r="D456" s="3"/>
      <c r="E456" s="3" t="s">
        <v>195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195</v>
      </c>
      <c r="D457" s="3"/>
      <c r="E457" s="3" t="s">
        <v>195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195</v>
      </c>
      <c r="D458" s="3"/>
      <c r="E458" s="3" t="s">
        <v>195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195</v>
      </c>
      <c r="D459" s="3"/>
      <c r="E459" s="3" t="s">
        <v>195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104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195</v>
      </c>
      <c r="D460" s="3"/>
      <c r="E460" s="3" t="s">
        <v>195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197</v>
      </c>
      <c r="D461" s="3"/>
      <c r="E461" s="3" t="s">
        <v>197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197</v>
      </c>
      <c r="D462" s="3"/>
      <c r="E462" s="3" t="s">
        <v>197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151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197</v>
      </c>
      <c r="D463" s="3"/>
      <c r="E463" s="3" t="s">
        <v>197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101</v>
      </c>
      <c r="O463" s="3"/>
      <c r="P463" s="3"/>
      <c r="Q463" s="3">
        <v>0.74399999999999999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197</v>
      </c>
      <c r="D464" s="3"/>
      <c r="E464" s="3" t="s">
        <v>197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152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197</v>
      </c>
      <c r="D465" s="3"/>
      <c r="E465" s="3" t="s">
        <v>197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103</v>
      </c>
      <c r="O465" s="3"/>
      <c r="P465" s="3"/>
      <c r="Q465" s="3">
        <v>18.898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197</v>
      </c>
      <c r="D466" s="3"/>
      <c r="E466" s="3" t="s">
        <v>197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117.158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197</v>
      </c>
      <c r="D467" s="3"/>
      <c r="E467" s="3" t="s">
        <v>197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153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197</v>
      </c>
      <c r="D468" s="3"/>
      <c r="E468" s="3" t="s">
        <v>197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197</v>
      </c>
      <c r="D469" s="3"/>
      <c r="E469" s="3" t="s">
        <v>197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197</v>
      </c>
      <c r="D470" s="3"/>
      <c r="E470" s="3" t="s">
        <v>197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197</v>
      </c>
      <c r="D471" s="3"/>
      <c r="E471" s="3" t="s">
        <v>197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104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197</v>
      </c>
      <c r="D472" s="3"/>
      <c r="E472" s="3" t="s">
        <v>197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199</v>
      </c>
      <c r="D473" s="3"/>
      <c r="E473" s="3" t="s">
        <v>199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199</v>
      </c>
      <c r="D474" s="3"/>
      <c r="E474" s="3" t="s">
        <v>199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151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199</v>
      </c>
      <c r="D475" s="3"/>
      <c r="E475" s="3" t="s">
        <v>199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0.78700000000000003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199</v>
      </c>
      <c r="D476" s="3"/>
      <c r="E476" s="3" t="s">
        <v>199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152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199</v>
      </c>
      <c r="D477" s="3"/>
      <c r="E477" s="3" t="s">
        <v>199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103</v>
      </c>
      <c r="O477" s="3"/>
      <c r="P477" s="3"/>
      <c r="Q477" s="3">
        <v>19.355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199</v>
      </c>
      <c r="D478" s="3"/>
      <c r="E478" s="3" t="s">
        <v>199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119.96899999999999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199</v>
      </c>
      <c r="D479" s="3"/>
      <c r="E479" s="3" t="s">
        <v>199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153</v>
      </c>
      <c r="O479" s="3"/>
      <c r="P479" s="3"/>
      <c r="Q479" s="3">
        <v>0.11600000000000001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199</v>
      </c>
      <c r="D480" s="3"/>
      <c r="E480" s="3" t="s">
        <v>199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199</v>
      </c>
      <c r="D481" s="3"/>
      <c r="E481" s="3" t="s">
        <v>199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199</v>
      </c>
      <c r="D482" s="3"/>
      <c r="E482" s="3" t="s">
        <v>199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199</v>
      </c>
      <c r="D483" s="3"/>
      <c r="E483" s="3" t="s">
        <v>199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104</v>
      </c>
      <c r="O483" s="3"/>
      <c r="P483" s="3"/>
      <c r="Q483" s="3">
        <v>0.82399999999999995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199</v>
      </c>
      <c r="D484" s="3"/>
      <c r="E484" s="3" t="s">
        <v>199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200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201</v>
      </c>
      <c r="D485" s="3"/>
      <c r="E485" s="3" t="s">
        <v>201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201</v>
      </c>
      <c r="D486" s="3"/>
      <c r="E486" s="3" t="s">
        <v>201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151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201</v>
      </c>
      <c r="D487" s="3"/>
      <c r="E487" s="3" t="s">
        <v>201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0.83099999999999996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201</v>
      </c>
      <c r="D488" s="3"/>
      <c r="E488" s="3" t="s">
        <v>201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152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201</v>
      </c>
      <c r="D489" s="3"/>
      <c r="E489" s="3" t="s">
        <v>201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103</v>
      </c>
      <c r="O489" s="3"/>
      <c r="P489" s="3"/>
      <c r="Q489" s="3">
        <v>19.812000000000001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201</v>
      </c>
      <c r="D490" s="3"/>
      <c r="E490" s="3" t="s">
        <v>201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122.78100000000001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201</v>
      </c>
      <c r="D491" s="3"/>
      <c r="E491" s="3" t="s">
        <v>201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153</v>
      </c>
      <c r="O491" s="3"/>
      <c r="P491" s="3"/>
      <c r="Q491" s="3">
        <v>0.121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201</v>
      </c>
      <c r="D492" s="3"/>
      <c r="E492" s="3" t="s">
        <v>201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191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201</v>
      </c>
      <c r="D493" s="3"/>
      <c r="E493" s="3" t="s">
        <v>201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201</v>
      </c>
      <c r="D494" s="3"/>
      <c r="E494" s="3" t="s">
        <v>201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201</v>
      </c>
      <c r="D495" s="3"/>
      <c r="E495" s="3" t="s">
        <v>201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104</v>
      </c>
      <c r="O495" s="3"/>
      <c r="P495" s="3"/>
      <c r="Q495" s="3">
        <v>0.86499999999999999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201</v>
      </c>
      <c r="D496" s="3"/>
      <c r="E496" s="3" t="s">
        <v>201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202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203</v>
      </c>
      <c r="D497" s="3"/>
      <c r="E497" s="3" t="s">
        <v>203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203</v>
      </c>
      <c r="D498" s="3"/>
      <c r="E498" s="3" t="s">
        <v>203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151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203</v>
      </c>
      <c r="D499" s="3"/>
      <c r="E499" s="3" t="s">
        <v>203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101</v>
      </c>
      <c r="O499" s="3"/>
      <c r="P499" s="3"/>
      <c r="Q499" s="3">
        <v>0.91900000000000004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203</v>
      </c>
      <c r="D500" s="3"/>
      <c r="E500" s="3" t="s">
        <v>203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152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203</v>
      </c>
      <c r="D501" s="3"/>
      <c r="E501" s="3" t="s">
        <v>203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103</v>
      </c>
      <c r="O501" s="3"/>
      <c r="P501" s="3"/>
      <c r="Q501" s="3">
        <v>20.725999999999999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203</v>
      </c>
      <c r="D502" s="3"/>
      <c r="E502" s="3" t="s">
        <v>203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128.405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203</v>
      </c>
      <c r="D503" s="3"/>
      <c r="E503" s="3" t="s">
        <v>203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153</v>
      </c>
      <c r="O503" s="3"/>
      <c r="P503" s="3"/>
      <c r="Q503" s="3">
        <v>0.13200000000000001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203</v>
      </c>
      <c r="D504" s="3"/>
      <c r="E504" s="3" t="s">
        <v>203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203</v>
      </c>
      <c r="D505" s="3"/>
      <c r="E505" s="3" t="s">
        <v>203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203</v>
      </c>
      <c r="D506" s="3"/>
      <c r="E506" s="3" t="s">
        <v>203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203</v>
      </c>
      <c r="D507" s="3"/>
      <c r="E507" s="3" t="s">
        <v>203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104</v>
      </c>
      <c r="O507" s="3"/>
      <c r="P507" s="3"/>
      <c r="Q507" s="3">
        <v>0.94599999999999995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203</v>
      </c>
      <c r="D508" s="3"/>
      <c r="E508" s="3" t="s">
        <v>203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204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205</v>
      </c>
      <c r="D509" s="3"/>
      <c r="E509" s="3" t="s">
        <v>205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205</v>
      </c>
      <c r="D510" s="3"/>
      <c r="E510" s="3" t="s">
        <v>205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151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205</v>
      </c>
      <c r="D511" s="3"/>
      <c r="E511" s="3" t="s">
        <v>205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101</v>
      </c>
      <c r="O511" s="3"/>
      <c r="P511" s="3"/>
      <c r="Q511" s="3">
        <v>1.006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205</v>
      </c>
      <c r="D512" s="3"/>
      <c r="E512" s="3" t="s">
        <v>205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152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205</v>
      </c>
      <c r="D513" s="3"/>
      <c r="E513" s="3" t="s">
        <v>205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103</v>
      </c>
      <c r="O513" s="3"/>
      <c r="P513" s="3"/>
      <c r="Q513" s="3">
        <v>21.640999999999998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205</v>
      </c>
      <c r="D514" s="3"/>
      <c r="E514" s="3" t="s">
        <v>205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134.02799999999999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205</v>
      </c>
      <c r="D515" s="3"/>
      <c r="E515" s="3" t="s">
        <v>205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153</v>
      </c>
      <c r="O515" s="3"/>
      <c r="P515" s="3"/>
      <c r="Q515" s="3">
        <v>0.14199999999999999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205</v>
      </c>
      <c r="D516" s="3"/>
      <c r="E516" s="3" t="s">
        <v>205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191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205</v>
      </c>
      <c r="D517" s="3"/>
      <c r="E517" s="3" t="s">
        <v>205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205</v>
      </c>
      <c r="D518" s="3"/>
      <c r="E518" s="3" t="s">
        <v>205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205</v>
      </c>
      <c r="D519" s="3"/>
      <c r="E519" s="3" t="s">
        <v>205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104</v>
      </c>
      <c r="O519" s="3"/>
      <c r="P519" s="3"/>
      <c r="Q519" s="3">
        <v>1.0269999999999999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205</v>
      </c>
      <c r="D520" s="3"/>
      <c r="E520" s="3" t="s">
        <v>205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207</v>
      </c>
      <c r="D521" s="3"/>
      <c r="E521" s="3" t="s">
        <v>207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207</v>
      </c>
      <c r="D522" s="3"/>
      <c r="E522" s="3" t="s">
        <v>207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151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207</v>
      </c>
      <c r="D523" s="3"/>
      <c r="E523" s="3" t="s">
        <v>207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101</v>
      </c>
      <c r="O523" s="3"/>
      <c r="P523" s="3"/>
      <c r="Q523" s="3">
        <v>0.501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207</v>
      </c>
      <c r="D524" s="3"/>
      <c r="E524" s="3" t="s">
        <v>207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152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207</v>
      </c>
      <c r="D525" s="3"/>
      <c r="E525" s="3" t="s">
        <v>207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103</v>
      </c>
      <c r="O525" s="3"/>
      <c r="P525" s="3"/>
      <c r="Q525" s="3">
        <v>16.611999999999998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207</v>
      </c>
      <c r="D526" s="3"/>
      <c r="E526" s="3" t="s">
        <v>207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103.099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207</v>
      </c>
      <c r="D527" s="3"/>
      <c r="E527" s="3" t="s">
        <v>207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153</v>
      </c>
      <c r="O527" s="3"/>
      <c r="P527" s="3"/>
      <c r="Q527" s="3">
        <v>7.8E-2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207</v>
      </c>
      <c r="D528" s="3"/>
      <c r="E528" s="3" t="s">
        <v>207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191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207</v>
      </c>
      <c r="D529" s="3"/>
      <c r="E529" s="3" t="s">
        <v>207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207</v>
      </c>
      <c r="D530" s="3"/>
      <c r="E530" s="3" t="s">
        <v>207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207</v>
      </c>
      <c r="D531" s="3"/>
      <c r="E531" s="3" t="s">
        <v>207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104</v>
      </c>
      <c r="O531" s="3"/>
      <c r="P531" s="3"/>
      <c r="Q531" s="3">
        <v>0.54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207</v>
      </c>
      <c r="D532" s="3"/>
      <c r="E532" s="3" t="s">
        <v>207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209</v>
      </c>
      <c r="D533" s="3"/>
      <c r="E533" s="3" t="s">
        <v>209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209</v>
      </c>
      <c r="D534" s="3"/>
      <c r="E534" s="3" t="s">
        <v>209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151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209</v>
      </c>
      <c r="D535" s="3"/>
      <c r="E535" s="3" t="s">
        <v>209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101</v>
      </c>
      <c r="O535" s="3"/>
      <c r="P535" s="3"/>
      <c r="Q535" s="3">
        <v>0.59199999999999997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209</v>
      </c>
      <c r="D536" s="3"/>
      <c r="E536" s="3" t="s">
        <v>209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152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209</v>
      </c>
      <c r="D537" s="3"/>
      <c r="E537" s="3" t="s">
        <v>209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103</v>
      </c>
      <c r="O537" s="3"/>
      <c r="P537" s="3"/>
      <c r="Q537" s="3">
        <v>17.526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209</v>
      </c>
      <c r="D538" s="3"/>
      <c r="E538" s="3" t="s">
        <v>209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108.72199999999999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209</v>
      </c>
      <c r="D539" s="3"/>
      <c r="E539" s="3" t="s">
        <v>209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153</v>
      </c>
      <c r="O539" s="3"/>
      <c r="P539" s="3"/>
      <c r="Q539" s="3">
        <v>8.8999999999999996E-2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209</v>
      </c>
      <c r="D540" s="3"/>
      <c r="E540" s="3" t="s">
        <v>209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191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209</v>
      </c>
      <c r="D541" s="3"/>
      <c r="E541" s="3" t="s">
        <v>209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209</v>
      </c>
      <c r="D542" s="3"/>
      <c r="E542" s="3" t="s">
        <v>209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209</v>
      </c>
      <c r="D543" s="3"/>
      <c r="E543" s="3" t="s">
        <v>209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104</v>
      </c>
      <c r="O543" s="3"/>
      <c r="P543" s="3"/>
      <c r="Q543" s="3">
        <v>0.622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209</v>
      </c>
      <c r="D544" s="3"/>
      <c r="E544" s="3" t="s">
        <v>209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210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211</v>
      </c>
      <c r="D545" s="3"/>
      <c r="E545" s="3" t="s">
        <v>211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211</v>
      </c>
      <c r="D546" s="3"/>
      <c r="E546" s="3" t="s">
        <v>211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151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211</v>
      </c>
      <c r="D547" s="3"/>
      <c r="E547" s="3" t="s">
        <v>211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0.68300000000000005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211</v>
      </c>
      <c r="D548" s="3"/>
      <c r="E548" s="3" t="s">
        <v>211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152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211</v>
      </c>
      <c r="D549" s="3"/>
      <c r="E549" s="3" t="s">
        <v>211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103</v>
      </c>
      <c r="O549" s="3"/>
      <c r="P549" s="3"/>
      <c r="Q549" s="3">
        <v>18.440000000000001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211</v>
      </c>
      <c r="D550" s="3"/>
      <c r="E550" s="3" t="s">
        <v>211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114.346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211</v>
      </c>
      <c r="D551" s="3"/>
      <c r="E551" s="3" t="s">
        <v>211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153</v>
      </c>
      <c r="O551" s="3"/>
      <c r="P551" s="3"/>
      <c r="Q551" s="3">
        <v>0.1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211</v>
      </c>
      <c r="D552" s="3"/>
      <c r="E552" s="3" t="s">
        <v>211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191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211</v>
      </c>
      <c r="D553" s="3"/>
      <c r="E553" s="3" t="s">
        <v>211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211</v>
      </c>
      <c r="D554" s="3"/>
      <c r="E554" s="3" t="s">
        <v>211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211</v>
      </c>
      <c r="D555" s="3"/>
      <c r="E555" s="3" t="s">
        <v>211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104</v>
      </c>
      <c r="O555" s="3"/>
      <c r="P555" s="3"/>
      <c r="Q555" s="3">
        <v>0.70299999999999996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211</v>
      </c>
      <c r="D556" s="3"/>
      <c r="E556" s="3" t="s">
        <v>211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212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213</v>
      </c>
      <c r="D557" s="3"/>
      <c r="E557" s="3" t="s">
        <v>213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213</v>
      </c>
      <c r="D558" s="3"/>
      <c r="E558" s="3" t="s">
        <v>213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151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213</v>
      </c>
      <c r="D559" s="3"/>
      <c r="E559" s="3" t="s">
        <v>213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101</v>
      </c>
      <c r="O559" s="3"/>
      <c r="P559" s="3"/>
      <c r="Q559" s="3">
        <v>0.77500000000000002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213</v>
      </c>
      <c r="D560" s="3"/>
      <c r="E560" s="3" t="s">
        <v>213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152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213</v>
      </c>
      <c r="D561" s="3"/>
      <c r="E561" s="3" t="s">
        <v>213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103</v>
      </c>
      <c r="O561" s="3"/>
      <c r="P561" s="3"/>
      <c r="Q561" s="3">
        <v>19.355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213</v>
      </c>
      <c r="D562" s="3"/>
      <c r="E562" s="3" t="s">
        <v>213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119.96899999999999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213</v>
      </c>
      <c r="D563" s="3"/>
      <c r="E563" s="3" t="s">
        <v>213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153</v>
      </c>
      <c r="O563" s="3"/>
      <c r="P563" s="3"/>
      <c r="Q563" s="3">
        <v>0.11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213</v>
      </c>
      <c r="D564" s="3"/>
      <c r="E564" s="3" t="s">
        <v>213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191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213</v>
      </c>
      <c r="D565" s="3"/>
      <c r="E565" s="3" t="s">
        <v>213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213</v>
      </c>
      <c r="D566" s="3"/>
      <c r="E566" s="3" t="s">
        <v>213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213</v>
      </c>
      <c r="D567" s="3"/>
      <c r="E567" s="3" t="s">
        <v>213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104</v>
      </c>
      <c r="O567" s="3"/>
      <c r="P567" s="3"/>
      <c r="Q567" s="3">
        <v>0.78400000000000003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213</v>
      </c>
      <c r="D568" s="3"/>
      <c r="E568" s="3" t="s">
        <v>213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214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215</v>
      </c>
      <c r="D569" s="3"/>
      <c r="E569" s="3" t="s">
        <v>215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215</v>
      </c>
      <c r="D570" s="3"/>
      <c r="E570" s="3" t="s">
        <v>215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151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215</v>
      </c>
      <c r="D571" s="3"/>
      <c r="E571" s="3" t="s">
        <v>215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101</v>
      </c>
      <c r="O571" s="3"/>
      <c r="P571" s="3"/>
      <c r="Q571" s="3">
        <v>0.82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215</v>
      </c>
      <c r="D572" s="3"/>
      <c r="E572" s="3" t="s">
        <v>215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152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215</v>
      </c>
      <c r="D573" s="3"/>
      <c r="E573" s="3" t="s">
        <v>215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103</v>
      </c>
      <c r="O573" s="3"/>
      <c r="P573" s="3"/>
      <c r="Q573" s="3">
        <v>19.812000000000001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215</v>
      </c>
      <c r="D574" s="3"/>
      <c r="E574" s="3" t="s">
        <v>215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122.78100000000001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215</v>
      </c>
      <c r="D575" s="3"/>
      <c r="E575" s="3" t="s">
        <v>215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153</v>
      </c>
      <c r="O575" s="3"/>
      <c r="P575" s="3"/>
      <c r="Q575" s="3">
        <v>0.11600000000000001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215</v>
      </c>
      <c r="D576" s="3"/>
      <c r="E576" s="3" t="s">
        <v>215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191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215</v>
      </c>
      <c r="D577" s="3"/>
      <c r="E577" s="3" t="s">
        <v>215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215</v>
      </c>
      <c r="D578" s="3"/>
      <c r="E578" s="3" t="s">
        <v>215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215</v>
      </c>
      <c r="D579" s="3"/>
      <c r="E579" s="3" t="s">
        <v>215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104</v>
      </c>
      <c r="O579" s="3"/>
      <c r="P579" s="3"/>
      <c r="Q579" s="3">
        <v>0.82399999999999995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215</v>
      </c>
      <c r="D580" s="3"/>
      <c r="E580" s="3" t="s">
        <v>215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216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217</v>
      </c>
      <c r="D581" s="3"/>
      <c r="E581" s="3" t="s">
        <v>217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217</v>
      </c>
      <c r="D582" s="3"/>
      <c r="E582" s="3" t="s">
        <v>217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151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217</v>
      </c>
      <c r="D583" s="3"/>
      <c r="E583" s="3" t="s">
        <v>217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101</v>
      </c>
      <c r="O583" s="3"/>
      <c r="P583" s="3"/>
      <c r="Q583" s="3">
        <v>0.86599999999999999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217</v>
      </c>
      <c r="D584" s="3"/>
      <c r="E584" s="3" t="s">
        <v>217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152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217</v>
      </c>
      <c r="D585" s="3"/>
      <c r="E585" s="3" t="s">
        <v>217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103</v>
      </c>
      <c r="O585" s="3"/>
      <c r="P585" s="3"/>
      <c r="Q585" s="3">
        <v>20.268999999999998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217</v>
      </c>
      <c r="D586" s="3"/>
      <c r="E586" s="3" t="s">
        <v>217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125.593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217</v>
      </c>
      <c r="D587" s="3"/>
      <c r="E587" s="3" t="s">
        <v>217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153</v>
      </c>
      <c r="O587" s="3"/>
      <c r="P587" s="3"/>
      <c r="Q587" s="3">
        <v>0.121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217</v>
      </c>
      <c r="D588" s="3"/>
      <c r="E588" s="3" t="s">
        <v>217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217</v>
      </c>
      <c r="D589" s="3"/>
      <c r="E589" s="3" t="s">
        <v>217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217</v>
      </c>
      <c r="D590" s="3"/>
      <c r="E590" s="3" t="s">
        <v>217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217</v>
      </c>
      <c r="D591" s="3"/>
      <c r="E591" s="3" t="s">
        <v>217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104</v>
      </c>
      <c r="O591" s="3"/>
      <c r="P591" s="3"/>
      <c r="Q591" s="3">
        <v>0.86499999999999999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217</v>
      </c>
      <c r="D592" s="3"/>
      <c r="E592" s="3" t="s">
        <v>217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218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219</v>
      </c>
      <c r="D593" s="3"/>
      <c r="E593" s="3" t="s">
        <v>219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219</v>
      </c>
      <c r="D594" s="3"/>
      <c r="E594" s="3" t="s">
        <v>219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151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219</v>
      </c>
      <c r="D595" s="3"/>
      <c r="E595" s="3" t="s">
        <v>219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101</v>
      </c>
      <c r="O595" s="3"/>
      <c r="P595" s="3"/>
      <c r="Q595" s="3">
        <v>0.95699999999999996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219</v>
      </c>
      <c r="D596" s="3"/>
      <c r="E596" s="3" t="s">
        <v>219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152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219</v>
      </c>
      <c r="D597" s="3"/>
      <c r="E597" s="3" t="s">
        <v>219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103</v>
      </c>
      <c r="O597" s="3"/>
      <c r="P597" s="3"/>
      <c r="Q597" s="3">
        <v>21.184000000000001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219</v>
      </c>
      <c r="D598" s="3"/>
      <c r="E598" s="3" t="s">
        <v>219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131.21600000000001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219</v>
      </c>
      <c r="D599" s="3"/>
      <c r="E599" s="3" t="s">
        <v>219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153</v>
      </c>
      <c r="O599" s="3"/>
      <c r="P599" s="3"/>
      <c r="Q599" s="3">
        <v>0.13200000000000001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219</v>
      </c>
      <c r="D600" s="3"/>
      <c r="E600" s="3" t="s">
        <v>219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191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219</v>
      </c>
      <c r="D601" s="3"/>
      <c r="E601" s="3" t="s">
        <v>219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219</v>
      </c>
      <c r="D602" s="3"/>
      <c r="E602" s="3" t="s">
        <v>219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219</v>
      </c>
      <c r="D603" s="3"/>
      <c r="E603" s="3" t="s">
        <v>219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104</v>
      </c>
      <c r="O603" s="3"/>
      <c r="P603" s="3"/>
      <c r="Q603" s="3">
        <v>0.94599999999999995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219</v>
      </c>
      <c r="D604" s="3"/>
      <c r="E604" s="3" t="s">
        <v>219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220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221</v>
      </c>
      <c r="D605" s="3"/>
      <c r="E605" s="3" t="s">
        <v>221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221</v>
      </c>
      <c r="D606" s="3"/>
      <c r="E606" s="3" t="s">
        <v>221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151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221</v>
      </c>
      <c r="D607" s="3"/>
      <c r="E607" s="3" t="s">
        <v>221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1.048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221</v>
      </c>
      <c r="D608" s="3"/>
      <c r="E608" s="3" t="s">
        <v>221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152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221</v>
      </c>
      <c r="D609" s="3"/>
      <c r="E609" s="3" t="s">
        <v>221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103</v>
      </c>
      <c r="O609" s="3"/>
      <c r="P609" s="3"/>
      <c r="Q609" s="3">
        <v>22.097999999999999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221</v>
      </c>
      <c r="D610" s="3"/>
      <c r="E610" s="3" t="s">
        <v>221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136.84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221</v>
      </c>
      <c r="D611" s="3"/>
      <c r="E611" s="3" t="s">
        <v>221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153</v>
      </c>
      <c r="O611" s="3"/>
      <c r="P611" s="3"/>
      <c r="Q611" s="3">
        <v>0.14199999999999999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221</v>
      </c>
      <c r="D612" s="3"/>
      <c r="E612" s="3" t="s">
        <v>221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191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221</v>
      </c>
      <c r="D613" s="3"/>
      <c r="E613" s="3" t="s">
        <v>221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221</v>
      </c>
      <c r="D614" s="3"/>
      <c r="E614" s="3" t="s">
        <v>221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221</v>
      </c>
      <c r="D615" s="3"/>
      <c r="E615" s="3" t="s">
        <v>221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104</v>
      </c>
      <c r="O615" s="3"/>
      <c r="P615" s="3"/>
      <c r="Q615" s="3">
        <v>1.0269999999999999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221</v>
      </c>
      <c r="D616" s="3"/>
      <c r="E616" s="3" t="s">
        <v>221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223</v>
      </c>
      <c r="D617" s="3"/>
      <c r="E617" s="3" t="s">
        <v>223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223</v>
      </c>
      <c r="D618" s="3"/>
      <c r="E618" s="3" t="s">
        <v>223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151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223</v>
      </c>
      <c r="D619" s="3"/>
      <c r="E619" s="3" t="s">
        <v>223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101</v>
      </c>
      <c r="O619" s="3"/>
      <c r="P619" s="3"/>
      <c r="Q619" s="3">
        <v>0.52100000000000002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223</v>
      </c>
      <c r="D620" s="3"/>
      <c r="E620" s="3" t="s">
        <v>223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152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223</v>
      </c>
      <c r="D621" s="3"/>
      <c r="E621" s="3" t="s">
        <v>223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103</v>
      </c>
      <c r="O621" s="3"/>
      <c r="P621" s="3"/>
      <c r="Q621" s="3">
        <v>17.068999999999999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223</v>
      </c>
      <c r="D622" s="3"/>
      <c r="E622" s="3" t="s">
        <v>223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105.91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223</v>
      </c>
      <c r="D623" s="3"/>
      <c r="E623" s="3" t="s">
        <v>223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153</v>
      </c>
      <c r="O623" s="3"/>
      <c r="P623" s="3"/>
      <c r="Q623" s="3">
        <v>7.8E-2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223</v>
      </c>
      <c r="D624" s="3"/>
      <c r="E624" s="3" t="s">
        <v>223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191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223</v>
      </c>
      <c r="D625" s="3"/>
      <c r="E625" s="3" t="s">
        <v>223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223</v>
      </c>
      <c r="D626" s="3"/>
      <c r="E626" s="3" t="s">
        <v>223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223</v>
      </c>
      <c r="D627" s="3"/>
      <c r="E627" s="3" t="s">
        <v>223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104</v>
      </c>
      <c r="O627" s="3"/>
      <c r="P627" s="3"/>
      <c r="Q627" s="3">
        <v>0.54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223</v>
      </c>
      <c r="D628" s="3"/>
      <c r="E628" s="3" t="s">
        <v>223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224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225</v>
      </c>
      <c r="D629" s="3"/>
      <c r="E629" s="3" t="s">
        <v>225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225</v>
      </c>
      <c r="D630" s="3"/>
      <c r="E630" s="3" t="s">
        <v>225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151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225</v>
      </c>
      <c r="D631" s="3"/>
      <c r="E631" s="3" t="s">
        <v>225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0.61599999999999999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225</v>
      </c>
      <c r="D632" s="3"/>
      <c r="E632" s="3" t="s">
        <v>225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152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225</v>
      </c>
      <c r="D633" s="3"/>
      <c r="E633" s="3" t="s">
        <v>225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103</v>
      </c>
      <c r="O633" s="3"/>
      <c r="P633" s="3"/>
      <c r="Q633" s="3">
        <v>17.983000000000001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225</v>
      </c>
      <c r="D634" s="3"/>
      <c r="E634" s="3" t="s">
        <v>225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111.53400000000001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225</v>
      </c>
      <c r="D635" s="3"/>
      <c r="E635" s="3" t="s">
        <v>225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153</v>
      </c>
      <c r="O635" s="3"/>
      <c r="P635" s="3"/>
      <c r="Q635" s="3">
        <v>8.8999999999999996E-2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225</v>
      </c>
      <c r="D636" s="3"/>
      <c r="E636" s="3" t="s">
        <v>225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225</v>
      </c>
      <c r="D637" s="3"/>
      <c r="E637" s="3" t="s">
        <v>225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225</v>
      </c>
      <c r="D638" s="3"/>
      <c r="E638" s="3" t="s">
        <v>225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225</v>
      </c>
      <c r="D639" s="3"/>
      <c r="E639" s="3" t="s">
        <v>225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104</v>
      </c>
      <c r="O639" s="3"/>
      <c r="P639" s="3"/>
      <c r="Q639" s="3">
        <v>0.622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225</v>
      </c>
      <c r="D640" s="3"/>
      <c r="E640" s="3" t="s">
        <v>225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226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227</v>
      </c>
      <c r="D641" s="3"/>
      <c r="E641" s="3" t="s">
        <v>227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227</v>
      </c>
      <c r="D642" s="3"/>
      <c r="E642" s="3" t="s">
        <v>227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151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227</v>
      </c>
      <c r="D643" s="3"/>
      <c r="E643" s="3" t="s">
        <v>227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101</v>
      </c>
      <c r="O643" s="3"/>
      <c r="P643" s="3"/>
      <c r="Q643" s="3">
        <v>0.71099999999999997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227</v>
      </c>
      <c r="D644" s="3"/>
      <c r="E644" s="3" t="s">
        <v>227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152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227</v>
      </c>
      <c r="D645" s="3"/>
      <c r="E645" s="3" t="s">
        <v>227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103</v>
      </c>
      <c r="O645" s="3"/>
      <c r="P645" s="3"/>
      <c r="Q645" s="3">
        <v>18.898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227</v>
      </c>
      <c r="D646" s="3"/>
      <c r="E646" s="3" t="s">
        <v>227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117.158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227</v>
      </c>
      <c r="D647" s="3"/>
      <c r="E647" s="3" t="s">
        <v>227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153</v>
      </c>
      <c r="O647" s="3"/>
      <c r="P647" s="3"/>
      <c r="Q647" s="3">
        <v>0.1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227</v>
      </c>
      <c r="D648" s="3"/>
      <c r="E648" s="3" t="s">
        <v>227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191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227</v>
      </c>
      <c r="D649" s="3"/>
      <c r="E649" s="3" t="s">
        <v>227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227</v>
      </c>
      <c r="D650" s="3"/>
      <c r="E650" s="3" t="s">
        <v>227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227</v>
      </c>
      <c r="D651" s="3"/>
      <c r="E651" s="3" t="s">
        <v>227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104</v>
      </c>
      <c r="O651" s="3"/>
      <c r="P651" s="3"/>
      <c r="Q651" s="3">
        <v>0.70299999999999996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227</v>
      </c>
      <c r="D652" s="3"/>
      <c r="E652" s="3" t="s">
        <v>227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228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229</v>
      </c>
      <c r="D653" s="3"/>
      <c r="E653" s="3" t="s">
        <v>229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229</v>
      </c>
      <c r="D654" s="3"/>
      <c r="E654" s="3" t="s">
        <v>229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151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229</v>
      </c>
      <c r="D655" s="3"/>
      <c r="E655" s="3" t="s">
        <v>229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101</v>
      </c>
      <c r="O655" s="3"/>
      <c r="P655" s="3"/>
      <c r="Q655" s="3">
        <v>0.80600000000000005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229</v>
      </c>
      <c r="D656" s="3"/>
      <c r="E656" s="3" t="s">
        <v>229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152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229</v>
      </c>
      <c r="D657" s="3"/>
      <c r="E657" s="3" t="s">
        <v>229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103</v>
      </c>
      <c r="O657" s="3"/>
      <c r="P657" s="3"/>
      <c r="Q657" s="3">
        <v>19.812000000000001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229</v>
      </c>
      <c r="D658" s="3"/>
      <c r="E658" s="3" t="s">
        <v>229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122.78100000000001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229</v>
      </c>
      <c r="D659" s="3"/>
      <c r="E659" s="3" t="s">
        <v>229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153</v>
      </c>
      <c r="O659" s="3"/>
      <c r="P659" s="3"/>
      <c r="Q659" s="3">
        <v>0.11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229</v>
      </c>
      <c r="D660" s="3"/>
      <c r="E660" s="3" t="s">
        <v>229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191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229</v>
      </c>
      <c r="D661" s="3"/>
      <c r="E661" s="3" t="s">
        <v>229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229</v>
      </c>
      <c r="D662" s="3"/>
      <c r="E662" s="3" t="s">
        <v>229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229</v>
      </c>
      <c r="D663" s="3"/>
      <c r="E663" s="3" t="s">
        <v>229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104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229</v>
      </c>
      <c r="D664" s="3"/>
      <c r="E664" s="3" t="s">
        <v>229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230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231</v>
      </c>
      <c r="D665" s="3"/>
      <c r="E665" s="3" t="s">
        <v>231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231</v>
      </c>
      <c r="D666" s="3"/>
      <c r="E666" s="3" t="s">
        <v>231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151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231</v>
      </c>
      <c r="D667" s="3"/>
      <c r="E667" s="3" t="s">
        <v>231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0.85299999999999998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231</v>
      </c>
      <c r="D668" s="3"/>
      <c r="E668" s="3" t="s">
        <v>231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152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231</v>
      </c>
      <c r="D669" s="3"/>
      <c r="E669" s="3" t="s">
        <v>231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103</v>
      </c>
      <c r="O669" s="3"/>
      <c r="P669" s="3"/>
      <c r="Q669" s="3">
        <v>20.268999999999998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231</v>
      </c>
      <c r="D670" s="3"/>
      <c r="E670" s="3" t="s">
        <v>231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125.593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231</v>
      </c>
      <c r="D671" s="3"/>
      <c r="E671" s="3" t="s">
        <v>231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153</v>
      </c>
      <c r="O671" s="3"/>
      <c r="P671" s="3"/>
      <c r="Q671" s="3">
        <v>0.11600000000000001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231</v>
      </c>
      <c r="D672" s="3"/>
      <c r="E672" s="3" t="s">
        <v>231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231</v>
      </c>
      <c r="D673" s="3"/>
      <c r="E673" s="3" t="s">
        <v>231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231</v>
      </c>
      <c r="D674" s="3"/>
      <c r="E674" s="3" t="s">
        <v>231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231</v>
      </c>
      <c r="D675" s="3"/>
      <c r="E675" s="3" t="s">
        <v>231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104</v>
      </c>
      <c r="O675" s="3"/>
      <c r="P675" s="3"/>
      <c r="Q675" s="3">
        <v>0.82399999999999995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231</v>
      </c>
      <c r="D676" s="3"/>
      <c r="E676" s="3" t="s">
        <v>231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232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233</v>
      </c>
      <c r="D677" s="3"/>
      <c r="E677" s="3" t="s">
        <v>233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233</v>
      </c>
      <c r="D678" s="3"/>
      <c r="E678" s="3" t="s">
        <v>233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151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233</v>
      </c>
      <c r="D679" s="3"/>
      <c r="E679" s="3" t="s">
        <v>233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101</v>
      </c>
      <c r="O679" s="3"/>
      <c r="P679" s="3"/>
      <c r="Q679" s="3">
        <v>0.9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233</v>
      </c>
      <c r="D680" s="3"/>
      <c r="E680" s="3" t="s">
        <v>233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152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233</v>
      </c>
      <c r="D681" s="3"/>
      <c r="E681" s="3" t="s">
        <v>233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103</v>
      </c>
      <c r="O681" s="3"/>
      <c r="P681" s="3"/>
      <c r="Q681" s="3">
        <v>20.725999999999999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233</v>
      </c>
      <c r="D682" s="3"/>
      <c r="E682" s="3" t="s">
        <v>233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128.405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233</v>
      </c>
      <c r="D683" s="3"/>
      <c r="E683" s="3" t="s">
        <v>233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153</v>
      </c>
      <c r="O683" s="3"/>
      <c r="P683" s="3"/>
      <c r="Q683" s="3">
        <v>0.121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233</v>
      </c>
      <c r="D684" s="3"/>
      <c r="E684" s="3" t="s">
        <v>233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191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233</v>
      </c>
      <c r="D685" s="3"/>
      <c r="E685" s="3" t="s">
        <v>233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233</v>
      </c>
      <c r="D686" s="3"/>
      <c r="E686" s="3" t="s">
        <v>233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233</v>
      </c>
      <c r="D687" s="3"/>
      <c r="E687" s="3" t="s">
        <v>233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104</v>
      </c>
      <c r="O687" s="3"/>
      <c r="P687" s="3"/>
      <c r="Q687" s="3">
        <v>0.86499999999999999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233</v>
      </c>
      <c r="D688" s="3"/>
      <c r="E688" s="3" t="s">
        <v>233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234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235</v>
      </c>
      <c r="D689" s="3"/>
      <c r="E689" s="3" t="s">
        <v>235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235</v>
      </c>
      <c r="D690" s="3"/>
      <c r="E690" s="3" t="s">
        <v>235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151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235</v>
      </c>
      <c r="D691" s="3"/>
      <c r="E691" s="3" t="s">
        <v>235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101</v>
      </c>
      <c r="O691" s="3"/>
      <c r="P691" s="3"/>
      <c r="Q691" s="3">
        <v>0.995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235</v>
      </c>
      <c r="D692" s="3"/>
      <c r="E692" s="3" t="s">
        <v>235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152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235</v>
      </c>
      <c r="D693" s="3"/>
      <c r="E693" s="3" t="s">
        <v>235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103</v>
      </c>
      <c r="O693" s="3"/>
      <c r="P693" s="3"/>
      <c r="Q693" s="3">
        <v>21.640999999999998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235</v>
      </c>
      <c r="D694" s="3"/>
      <c r="E694" s="3" t="s">
        <v>235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134.02799999999999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235</v>
      </c>
      <c r="D695" s="3"/>
      <c r="E695" s="3" t="s">
        <v>235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153</v>
      </c>
      <c r="O695" s="3"/>
      <c r="P695" s="3"/>
      <c r="Q695" s="3">
        <v>0.13200000000000001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235</v>
      </c>
      <c r="D696" s="3"/>
      <c r="E696" s="3" t="s">
        <v>235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191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235</v>
      </c>
      <c r="D697" s="3"/>
      <c r="E697" s="3" t="s">
        <v>235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235</v>
      </c>
      <c r="D698" s="3"/>
      <c r="E698" s="3" t="s">
        <v>235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235</v>
      </c>
      <c r="D699" s="3"/>
      <c r="E699" s="3" t="s">
        <v>235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104</v>
      </c>
      <c r="O699" s="3"/>
      <c r="P699" s="3"/>
      <c r="Q699" s="3">
        <v>0.94599999999999995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235</v>
      </c>
      <c r="D700" s="3"/>
      <c r="E700" s="3" t="s">
        <v>235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236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237</v>
      </c>
      <c r="D701" s="3"/>
      <c r="E701" s="3" t="s">
        <v>237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237</v>
      </c>
      <c r="D702" s="3"/>
      <c r="E702" s="3" t="s">
        <v>237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151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237</v>
      </c>
      <c r="D703" s="3"/>
      <c r="E703" s="3" t="s">
        <v>237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101</v>
      </c>
      <c r="O703" s="3"/>
      <c r="P703" s="3"/>
      <c r="Q703" s="3">
        <v>1.0900000000000001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237</v>
      </c>
      <c r="D704" s="3"/>
      <c r="E704" s="3" t="s">
        <v>237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152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237</v>
      </c>
      <c r="D705" s="3"/>
      <c r="E705" s="3" t="s">
        <v>237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103</v>
      </c>
      <c r="O705" s="3"/>
      <c r="P705" s="3"/>
      <c r="Q705" s="3">
        <v>22.555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237</v>
      </c>
      <c r="D706" s="3"/>
      <c r="E706" s="3" t="s">
        <v>237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139.65199999999999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237</v>
      </c>
      <c r="D707" s="3"/>
      <c r="E707" s="3" t="s">
        <v>237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153</v>
      </c>
      <c r="O707" s="3"/>
      <c r="P707" s="3"/>
      <c r="Q707" s="3">
        <v>0.14199999999999999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237</v>
      </c>
      <c r="D708" s="3"/>
      <c r="E708" s="3" t="s">
        <v>237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191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237</v>
      </c>
      <c r="D709" s="3"/>
      <c r="E709" s="3" t="s">
        <v>237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237</v>
      </c>
      <c r="D710" s="3"/>
      <c r="E710" s="3" t="s">
        <v>237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237</v>
      </c>
      <c r="D711" s="3"/>
      <c r="E711" s="3" t="s">
        <v>237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104</v>
      </c>
      <c r="O711" s="3"/>
      <c r="P711" s="3"/>
      <c r="Q711" s="3">
        <v>1.0269999999999999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237</v>
      </c>
      <c r="D712" s="3"/>
      <c r="E712" s="3" t="s">
        <v>237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238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239</v>
      </c>
      <c r="D713" s="3"/>
      <c r="E713" s="3" t="s">
        <v>239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239</v>
      </c>
      <c r="D714" s="3"/>
      <c r="E714" s="3" t="s">
        <v>239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151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239</v>
      </c>
      <c r="D715" s="3"/>
      <c r="E715" s="3" t="s">
        <v>239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101</v>
      </c>
      <c r="O715" s="3"/>
      <c r="P715" s="3"/>
      <c r="Q715" s="3">
        <v>0.53500000000000003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239</v>
      </c>
      <c r="D716" s="3"/>
      <c r="E716" s="3" t="s">
        <v>239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152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239</v>
      </c>
      <c r="D717" s="3"/>
      <c r="E717" s="3" t="s">
        <v>239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103</v>
      </c>
      <c r="O717" s="3"/>
      <c r="P717" s="3"/>
      <c r="Q717" s="3">
        <v>17.373999999999999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239</v>
      </c>
      <c r="D718" s="3"/>
      <c r="E718" s="3" t="s">
        <v>239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107.785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239</v>
      </c>
      <c r="D719" s="3"/>
      <c r="E719" s="3" t="s">
        <v>239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153</v>
      </c>
      <c r="O719" s="3"/>
      <c r="P719" s="3"/>
      <c r="Q719" s="3">
        <v>7.8E-2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239</v>
      </c>
      <c r="D720" s="3"/>
      <c r="E720" s="3" t="s">
        <v>239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191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239</v>
      </c>
      <c r="D721" s="3"/>
      <c r="E721" s="3" t="s">
        <v>239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239</v>
      </c>
      <c r="D722" s="3"/>
      <c r="E722" s="3" t="s">
        <v>239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239</v>
      </c>
      <c r="D723" s="3"/>
      <c r="E723" s="3" t="s">
        <v>239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104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239</v>
      </c>
      <c r="D724" s="3"/>
      <c r="E724" s="3" t="s">
        <v>239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240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241</v>
      </c>
      <c r="D725" s="3"/>
      <c r="E725" s="3" t="s">
        <v>241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241</v>
      </c>
      <c r="D726" s="3"/>
      <c r="E726" s="3" t="s">
        <v>241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151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241</v>
      </c>
      <c r="D727" s="3"/>
      <c r="E727" s="3" t="s">
        <v>241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0.63200000000000001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241</v>
      </c>
      <c r="D728" s="3"/>
      <c r="E728" s="3" t="s">
        <v>241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152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241</v>
      </c>
      <c r="D729" s="3"/>
      <c r="E729" s="3" t="s">
        <v>241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103</v>
      </c>
      <c r="O729" s="3"/>
      <c r="P729" s="3"/>
      <c r="Q729" s="3">
        <v>18.288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241</v>
      </c>
      <c r="D730" s="3"/>
      <c r="E730" s="3" t="s">
        <v>241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113.408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241</v>
      </c>
      <c r="D731" s="3"/>
      <c r="E731" s="3" t="s">
        <v>241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153</v>
      </c>
      <c r="O731" s="3"/>
      <c r="P731" s="3"/>
      <c r="Q731" s="3">
        <v>8.8999999999999996E-2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241</v>
      </c>
      <c r="D732" s="3"/>
      <c r="E732" s="3" t="s">
        <v>241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191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241</v>
      </c>
      <c r="D733" s="3"/>
      <c r="E733" s="3" t="s">
        <v>241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241</v>
      </c>
      <c r="D734" s="3"/>
      <c r="E734" s="3" t="s">
        <v>241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241</v>
      </c>
      <c r="D735" s="3"/>
      <c r="E735" s="3" t="s">
        <v>241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104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241</v>
      </c>
      <c r="D736" s="3"/>
      <c r="E736" s="3" t="s">
        <v>241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242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243</v>
      </c>
      <c r="D737" s="3"/>
      <c r="E737" s="3" t="s">
        <v>243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243</v>
      </c>
      <c r="D738" s="3"/>
      <c r="E738" s="3" t="s">
        <v>243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151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243</v>
      </c>
      <c r="D739" s="3"/>
      <c r="E739" s="3" t="s">
        <v>243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101</v>
      </c>
      <c r="O739" s="3"/>
      <c r="P739" s="3"/>
      <c r="Q739" s="3">
        <v>0.72899999999999998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243</v>
      </c>
      <c r="D740" s="3"/>
      <c r="E740" s="3" t="s">
        <v>243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152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243</v>
      </c>
      <c r="D741" s="3"/>
      <c r="E741" s="3" t="s">
        <v>243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103</v>
      </c>
      <c r="O741" s="3"/>
      <c r="P741" s="3"/>
      <c r="Q741" s="3">
        <v>19.202000000000002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243</v>
      </c>
      <c r="D742" s="3"/>
      <c r="E742" s="3" t="s">
        <v>243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119.032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243</v>
      </c>
      <c r="D743" s="3"/>
      <c r="E743" s="3" t="s">
        <v>243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153</v>
      </c>
      <c r="O743" s="3"/>
      <c r="P743" s="3"/>
      <c r="Q743" s="3">
        <v>0.1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243</v>
      </c>
      <c r="D744" s="3"/>
      <c r="E744" s="3" t="s">
        <v>243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191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243</v>
      </c>
      <c r="D745" s="3"/>
      <c r="E745" s="3" t="s">
        <v>243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243</v>
      </c>
      <c r="D746" s="3"/>
      <c r="E746" s="3" t="s">
        <v>243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243</v>
      </c>
      <c r="D747" s="3"/>
      <c r="E747" s="3" t="s">
        <v>243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104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243</v>
      </c>
      <c r="D748" s="3"/>
      <c r="E748" s="3" t="s">
        <v>243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244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245</v>
      </c>
      <c r="D749" s="3"/>
      <c r="E749" s="3" t="s">
        <v>245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245</v>
      </c>
      <c r="D750" s="3"/>
      <c r="E750" s="3" t="s">
        <v>245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151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245</v>
      </c>
      <c r="D751" s="3"/>
      <c r="E751" s="3" t="s">
        <v>245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101</v>
      </c>
      <c r="O751" s="3"/>
      <c r="P751" s="3"/>
      <c r="Q751" s="3">
        <v>0.82599999999999996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245</v>
      </c>
      <c r="D752" s="3"/>
      <c r="E752" s="3" t="s">
        <v>245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152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245</v>
      </c>
      <c r="D753" s="3"/>
      <c r="E753" s="3" t="s">
        <v>245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103</v>
      </c>
      <c r="O753" s="3"/>
      <c r="P753" s="3"/>
      <c r="Q753" s="3">
        <v>20.117000000000001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245</v>
      </c>
      <c r="D754" s="3"/>
      <c r="E754" s="3" t="s">
        <v>245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124.65600000000001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245</v>
      </c>
      <c r="D755" s="3"/>
      <c r="E755" s="3" t="s">
        <v>245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153</v>
      </c>
      <c r="O755" s="3"/>
      <c r="P755" s="3"/>
      <c r="Q755" s="3">
        <v>0.11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245</v>
      </c>
      <c r="D756" s="3"/>
      <c r="E756" s="3" t="s">
        <v>245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245</v>
      </c>
      <c r="D757" s="3"/>
      <c r="E757" s="3" t="s">
        <v>245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245</v>
      </c>
      <c r="D758" s="3"/>
      <c r="E758" s="3" t="s">
        <v>245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245</v>
      </c>
      <c r="D759" s="3"/>
      <c r="E759" s="3" t="s">
        <v>245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104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245</v>
      </c>
      <c r="D760" s="3"/>
      <c r="E760" s="3" t="s">
        <v>245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246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247</v>
      </c>
      <c r="D761" s="3"/>
      <c r="E761" s="3" t="s">
        <v>247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247</v>
      </c>
      <c r="D762" s="3"/>
      <c r="E762" s="3" t="s">
        <v>247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151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247</v>
      </c>
      <c r="D763" s="3"/>
      <c r="E763" s="3" t="s">
        <v>247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101</v>
      </c>
      <c r="O763" s="3"/>
      <c r="P763" s="3"/>
      <c r="Q763" s="3">
        <v>0.875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247</v>
      </c>
      <c r="D764" s="3"/>
      <c r="E764" s="3" t="s">
        <v>247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152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247</v>
      </c>
      <c r="D765" s="3"/>
      <c r="E765" s="3" t="s">
        <v>247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103</v>
      </c>
      <c r="O765" s="3"/>
      <c r="P765" s="3"/>
      <c r="Q765" s="3">
        <v>20.574000000000002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247</v>
      </c>
      <c r="D766" s="3"/>
      <c r="E766" s="3" t="s">
        <v>247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127.467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247</v>
      </c>
      <c r="D767" s="3"/>
      <c r="E767" s="3" t="s">
        <v>247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153</v>
      </c>
      <c r="O767" s="3"/>
      <c r="P767" s="3"/>
      <c r="Q767" s="3">
        <v>0.11600000000000001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247</v>
      </c>
      <c r="D768" s="3"/>
      <c r="E768" s="3" t="s">
        <v>247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191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247</v>
      </c>
      <c r="D769" s="3"/>
      <c r="E769" s="3" t="s">
        <v>247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247</v>
      </c>
      <c r="D770" s="3"/>
      <c r="E770" s="3" t="s">
        <v>247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247</v>
      </c>
      <c r="D771" s="3"/>
      <c r="E771" s="3" t="s">
        <v>247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104</v>
      </c>
      <c r="O771" s="3"/>
      <c r="P771" s="3"/>
      <c r="Q771" s="3">
        <v>1.1759999999999999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247</v>
      </c>
      <c r="D772" s="3"/>
      <c r="E772" s="3" t="s">
        <v>247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248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249</v>
      </c>
      <c r="D773" s="3"/>
      <c r="E773" s="3" t="s">
        <v>249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249</v>
      </c>
      <c r="D774" s="3"/>
      <c r="E774" s="3" t="s">
        <v>249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151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249</v>
      </c>
      <c r="D775" s="3"/>
      <c r="E775" s="3" t="s">
        <v>249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101</v>
      </c>
      <c r="O775" s="3"/>
      <c r="P775" s="3"/>
      <c r="Q775" s="3">
        <v>0.92300000000000004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249</v>
      </c>
      <c r="D776" s="3"/>
      <c r="E776" s="3" t="s">
        <v>249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152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249</v>
      </c>
      <c r="D777" s="3"/>
      <c r="E777" s="3" t="s">
        <v>249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103</v>
      </c>
      <c r="O777" s="3"/>
      <c r="P777" s="3"/>
      <c r="Q777" s="3">
        <v>21.030999999999999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249</v>
      </c>
      <c r="D778" s="3"/>
      <c r="E778" s="3" t="s">
        <v>249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130.279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249</v>
      </c>
      <c r="D779" s="3"/>
      <c r="E779" s="3" t="s">
        <v>249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153</v>
      </c>
      <c r="O779" s="3"/>
      <c r="P779" s="3"/>
      <c r="Q779" s="3">
        <v>0.121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249</v>
      </c>
      <c r="D780" s="3"/>
      <c r="E780" s="3" t="s">
        <v>249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249</v>
      </c>
      <c r="D781" s="3"/>
      <c r="E781" s="3" t="s">
        <v>249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249</v>
      </c>
      <c r="D782" s="3"/>
      <c r="E782" s="3" t="s">
        <v>249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249</v>
      </c>
      <c r="D783" s="3"/>
      <c r="E783" s="3" t="s">
        <v>249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104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249</v>
      </c>
      <c r="D784" s="3"/>
      <c r="E784" s="3" t="s">
        <v>249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250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251</v>
      </c>
      <c r="D785" s="3"/>
      <c r="E785" s="3" t="s">
        <v>251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251</v>
      </c>
      <c r="D786" s="3"/>
      <c r="E786" s="3" t="s">
        <v>251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151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251</v>
      </c>
      <c r="D787" s="3"/>
      <c r="E787" s="3" t="s">
        <v>251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1.0209999999999999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251</v>
      </c>
      <c r="D788" s="3"/>
      <c r="E788" s="3" t="s">
        <v>251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152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251</v>
      </c>
      <c r="D789" s="3"/>
      <c r="E789" s="3" t="s">
        <v>251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103</v>
      </c>
      <c r="O789" s="3"/>
      <c r="P789" s="3"/>
      <c r="Q789" s="3">
        <v>21.946000000000002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251</v>
      </c>
      <c r="D790" s="3"/>
      <c r="E790" s="3" t="s">
        <v>251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135.90299999999999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251</v>
      </c>
      <c r="D791" s="3"/>
      <c r="E791" s="3" t="s">
        <v>251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153</v>
      </c>
      <c r="O791" s="3"/>
      <c r="P791" s="3"/>
      <c r="Q791" s="3">
        <v>0.13200000000000001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251</v>
      </c>
      <c r="D792" s="3"/>
      <c r="E792" s="3" t="s">
        <v>251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251</v>
      </c>
      <c r="D793" s="3"/>
      <c r="E793" s="3" t="s">
        <v>251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251</v>
      </c>
      <c r="D794" s="3"/>
      <c r="E794" s="3" t="s">
        <v>251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251</v>
      </c>
      <c r="D795" s="3"/>
      <c r="E795" s="3" t="s">
        <v>251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104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251</v>
      </c>
      <c r="D796" s="3"/>
      <c r="E796" s="3" t="s">
        <v>251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252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253</v>
      </c>
      <c r="D797" s="3"/>
      <c r="E797" s="3" t="s">
        <v>253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253</v>
      </c>
      <c r="D798" s="3"/>
      <c r="E798" s="3" t="s">
        <v>253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151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253</v>
      </c>
      <c r="D799" s="3"/>
      <c r="E799" s="3" t="s">
        <v>253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101</v>
      </c>
      <c r="O799" s="3"/>
      <c r="P799" s="3"/>
      <c r="Q799" s="3">
        <v>1.1180000000000001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253</v>
      </c>
      <c r="D800" s="3"/>
      <c r="E800" s="3" t="s">
        <v>253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152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253</v>
      </c>
      <c r="D801" s="3"/>
      <c r="E801" s="3" t="s">
        <v>253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103</v>
      </c>
      <c r="O801" s="3"/>
      <c r="P801" s="3"/>
      <c r="Q801" s="3">
        <v>22.86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253</v>
      </c>
      <c r="D802" s="3"/>
      <c r="E802" s="3" t="s">
        <v>253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141.52600000000001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253</v>
      </c>
      <c r="D803" s="3"/>
      <c r="E803" s="3" t="s">
        <v>253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153</v>
      </c>
      <c r="O803" s="3"/>
      <c r="P803" s="3"/>
      <c r="Q803" s="3">
        <v>0.14199999999999999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253</v>
      </c>
      <c r="D804" s="3"/>
      <c r="E804" s="3" t="s">
        <v>253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191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253</v>
      </c>
      <c r="D805" s="3"/>
      <c r="E805" s="3" t="s">
        <v>253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253</v>
      </c>
      <c r="D806" s="3"/>
      <c r="E806" s="3" t="s">
        <v>253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253</v>
      </c>
      <c r="D807" s="3"/>
      <c r="E807" s="3" t="s">
        <v>253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104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253</v>
      </c>
      <c r="D808" s="3"/>
      <c r="E808" s="3" t="s">
        <v>253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254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255</v>
      </c>
      <c r="D809" s="3"/>
      <c r="E809" s="3" t="s">
        <v>255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255</v>
      </c>
      <c r="D810" s="3"/>
      <c r="E810" s="3" t="s">
        <v>255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151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255</v>
      </c>
      <c r="D811" s="3"/>
      <c r="E811" s="3" t="s">
        <v>255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101</v>
      </c>
      <c r="O811" s="3"/>
      <c r="P811" s="3"/>
      <c r="Q811" s="3">
        <v>0.56100000000000005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255</v>
      </c>
      <c r="D812" s="3"/>
      <c r="E812" s="3" t="s">
        <v>255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152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255</v>
      </c>
      <c r="D813" s="3"/>
      <c r="E813" s="3" t="s">
        <v>255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103</v>
      </c>
      <c r="O813" s="3"/>
      <c r="P813" s="3"/>
      <c r="Q813" s="3">
        <v>17.983000000000001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255</v>
      </c>
      <c r="D814" s="3"/>
      <c r="E814" s="3" t="s">
        <v>255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111.53400000000001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255</v>
      </c>
      <c r="D815" s="3"/>
      <c r="E815" s="3" t="s">
        <v>255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153</v>
      </c>
      <c r="O815" s="3"/>
      <c r="P815" s="3"/>
      <c r="Q815" s="3">
        <v>7.8E-2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255</v>
      </c>
      <c r="D816" s="3"/>
      <c r="E816" s="3" t="s">
        <v>255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255</v>
      </c>
      <c r="D817" s="3"/>
      <c r="E817" s="3" t="s">
        <v>255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255</v>
      </c>
      <c r="D818" s="3"/>
      <c r="E818" s="3" t="s">
        <v>255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255</v>
      </c>
      <c r="D819" s="3"/>
      <c r="E819" s="3" t="s">
        <v>255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104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255</v>
      </c>
      <c r="D820" s="3"/>
      <c r="E820" s="3" t="s">
        <v>255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256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257</v>
      </c>
      <c r="D821" s="3"/>
      <c r="E821" s="3" t="s">
        <v>257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257</v>
      </c>
      <c r="D822" s="3"/>
      <c r="E822" s="3" t="s">
        <v>257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257</v>
      </c>
      <c r="D823" s="3"/>
      <c r="E823" s="3" t="s">
        <v>257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101</v>
      </c>
      <c r="O823" s="3"/>
      <c r="P823" s="3"/>
      <c r="Q823" s="3">
        <v>0.66300000000000003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257</v>
      </c>
      <c r="D824" s="3"/>
      <c r="E824" s="3" t="s">
        <v>257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152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257</v>
      </c>
      <c r="D825" s="3"/>
      <c r="E825" s="3" t="s">
        <v>257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103</v>
      </c>
      <c r="O825" s="3"/>
      <c r="P825" s="3"/>
      <c r="Q825" s="3">
        <v>18.898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257</v>
      </c>
      <c r="D826" s="3"/>
      <c r="E826" s="3" t="s">
        <v>257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117.158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257</v>
      </c>
      <c r="D827" s="3"/>
      <c r="E827" s="3" t="s">
        <v>257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153</v>
      </c>
      <c r="O827" s="3"/>
      <c r="P827" s="3"/>
      <c r="Q827" s="3">
        <v>8.8999999999999996E-2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257</v>
      </c>
      <c r="D828" s="3"/>
      <c r="E828" s="3" t="s">
        <v>257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191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257</v>
      </c>
      <c r="D829" s="3"/>
      <c r="E829" s="3" t="s">
        <v>257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257</v>
      </c>
      <c r="D830" s="3"/>
      <c r="E830" s="3" t="s">
        <v>257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257</v>
      </c>
      <c r="D831" s="3"/>
      <c r="E831" s="3" t="s">
        <v>257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104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257</v>
      </c>
      <c r="D832" s="3"/>
      <c r="E832" s="3" t="s">
        <v>257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258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259</v>
      </c>
      <c r="D833" s="3"/>
      <c r="E833" s="3" t="s">
        <v>259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259</v>
      </c>
      <c r="D834" s="3"/>
      <c r="E834" s="3" t="s">
        <v>259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259</v>
      </c>
      <c r="D835" s="3"/>
      <c r="E835" s="3" t="s">
        <v>259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101</v>
      </c>
      <c r="O835" s="3"/>
      <c r="P835" s="3"/>
      <c r="Q835" s="3">
        <v>0.76500000000000001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259</v>
      </c>
      <c r="D836" s="3"/>
      <c r="E836" s="3" t="s">
        <v>259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152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259</v>
      </c>
      <c r="D837" s="3"/>
      <c r="E837" s="3" t="s">
        <v>259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103</v>
      </c>
      <c r="O837" s="3"/>
      <c r="P837" s="3"/>
      <c r="Q837" s="3">
        <v>19.812000000000001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259</v>
      </c>
      <c r="D838" s="3"/>
      <c r="E838" s="3" t="s">
        <v>259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122.78100000000001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259</v>
      </c>
      <c r="D839" s="3"/>
      <c r="E839" s="3" t="s">
        <v>259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153</v>
      </c>
      <c r="O839" s="3"/>
      <c r="P839" s="3"/>
      <c r="Q839" s="3">
        <v>0.1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259</v>
      </c>
      <c r="D840" s="3"/>
      <c r="E840" s="3" t="s">
        <v>259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259</v>
      </c>
      <c r="D841" s="3"/>
      <c r="E841" s="3" t="s">
        <v>259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259</v>
      </c>
      <c r="D842" s="3"/>
      <c r="E842" s="3" t="s">
        <v>259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259</v>
      </c>
      <c r="D843" s="3"/>
      <c r="E843" s="3" t="s">
        <v>259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104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259</v>
      </c>
      <c r="D844" s="3"/>
      <c r="E844" s="3" t="s">
        <v>259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260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261</v>
      </c>
      <c r="D845" s="3"/>
      <c r="E845" s="3" t="s">
        <v>261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261</v>
      </c>
      <c r="D846" s="3"/>
      <c r="E846" s="3" t="s">
        <v>261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151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261</v>
      </c>
      <c r="D847" s="3"/>
      <c r="E847" s="3" t="s">
        <v>261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0.86799999999999999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261</v>
      </c>
      <c r="D848" s="3"/>
      <c r="E848" s="3" t="s">
        <v>261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152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261</v>
      </c>
      <c r="D849" s="3"/>
      <c r="E849" s="3" t="s">
        <v>261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103</v>
      </c>
      <c r="O849" s="3"/>
      <c r="P849" s="3"/>
      <c r="Q849" s="3">
        <v>20.725999999999999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261</v>
      </c>
      <c r="D850" s="3"/>
      <c r="E850" s="3" t="s">
        <v>261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128.405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261</v>
      </c>
      <c r="D851" s="3"/>
      <c r="E851" s="3" t="s">
        <v>261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153</v>
      </c>
      <c r="O851" s="3"/>
      <c r="P851" s="3"/>
      <c r="Q851" s="3">
        <v>0.11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261</v>
      </c>
      <c r="D852" s="3"/>
      <c r="E852" s="3" t="s">
        <v>261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191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261</v>
      </c>
      <c r="D853" s="3"/>
      <c r="E853" s="3" t="s">
        <v>261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261</v>
      </c>
      <c r="D854" s="3"/>
      <c r="E854" s="3" t="s">
        <v>261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261</v>
      </c>
      <c r="D855" s="3"/>
      <c r="E855" s="3" t="s">
        <v>261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104</v>
      </c>
      <c r="O855" s="3"/>
      <c r="P855" s="3"/>
      <c r="Q855" s="3">
        <v>1.23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261</v>
      </c>
      <c r="D856" s="3"/>
      <c r="E856" s="3" t="s">
        <v>261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262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263</v>
      </c>
      <c r="D857" s="3"/>
      <c r="E857" s="3" t="s">
        <v>263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263</v>
      </c>
      <c r="D858" s="3"/>
      <c r="E858" s="3" t="s">
        <v>263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151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263</v>
      </c>
      <c r="D859" s="3"/>
      <c r="E859" s="3" t="s">
        <v>263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101</v>
      </c>
      <c r="O859" s="3"/>
      <c r="P859" s="3"/>
      <c r="Q859" s="3">
        <v>0.91900000000000004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263</v>
      </c>
      <c r="D860" s="3"/>
      <c r="E860" s="3" t="s">
        <v>263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152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263</v>
      </c>
      <c r="D861" s="3"/>
      <c r="E861" s="3" t="s">
        <v>263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103</v>
      </c>
      <c r="O861" s="3"/>
      <c r="P861" s="3"/>
      <c r="Q861" s="3">
        <v>21.184000000000001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263</v>
      </c>
      <c r="D862" s="3"/>
      <c r="E862" s="3" t="s">
        <v>263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131.21600000000001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263</v>
      </c>
      <c r="D863" s="3"/>
      <c r="E863" s="3" t="s">
        <v>263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153</v>
      </c>
      <c r="O863" s="3"/>
      <c r="P863" s="3"/>
      <c r="Q863" s="3">
        <v>0.11600000000000001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263</v>
      </c>
      <c r="D864" s="3"/>
      <c r="E864" s="3" t="s">
        <v>263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191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263</v>
      </c>
      <c r="D865" s="3"/>
      <c r="E865" s="3" t="s">
        <v>263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263</v>
      </c>
      <c r="D866" s="3"/>
      <c r="E866" s="3" t="s">
        <v>263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263</v>
      </c>
      <c r="D867" s="3"/>
      <c r="E867" s="3" t="s">
        <v>263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104</v>
      </c>
      <c r="O867" s="3"/>
      <c r="P867" s="3"/>
      <c r="Q867" s="3">
        <v>1.23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263</v>
      </c>
      <c r="D868" s="3"/>
      <c r="E868" s="3" t="s">
        <v>263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264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265</v>
      </c>
      <c r="D869" s="3"/>
      <c r="E869" s="3" t="s">
        <v>265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265</v>
      </c>
      <c r="D870" s="3"/>
      <c r="E870" s="3" t="s">
        <v>265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151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265</v>
      </c>
      <c r="D871" s="3"/>
      <c r="E871" s="3" t="s">
        <v>265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101</v>
      </c>
      <c r="O871" s="3"/>
      <c r="P871" s="3"/>
      <c r="Q871" s="3">
        <v>0.97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265</v>
      </c>
      <c r="D872" s="3"/>
      <c r="E872" s="3" t="s">
        <v>265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152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265</v>
      </c>
      <c r="D873" s="3"/>
      <c r="E873" s="3" t="s">
        <v>265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103</v>
      </c>
      <c r="O873" s="3"/>
      <c r="P873" s="3"/>
      <c r="Q873" s="3">
        <v>21.640999999999998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265</v>
      </c>
      <c r="D874" s="3"/>
      <c r="E874" s="3" t="s">
        <v>265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134.02799999999999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265</v>
      </c>
      <c r="D875" s="3"/>
      <c r="E875" s="3" t="s">
        <v>265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153</v>
      </c>
      <c r="O875" s="3"/>
      <c r="P875" s="3"/>
      <c r="Q875" s="3">
        <v>0.121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265</v>
      </c>
      <c r="D876" s="3"/>
      <c r="E876" s="3" t="s">
        <v>265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191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265</v>
      </c>
      <c r="D877" s="3"/>
      <c r="E877" s="3" t="s">
        <v>265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265</v>
      </c>
      <c r="D878" s="3"/>
      <c r="E878" s="3" t="s">
        <v>265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265</v>
      </c>
      <c r="D879" s="3"/>
      <c r="E879" s="3" t="s">
        <v>265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104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265</v>
      </c>
      <c r="D880" s="3"/>
      <c r="E880" s="3" t="s">
        <v>265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266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267</v>
      </c>
      <c r="D881" s="3"/>
      <c r="E881" s="3" t="s">
        <v>267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267</v>
      </c>
      <c r="D882" s="3"/>
      <c r="E882" s="3" t="s">
        <v>267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151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267</v>
      </c>
      <c r="D883" s="3"/>
      <c r="E883" s="3" t="s">
        <v>267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101</v>
      </c>
      <c r="O883" s="3"/>
      <c r="P883" s="3"/>
      <c r="Q883" s="3">
        <v>1.0720000000000001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267</v>
      </c>
      <c r="D884" s="3"/>
      <c r="E884" s="3" t="s">
        <v>267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152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267</v>
      </c>
      <c r="D885" s="3"/>
      <c r="E885" s="3" t="s">
        <v>267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103</v>
      </c>
      <c r="O885" s="3"/>
      <c r="P885" s="3"/>
      <c r="Q885" s="3">
        <v>22.555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267</v>
      </c>
      <c r="D886" s="3"/>
      <c r="E886" s="3" t="s">
        <v>267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139.65199999999999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267</v>
      </c>
      <c r="D887" s="3"/>
      <c r="E887" s="3" t="s">
        <v>267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153</v>
      </c>
      <c r="O887" s="3"/>
      <c r="P887" s="3"/>
      <c r="Q887" s="3">
        <v>0.13200000000000001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267</v>
      </c>
      <c r="D888" s="3"/>
      <c r="E888" s="3" t="s">
        <v>267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191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267</v>
      </c>
      <c r="D889" s="3"/>
      <c r="E889" s="3" t="s">
        <v>267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267</v>
      </c>
      <c r="D890" s="3"/>
      <c r="E890" s="3" t="s">
        <v>267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267</v>
      </c>
      <c r="D891" s="3"/>
      <c r="E891" s="3" t="s">
        <v>267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104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267</v>
      </c>
      <c r="D892" s="3"/>
      <c r="E892" s="3" t="s">
        <v>267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268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269</v>
      </c>
      <c r="D893" s="3"/>
      <c r="E893" s="3" t="s">
        <v>269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269</v>
      </c>
      <c r="D894" s="3"/>
      <c r="E894" s="3" t="s">
        <v>269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151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269</v>
      </c>
      <c r="D895" s="3"/>
      <c r="E895" s="3" t="s">
        <v>269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101</v>
      </c>
      <c r="O895" s="3"/>
      <c r="P895" s="3"/>
      <c r="Q895" s="3">
        <v>1.1739999999999999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269</v>
      </c>
      <c r="D896" s="3"/>
      <c r="E896" s="3" t="s">
        <v>269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152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269</v>
      </c>
      <c r="D897" s="3"/>
      <c r="E897" s="3" t="s">
        <v>269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103</v>
      </c>
      <c r="O897" s="3"/>
      <c r="P897" s="3"/>
      <c r="Q897" s="3">
        <v>23.47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269</v>
      </c>
      <c r="D898" s="3"/>
      <c r="E898" s="3" t="s">
        <v>269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145.27500000000001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269</v>
      </c>
      <c r="D899" s="3"/>
      <c r="E899" s="3" t="s">
        <v>269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153</v>
      </c>
      <c r="O899" s="3"/>
      <c r="P899" s="3"/>
      <c r="Q899" s="3">
        <v>0.14199999999999999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269</v>
      </c>
      <c r="D900" s="3"/>
      <c r="E900" s="3" t="s">
        <v>269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191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269</v>
      </c>
      <c r="D901" s="3"/>
      <c r="E901" s="3" t="s">
        <v>269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269</v>
      </c>
      <c r="D902" s="3"/>
      <c r="E902" s="3" t="s">
        <v>269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269</v>
      </c>
      <c r="D903" s="3"/>
      <c r="E903" s="3" t="s">
        <v>269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104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269</v>
      </c>
      <c r="D904" s="3"/>
      <c r="E904" s="3" t="s">
        <v>269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270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2026-06-02T06:46:27Z</dcterms:modified>
</cp:coreProperties>
</file>