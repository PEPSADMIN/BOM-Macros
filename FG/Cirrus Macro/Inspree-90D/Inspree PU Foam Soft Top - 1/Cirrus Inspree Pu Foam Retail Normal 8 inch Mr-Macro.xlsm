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PU Foam Soft Top - 1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G12" i="13" l="1"/>
  <c r="G3" i="13" l="1"/>
  <c r="G2" i="13"/>
  <c r="G4" i="13"/>
  <c r="G8" i="13" l="1"/>
  <c r="G7" i="13"/>
  <c r="G6" i="13"/>
  <c r="D3" i="13"/>
  <c r="H3" i="13"/>
  <c r="H4" i="13"/>
  <c r="D4" i="13"/>
  <c r="E13" i="13" l="1"/>
  <c r="E2" i="13" l="1"/>
  <c r="D5" i="13" l="1"/>
  <c r="D6" i="13"/>
  <c r="D7" i="13"/>
  <c r="D8" i="13"/>
  <c r="D9" i="13"/>
  <c r="D10" i="13"/>
  <c r="D11" i="13"/>
  <c r="D12" i="13"/>
  <c r="D13" i="13"/>
  <c r="D2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<sst xmlns="http://schemas.openxmlformats.org/spreadsheetml/2006/main" count="10323" uniqueCount="270">
  <si>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</si>
  <si>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</si>
  <si>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</si>
  <si>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</si>
  <si>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</si>
  <si>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</si>
  <si>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</si>
  <si>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</si>
  <si>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</si>
  <si>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</si>
  <si>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</si>
  <si>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</si>
  <si>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</si>
  <si>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</si>
  <si>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</si>
  <si>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</si>
  <si>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</si>
  <si>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</si>
  <si>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</si>
  <si>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</si>
  <si>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</si>
  <si>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</si>
  <si>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</si>
  <si>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</si>
  <si>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</si>
  <si>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</si>
  <si>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</si>
  <si>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</si>
  <si>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</si>
  <si>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</si>
  <si>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</si>
  <si>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</si>
  <si>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</si>
  <si>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</si>
  <si>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</si>
  <si>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</si>
  <si>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</si>
  <si>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</si>
  <si>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</si>
  <si>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</si>
  <si>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</si>
  <si>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</si>
  <si>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</si>
  <si>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</si>
  <si>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</si>
  <si>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</si>
  <si>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</si>
  <si>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</si>
  <si>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</si>
  <si>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</si>
  <si>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</si>
  <si>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</si>
  <si>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</si>
  <si>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</si>
  <si>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</si>
  <si>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</si>
  <si>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</si>
  <si>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</si>
  <si>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</si>
  <si>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</si>
  <si>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</si>
  <si>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</si>
  <si>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</si>
  <si>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</si>
  <si>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</si>
  <si>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</si>
  <si>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</si>
  <si>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</si>
  <si>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</si>
  <si>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</si>
  <si>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</si>
  <si>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</si>
  <si>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</si>
  <si>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</si>
  <si>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</si>
  <si>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</si>
  <si>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</si>
  <si>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</si>
  <si>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</si>
  <si>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</si>
  <si>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</si>
  <si>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</si>
  <si>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</si>
  <si>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</si>
  <si>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</si>
  <si>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</si>
  <si>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</si>
  <si>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</si>
  <si>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</si>
  <si>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</si>
  <si>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</si>
  <si>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</si>
  <si>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</si>
  <si>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</si>
  <si>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MR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</si>
  <si>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</si>
  <si>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</si>
  <si>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</si>
  <si>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</si>
  <si>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</si>
  <si>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</si>
  <si>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</si>
  <si>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</si>
  <si>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</si>
  <si>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</si>
  <si>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4,5,6,8</t>
  </si>
  <si>
    <t>MR-only</t>
  </si>
  <si>
    <t>HYPINSFMMR72X30X08-90D</t>
  </si>
  <si>
    <t>SFG-INSRBMR-ST-QUILT-90D</t>
  </si>
  <si>
    <t>90D-HYP-INSPREE-BLOCK-72X30X08</t>
  </si>
  <si>
    <t>HYPINSFMMR72X36X08-90D</t>
  </si>
  <si>
    <t>90D-HYP-INSPREE-BLOCK-72X36X08</t>
  </si>
  <si>
    <t>HYPINSFMMR72X42X08-90D</t>
  </si>
  <si>
    <t>90D-HYP-INSPREE-BLOCK-72X42X08</t>
  </si>
  <si>
    <t>HYPINSFMMR72X48X08-90D</t>
  </si>
  <si>
    <t>90D-HYP-INSPREE-BLOCK-72X48X08</t>
  </si>
  <si>
    <t>HYPINSFMMR72X60X08-90D</t>
  </si>
  <si>
    <t>90D-HYP-INSPREE-BLOCK-72X60X08</t>
  </si>
  <si>
    <t>HYPINSFMMR72X66X08-90D</t>
  </si>
  <si>
    <t>90D-HYP-INSPREE-BLOCK-72X66X08</t>
  </si>
  <si>
    <t>HYPINSFMMR72X72X08-90D</t>
  </si>
  <si>
    <t>90D-HYP-INSPREE-BLOCK-72X72X08</t>
  </si>
  <si>
    <t>HYPINSFMMR75X30X08-90D</t>
  </si>
  <si>
    <t>90D-HYP-INSPREE-BLOCK-75X30X08</t>
  </si>
  <si>
    <t>HYPINSFMMR75X36X08-90D</t>
  </si>
  <si>
    <t>90D-HYP-INSPREE-BLOCK-75X36X08</t>
  </si>
  <si>
    <t>HYPINSFMMR75X42X08-90D</t>
  </si>
  <si>
    <t>90D-HYP-INSPREE-BLOCK-75X42X08</t>
  </si>
  <si>
    <t>HYPINSFMMR75X48X08-90D</t>
  </si>
  <si>
    <t>90D-HYP-INSPREE-BLOCK-75X48X08</t>
  </si>
  <si>
    <t>HYPINSFMMR75X60X08-90D</t>
  </si>
  <si>
    <t>90D-HYP-INSPREE-BLOCK-75X60X08</t>
  </si>
  <si>
    <t>HYPINSFMMR75X66X08-90D</t>
  </si>
  <si>
    <t>90D-HYP-INSPREE-BLOCK-75X66X08</t>
  </si>
  <si>
    <t>HYPINSFMMR75X72X08-90D</t>
  </si>
  <si>
    <t>90D-HYP-INSPREE-BLOCK-75X72X08</t>
  </si>
  <si>
    <t>HYPINSFMMR78X30X08-90D</t>
  </si>
  <si>
    <t>90D-HYP-INSPREE-BLOCK-78X30X08</t>
  </si>
  <si>
    <t>HYPINSFMMR78X36X08-90D</t>
  </si>
  <si>
    <t>90D-HYP-INSPREE-BLOCK-78X36X08</t>
  </si>
  <si>
    <t>HYPINSFMMR78X42X08-90D</t>
  </si>
  <si>
    <t>90D-HYP-INSPREE-BLOCK-78X42X08</t>
  </si>
  <si>
    <t>HYPINSFMMR78X48X08-90D</t>
  </si>
  <si>
    <t>90D-HYP-INSPREE-BLOCK-78X48X08</t>
  </si>
  <si>
    <t>HYPINSFMMR78X60X08-90D</t>
  </si>
  <si>
    <t>90D-HYP-INSPREE-BLOCK-78X60X08</t>
  </si>
  <si>
    <t>HYPINSFMMR78X66X08-90D</t>
  </si>
  <si>
    <t>90D-HYP-INSPREE-BLOCK-78X66X08</t>
  </si>
  <si>
    <t>HYPINSFMMR78X72X08-90D</t>
  </si>
  <si>
    <t>90D-HYP-INSPREE-BLOCK-78X72X08</t>
  </si>
  <si>
    <t>HYPINSFMMR80X30X08-90D</t>
  </si>
  <si>
    <t>90D-HYP-INSPREE-BLOCK-80X30X08</t>
  </si>
  <si>
    <t>HYPINSFMMR80X36X08-90D</t>
  </si>
  <si>
    <t>90D-HYP-INSPREE-BLOCK-80X36X08</t>
  </si>
  <si>
    <t>HYPINSFMMR80X42X08-90D</t>
  </si>
  <si>
    <t>90D-HYP-INSPREE-BLOCK-80X42X08</t>
  </si>
  <si>
    <t>HYPINSFMMR80X48X08-90D</t>
  </si>
  <si>
    <t>90D-HYP-INSPREE-BLOCK-80X48X08</t>
  </si>
  <si>
    <t>HYPINSFMMR80X60X08-90D</t>
  </si>
  <si>
    <t>90D-HYP-INSPREE-BLOCK-80X60X08</t>
  </si>
  <si>
    <t>HYPINSFMMR80X66X08-90D</t>
  </si>
  <si>
    <t>90D-HYP-INSPREE-BLOCK-80X66X08</t>
  </si>
  <si>
    <t>HYPINSFMMR80X72X08-90D</t>
  </si>
  <si>
    <t>90D-HYP-INSPREE-BLOCK-80X72X08</t>
  </si>
  <si>
    <t>HYPINSFMMR84X30X08-90D</t>
  </si>
  <si>
    <t>90D-HYP-INSPREE-BLOCK-84X30X08</t>
  </si>
  <si>
    <t>HYPINSFMMR84X36X08-90D</t>
  </si>
  <si>
    <t>90D-HYP-INSPREE-BLOCK-84X36X08</t>
  </si>
  <si>
    <t>HYPINSFMMR84X42X08-90D</t>
  </si>
  <si>
    <t>90D-HYP-INSPREE-BLOCK-84X42X08</t>
  </si>
  <si>
    <t>HYPINSFMMR84X48X08-90D</t>
  </si>
  <si>
    <t>90D-HYP-INSPREE-BLOCK-84X48X08</t>
  </si>
  <si>
    <t>HYPINSFMMR84X60X08-90D</t>
  </si>
  <si>
    <t>90D-HYP-INSPREE-BLOCK-84X60X08</t>
  </si>
  <si>
    <t>HYPINSFMMR84X66X08-90D</t>
  </si>
  <si>
    <t>90D-HYP-INSPREE-BLOCK-84X66X08</t>
  </si>
  <si>
    <t>HYPINSFMMR84X72X08-90D</t>
  </si>
  <si>
    <t>90D-HYP-INSPREE-BLOCK-84X72X08</t>
  </si>
  <si>
    <t>33</t>
  </si>
  <si>
    <t>39</t>
  </si>
  <si>
    <t>45</t>
  </si>
  <si>
    <t>51</t>
  </si>
  <si>
    <t>54</t>
  </si>
  <si>
    <t>57</t>
  </si>
  <si>
    <t>63</t>
  </si>
  <si>
    <t>69</t>
  </si>
  <si>
    <t>RML-CB-CIR</t>
  </si>
  <si>
    <t>SFG-MEM-BP</t>
  </si>
  <si>
    <t>RML-CIR-MRP-LBL</t>
  </si>
  <si>
    <t>RML-CS-CIR-8.5</t>
  </si>
  <si>
    <t>HYPINSFMMR72X33X08-90D</t>
  </si>
  <si>
    <t>90D-HYP-INSPREE-BLOCK-72X33X08</t>
  </si>
  <si>
    <t>HYPINSFMMR72X39X08-90D</t>
  </si>
  <si>
    <t>90D-HYP-INSPREE-BLOCK-72X39X08</t>
  </si>
  <si>
    <t>HYPINSFMMR72X45X08-90D</t>
  </si>
  <si>
    <t>90D-HYP-INSPREE-BLOCK-72X45X08</t>
  </si>
  <si>
    <t>HYPINSFMMR72X51X08-90D</t>
  </si>
  <si>
    <t>90D-HYP-INSPREE-BLOCK-72X51X08</t>
  </si>
  <si>
    <t>HYPINSFMMR72X54X08-90D</t>
  </si>
  <si>
    <t>90D-HYP-INSPREE-BLOCK-72X54X08</t>
  </si>
  <si>
    <t>HYPINSFMMR72X57X08-90D</t>
  </si>
  <si>
    <t>90D-HYP-INSPREE-BLOCK-72X57X08</t>
  </si>
  <si>
    <t>HYPINSFMMR72X63X08-90D</t>
  </si>
  <si>
    <t>90D-HYP-INSPREE-BLOCK-72X63X08</t>
  </si>
  <si>
    <t>HYPINSFMMR72X69X08-90D</t>
  </si>
  <si>
    <t>90D-HYP-INSPREE-BLOCK-72X69X08</t>
  </si>
  <si>
    <t>HYPINSFMMR75X33X08-90D</t>
  </si>
  <si>
    <t>90D-HYP-INSPREE-BLOCK-75X33X08</t>
  </si>
  <si>
    <t>HYPINSFMMR75X39X08-90D</t>
  </si>
  <si>
    <t>90D-HYP-INSPREE-BLOCK-75X39X08</t>
  </si>
  <si>
    <t>HYPINSFMMR75X45X08-90D</t>
  </si>
  <si>
    <t>90D-HYP-INSPREE-BLOCK-75X45X08</t>
  </si>
  <si>
    <t>HYPINSFMMR75X51X08-90D</t>
  </si>
  <si>
    <t>90D-HYP-INSPREE-BLOCK-75X51X08</t>
  </si>
  <si>
    <t>HYPINSFMMR75X54X08-90D</t>
  </si>
  <si>
    <t>90D-HYP-INSPREE-BLOCK-75X54X08</t>
  </si>
  <si>
    <t>HYPINSFMMR75X57X08-90D</t>
  </si>
  <si>
    <t>90D-HYP-INSPREE-BLOCK-75X57X08</t>
  </si>
  <si>
    <t>HYPINSFMMR75X63X08-90D</t>
  </si>
  <si>
    <t>90D-HYP-INSPREE-BLOCK-75X63X08</t>
  </si>
  <si>
    <t>HYPINSFMMR75X69X08-90D</t>
  </si>
  <si>
    <t>90D-HYP-INSPREE-BLOCK-75X69X08</t>
  </si>
  <si>
    <t>HYPINSFMMR78X33X08-90D</t>
  </si>
  <si>
    <t>90D-HYP-INSPREE-BLOCK-78X33X08</t>
  </si>
  <si>
    <t>HYPINSFMMR78X39X08-90D</t>
  </si>
  <si>
    <t>90D-HYP-INSPREE-BLOCK-78X39X08</t>
  </si>
  <si>
    <t>HYPINSFMMR78X45X08-90D</t>
  </si>
  <si>
    <t>90D-HYP-INSPREE-BLOCK-78X45X08</t>
  </si>
  <si>
    <t>HYPINSFMMR78X51X08-90D</t>
  </si>
  <si>
    <t>90D-HYP-INSPREE-BLOCK-78X51X08</t>
  </si>
  <si>
    <t>HYPINSFMMR78X54X08-90D</t>
  </si>
  <si>
    <t>90D-HYP-INSPREE-BLOCK-78X54X08</t>
  </si>
  <si>
    <t>HYPINSFMMR78X57X08-90D</t>
  </si>
  <si>
    <t>90D-HYP-INSPREE-BLOCK-78X57X08</t>
  </si>
  <si>
    <t>HYPINSFMMR78X63X08-90D</t>
  </si>
  <si>
    <t>90D-HYP-INSPREE-BLOCK-78X63X08</t>
  </si>
  <si>
    <t>HYPINSFMMR78X69X08-90D</t>
  </si>
  <si>
    <t>90D-HYP-INSPREE-BLOCK-78X69X08</t>
  </si>
  <si>
    <t>HYPINSFMMR80X33X08-90D</t>
  </si>
  <si>
    <t>90D-HYP-INSPREE-BLOCK-80X33X08</t>
  </si>
  <si>
    <t>HYPINSFMMR80X39X08-90D</t>
  </si>
  <si>
    <t>90D-HYP-INSPREE-BLOCK-80X39X08</t>
  </si>
  <si>
    <t>HYPINSFMMR80X45X08-90D</t>
  </si>
  <si>
    <t>90D-HYP-INSPREE-BLOCK-80X45X08</t>
  </si>
  <si>
    <t>HYPINSFMMR80X51X08-90D</t>
  </si>
  <si>
    <t>90D-HYP-INSPREE-BLOCK-80X51X08</t>
  </si>
  <si>
    <t>HYPINSFMMR80X54X08-90D</t>
  </si>
  <si>
    <t>90D-HYP-INSPREE-BLOCK-80X54X08</t>
  </si>
  <si>
    <t>HYPINSFMMR80X57X08-90D</t>
  </si>
  <si>
    <t>90D-HYP-INSPREE-BLOCK-80X57X08</t>
  </si>
  <si>
    <t>HYPINSFMMR80X63X08-90D</t>
  </si>
  <si>
    <t>90D-HYP-INSPREE-BLOCK-80X63X08</t>
  </si>
  <si>
    <t>HYPINSFMMR80X69X08-90D</t>
  </si>
  <si>
    <t>90D-HYP-INSPREE-BLOCK-80X69X08</t>
  </si>
  <si>
    <t>HYPINSFMMR84X33X08-90D</t>
  </si>
  <si>
    <t>90D-HYP-INSPREE-BLOCK-84X33X08</t>
  </si>
  <si>
    <t>HYPINSFMMR84X39X08-90D</t>
  </si>
  <si>
    <t>90D-HYP-INSPREE-BLOCK-84X39X08</t>
  </si>
  <si>
    <t>HYPINSFMMR84X45X08-90D</t>
  </si>
  <si>
    <t>90D-HYP-INSPREE-BLOCK-84X45X08</t>
  </si>
  <si>
    <t>HYPINSFMMR84X51X08-90D</t>
  </si>
  <si>
    <t>90D-HYP-INSPREE-BLOCK-84X51X08</t>
  </si>
  <si>
    <t>HYPINSFMMR84X54X08-90D</t>
  </si>
  <si>
    <t>90D-HYP-INSPREE-BLOCK-84X54X08</t>
  </si>
  <si>
    <t>HYPINSFMMR84X57X08-90D</t>
  </si>
  <si>
    <t>90D-HYP-INSPREE-BLOCK-84X57X08</t>
  </si>
  <si>
    <t>HYPINSFMMR84X63X08-90D</t>
  </si>
  <si>
    <t>90D-HYP-INSPREE-BLOCK-84X63X08</t>
  </si>
  <si>
    <t>HYPINSFMMR84X69X08-90D</t>
  </si>
  <si>
    <t>90D-HYP-INSPREE-BLOCK-84X69X08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</si>
</sst>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23" sqref="G2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"HYPINSFM"&amp;IF($N$2="MR","MR",IF($N$2="MR","MR","MR"))&amp;$K$2&amp;"X"&amp;$L$2&amp;"X0"&amp;$M$2&amp;"-90D"</f>
        <v>HYPINSFMMR75X36X08-90D</v>
      </c>
      <c r="E2" s="37" t="str">
        <f>"SFG-INSRB"&amp;IF(N2="MR","MR",IF(N2="MR","MR",IF(N2="MR","MR",0)))&amp;"-ST-QUILT-90D"</f>
        <v>SFG-INSRBMR-ST-QUILT-90D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94</v>
      </c>
      <c r="P2" s="4" t="s">
        <v>105</v>
      </c>
      <c r="R2" s="28" t="s">
        <v>88</v>
      </c>
      <c r="S2" s="28" t="s">
        <v>95</v>
      </c>
      <c r="T2" s="28">
        <v>8</v>
      </c>
      <c r="U2" s="29" t="s">
        <v>94</v>
      </c>
    </row>
    <row r="3" spans="1:21" s="16" customFormat="1" x14ac:dyDescent="0.25">
      <c r="A3" s="32">
        <v>3</v>
      </c>
      <c r="B3" s="7" t="s">
        <v>93</v>
      </c>
      <c r="C3" s="7" t="s">
        <v>93</v>
      </c>
      <c r="D3" s="9" t="str">
        <f t="shared" ref="D3:D13" si="1">"HYPINSFM"&amp;IF($N$2="MR","MR",IF($N$2="MR","MR","MR"))&amp;$K$2&amp;"X"&amp;$L$2&amp;"X0"&amp;$M$2&amp;"-90D"</f>
        <v>HYPINSFMMR75X36X08-90D</v>
      </c>
      <c r="E3" s="47" t="s">
        <v>187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96</v>
      </c>
      <c r="T3" s="28">
        <v>8</v>
      </c>
      <c r="U3" s="29" t="s">
        <v>94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HYPINSFMMR75X36X08-90D</v>
      </c>
      <c r="E4" s="40" t="s">
        <v>101</v>
      </c>
      <c r="F4" s="11" t="s">
        <v>102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97</v>
      </c>
      <c r="T4" s="28">
        <v>8</v>
      </c>
      <c r="U4" s="29" t="s">
        <v>94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HYPINSFMMR75X36X08-90D</v>
      </c>
      <c r="E5" s="46" t="s">
        <v>188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98</v>
      </c>
      <c r="T5" s="28">
        <v>8</v>
      </c>
      <c r="U5" s="29" t="s">
        <v>94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HYPINSFMMR75X36X08-90D</v>
      </c>
      <c r="E6" s="42" t="s">
        <v>103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99</v>
      </c>
      <c r="T6" s="28">
        <v>8</v>
      </c>
      <c r="U6" s="29" t="s">
        <v>94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HYPINSFMMR75X36X08-90D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100</v>
      </c>
      <c r="T7" s="28">
        <v>8</v>
      </c>
      <c r="U7" s="29" t="s">
        <v>94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HYPINSFMMR75X36X08-90D</v>
      </c>
      <c r="E8" s="46" t="s">
        <v>186</v>
      </c>
      <c r="F8" s="11" t="s">
        <v>12</v>
      </c>
      <c r="G8" s="39">
        <f>(L2+M2+6)*2*0.0254*0.035</f>
        <v>8.8900000000000007E-2</v>
      </c>
      <c r="H8" s="10">
        <f t="shared" si="2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8</v>
      </c>
      <c r="U8" s="29" t="s">
        <v>94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HYPINSFMMR75X36X08-90D</v>
      </c>
      <c r="E9" s="17" t="str">
        <f>IF(M2=4,"RML-CS-CIR-4.5",IF(M2=5,"RML-CS-CIR-5.5","RML-CS-CIR-8.5"))</f>
        <v>RML-CS-CIR-8.5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95</v>
      </c>
      <c r="T9" s="28">
        <v>8</v>
      </c>
      <c r="U9" s="29" t="s">
        <v>94</v>
      </c>
    </row>
    <row r="10" spans="1:21" x14ac:dyDescent="0.25">
      <c r="A10" s="32">
        <v>10</v>
      </c>
      <c r="B10" s="7" t="s">
        <v>18</v>
      </c>
      <c r="C10" s="9" t="s">
        <v>18</v>
      </c>
      <c r="D10" s="9" t="str">
        <f t="shared" si="1"/>
        <v>HYPINSFMMR75X36X08-90D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96</v>
      </c>
      <c r="T10" s="28">
        <v>8</v>
      </c>
      <c r="U10" s="29" t="s">
        <v>94</v>
      </c>
    </row>
    <row r="11" spans="1:21" x14ac:dyDescent="0.25">
      <c r="A11" s="32">
        <v>11</v>
      </c>
      <c r="B11" s="7" t="s">
        <v>18</v>
      </c>
      <c r="C11" s="9" t="s">
        <v>18</v>
      </c>
      <c r="D11" s="9" t="str">
        <f t="shared" si="1"/>
        <v>HYPINSFMMR75X36X08-90D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97</v>
      </c>
      <c r="T11" s="28">
        <v>8</v>
      </c>
      <c r="U11" s="29" t="s">
        <v>94</v>
      </c>
    </row>
    <row r="12" spans="1:21" x14ac:dyDescent="0.25">
      <c r="A12" s="32">
        <v>12</v>
      </c>
      <c r="B12" s="7" t="s">
        <v>18</v>
      </c>
      <c r="C12" s="9" t="s">
        <v>18</v>
      </c>
      <c r="D12" s="9" t="str">
        <f t="shared" si="1"/>
        <v>HYPINSFMMR75X36X08-90D</v>
      </c>
      <c r="E12" s="17" t="s">
        <v>104</v>
      </c>
      <c r="F12" s="11" t="s">
        <v>12</v>
      </c>
      <c r="G12" s="39">
        <f>(IF(K2&lt;=78,(L2*2)+(M2*2),(K2*2)+(M2*2))+4)*89.5*0.0254*0.0254*0.00009*1300</f>
        <v>0.62153295048000001</v>
      </c>
      <c r="H12" s="10">
        <f>ROUND(G12,3)</f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98</v>
      </c>
      <c r="T12" s="28">
        <v>8</v>
      </c>
      <c r="U12" s="29" t="s">
        <v>94</v>
      </c>
    </row>
    <row r="13" spans="1:21" x14ac:dyDescent="0.25">
      <c r="A13" s="32">
        <v>13</v>
      </c>
      <c r="B13" s="7" t="s">
        <v>17</v>
      </c>
      <c r="C13" s="7" t="s">
        <v>17</v>
      </c>
      <c r="D13" s="9" t="str">
        <f t="shared" si="1"/>
        <v>HYPINSFMMR75X36X08-90D</v>
      </c>
      <c r="E13" s="36" t="str">
        <f>"90D-HYP-INSPREE-BLOCK-"&amp;K2&amp;"X"&amp;L2&amp;"X0"&amp;M2</f>
        <v>90D-HYP-INSPREE-BLOCK-75X36X08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99</v>
      </c>
      <c r="T13" s="28">
        <v>8</v>
      </c>
      <c r="U13" s="29" t="s">
        <v>94</v>
      </c>
    </row>
    <row r="14" spans="1:21" x14ac:dyDescent="0.25">
      <c r="J14" s="12"/>
      <c r="M14" s="18"/>
      <c r="O14" s="18"/>
      <c r="R14" s="28" t="s">
        <v>89</v>
      </c>
      <c r="S14" s="28" t="s">
        <v>100</v>
      </c>
      <c r="T14" s="28">
        <v>8</v>
      </c>
      <c r="U14" s="29" t="s">
        <v>94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8</v>
      </c>
      <c r="U15" s="29" t="s">
        <v>94</v>
      </c>
    </row>
    <row r="16" spans="1:21" x14ac:dyDescent="0.25">
      <c r="J16" s="12"/>
      <c r="M16" s="18"/>
      <c r="N16"/>
      <c r="O16"/>
      <c r="R16" s="28" t="s">
        <v>90</v>
      </c>
      <c r="S16" s="28" t="s">
        <v>95</v>
      </c>
      <c r="T16" s="28">
        <v>8</v>
      </c>
      <c r="U16" s="29" t="s">
        <v>94</v>
      </c>
    </row>
    <row r="17" spans="5:21" x14ac:dyDescent="0.25">
      <c r="H17" s="43"/>
      <c r="J17" s="12"/>
      <c r="N17"/>
      <c r="O17"/>
      <c r="R17" s="28" t="s">
        <v>90</v>
      </c>
      <c r="S17" s="28" t="s">
        <v>96</v>
      </c>
      <c r="T17" s="28">
        <v>8</v>
      </c>
      <c r="U17" s="29" t="s">
        <v>94</v>
      </c>
    </row>
    <row r="18" spans="5:21" x14ac:dyDescent="0.25">
      <c r="J18" s="12"/>
      <c r="N18"/>
      <c r="O18"/>
      <c r="R18" s="28" t="s">
        <v>90</v>
      </c>
      <c r="S18" s="28" t="s">
        <v>97</v>
      </c>
      <c r="T18" s="28">
        <v>8</v>
      </c>
      <c r="U18" s="29" t="s">
        <v>94</v>
      </c>
    </row>
    <row r="19" spans="5:21" x14ac:dyDescent="0.25">
      <c r="J19" s="12"/>
      <c r="N19"/>
      <c r="O19"/>
      <c r="R19" s="28" t="s">
        <v>90</v>
      </c>
      <c r="S19" s="28" t="s">
        <v>98</v>
      </c>
      <c r="T19" s="28">
        <v>8</v>
      </c>
      <c r="U19" s="29" t="s">
        <v>94</v>
      </c>
    </row>
    <row r="20" spans="5:21" x14ac:dyDescent="0.25">
      <c r="J20" s="12"/>
      <c r="N20" s="27"/>
      <c r="O20"/>
      <c r="R20" s="28" t="s">
        <v>90</v>
      </c>
      <c r="S20" s="28" t="s">
        <v>99</v>
      </c>
      <c r="T20" s="28">
        <v>8</v>
      </c>
      <c r="U20" s="29" t="s">
        <v>94</v>
      </c>
    </row>
    <row r="21" spans="5:21" x14ac:dyDescent="0.25">
      <c r="J21" s="12"/>
      <c r="N21"/>
      <c r="O21"/>
      <c r="R21" s="28" t="s">
        <v>90</v>
      </c>
      <c r="S21" s="28" t="s">
        <v>100</v>
      </c>
      <c r="T21" s="28">
        <v>8</v>
      </c>
      <c r="U21" s="29" t="s">
        <v>94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8</v>
      </c>
      <c r="U22" s="29" t="s">
        <v>94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95</v>
      </c>
      <c r="T23" s="28">
        <v>8</v>
      </c>
      <c r="U23" s="29" t="s">
        <v>94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96</v>
      </c>
      <c r="T24" s="28">
        <v>8</v>
      </c>
      <c r="U24" s="29" t="s">
        <v>94</v>
      </c>
    </row>
    <row r="25" spans="5:21" x14ac:dyDescent="0.25">
      <c r="N25"/>
      <c r="O25"/>
      <c r="R25" s="28" t="s">
        <v>91</v>
      </c>
      <c r="S25" s="28" t="s">
        <v>97</v>
      </c>
      <c r="T25" s="28">
        <v>8</v>
      </c>
      <c r="U25" s="29" t="s">
        <v>94</v>
      </c>
    </row>
    <row r="26" spans="5:21" x14ac:dyDescent="0.25">
      <c r="N26"/>
      <c r="O26"/>
      <c r="R26" s="28" t="s">
        <v>91</v>
      </c>
      <c r="S26" s="28" t="s">
        <v>98</v>
      </c>
      <c r="T26" s="28">
        <v>8</v>
      </c>
      <c r="U26" s="29" t="s">
        <v>94</v>
      </c>
    </row>
    <row r="27" spans="5:21" x14ac:dyDescent="0.25">
      <c r="N27"/>
      <c r="O27"/>
      <c r="R27" s="28" t="s">
        <v>91</v>
      </c>
      <c r="S27" s="28" t="s">
        <v>99</v>
      </c>
      <c r="T27" s="28">
        <v>8</v>
      </c>
      <c r="U27" s="29" t="s">
        <v>94</v>
      </c>
    </row>
    <row r="28" spans="5:21" x14ac:dyDescent="0.25">
      <c r="M28" s="18"/>
      <c r="N28"/>
      <c r="O28"/>
      <c r="R28" s="28" t="s">
        <v>91</v>
      </c>
      <c r="S28" s="28" t="s">
        <v>100</v>
      </c>
      <c r="T28" s="28">
        <v>8</v>
      </c>
      <c r="U28" s="29" t="s">
        <v>94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8</v>
      </c>
      <c r="U29" s="29" t="s">
        <v>94</v>
      </c>
    </row>
    <row r="30" spans="5:21" x14ac:dyDescent="0.25">
      <c r="H30" s="18"/>
      <c r="N30"/>
      <c r="O30"/>
      <c r="R30" s="28" t="s">
        <v>92</v>
      </c>
      <c r="S30" s="28" t="s">
        <v>95</v>
      </c>
      <c r="T30" s="28">
        <v>8</v>
      </c>
      <c r="U30" s="29" t="s">
        <v>94</v>
      </c>
    </row>
    <row r="31" spans="5:21" x14ac:dyDescent="0.25">
      <c r="N31"/>
      <c r="O31"/>
      <c r="R31" s="28" t="s">
        <v>92</v>
      </c>
      <c r="S31" s="28" t="s">
        <v>96</v>
      </c>
      <c r="T31" s="28">
        <v>8</v>
      </c>
      <c r="U31" s="29" t="s">
        <v>94</v>
      </c>
    </row>
    <row r="32" spans="5:21" x14ac:dyDescent="0.25">
      <c r="N32"/>
      <c r="O32"/>
      <c r="R32" s="28" t="s">
        <v>92</v>
      </c>
      <c r="S32" s="28" t="s">
        <v>97</v>
      </c>
      <c r="T32" s="28">
        <v>8</v>
      </c>
      <c r="U32" s="29" t="s">
        <v>94</v>
      </c>
    </row>
    <row r="33" spans="14:21" x14ac:dyDescent="0.25">
      <c r="N33"/>
      <c r="O33"/>
      <c r="R33" s="28" t="s">
        <v>92</v>
      </c>
      <c r="S33" s="28" t="s">
        <v>98</v>
      </c>
      <c r="T33" s="28">
        <v>8</v>
      </c>
      <c r="U33" s="29" t="s">
        <v>94</v>
      </c>
    </row>
    <row r="34" spans="14:21" x14ac:dyDescent="0.25">
      <c r="N34"/>
      <c r="O34"/>
      <c r="R34" s="28" t="s">
        <v>92</v>
      </c>
      <c r="S34" s="28" t="s">
        <v>99</v>
      </c>
      <c r="T34" s="28">
        <v>8</v>
      </c>
      <c r="U34" s="29" t="s">
        <v>94</v>
      </c>
    </row>
    <row r="35" spans="14:21" x14ac:dyDescent="0.25">
      <c r="N35"/>
      <c r="O35"/>
      <c r="R35" s="28" t="s">
        <v>92</v>
      </c>
      <c r="S35" s="28" t="s">
        <v>100</v>
      </c>
      <c r="T35" s="28">
        <v>8</v>
      </c>
      <c r="U35" s="29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8">
        <v>8</v>
      </c>
      <c r="U36" s="29" t="s">
        <v>94</v>
      </c>
    </row>
    <row r="37" spans="14:21" x14ac:dyDescent="0.25">
      <c r="N37"/>
      <c r="O37"/>
      <c r="R37" s="28" t="s">
        <v>88</v>
      </c>
      <c r="S37" s="28" t="s">
        <v>178</v>
      </c>
      <c r="T37" s="28">
        <v>8</v>
      </c>
      <c r="U37" s="29" t="s">
        <v>94</v>
      </c>
    </row>
    <row r="38" spans="14:21" x14ac:dyDescent="0.25">
      <c r="N38"/>
      <c r="O38"/>
      <c r="R38" s="28" t="s">
        <v>88</v>
      </c>
      <c r="S38" s="28" t="s">
        <v>179</v>
      </c>
      <c r="T38" s="28">
        <v>8</v>
      </c>
      <c r="U38" s="29" t="s">
        <v>94</v>
      </c>
    </row>
    <row r="39" spans="14:21" x14ac:dyDescent="0.25">
      <c r="N39"/>
      <c r="O39"/>
      <c r="R39" s="28" t="s">
        <v>88</v>
      </c>
      <c r="S39" s="28" t="s">
        <v>180</v>
      </c>
      <c r="T39" s="28">
        <v>8</v>
      </c>
      <c r="U39" s="29" t="s">
        <v>94</v>
      </c>
    </row>
    <row r="40" spans="14:21" x14ac:dyDescent="0.25">
      <c r="N40"/>
      <c r="O40"/>
      <c r="R40" s="28" t="s">
        <v>88</v>
      </c>
      <c r="S40" s="28" t="s">
        <v>181</v>
      </c>
      <c r="T40" s="28">
        <v>8</v>
      </c>
      <c r="U40" s="29" t="s">
        <v>94</v>
      </c>
    </row>
    <row r="41" spans="14:21" x14ac:dyDescent="0.25">
      <c r="N41"/>
      <c r="O41"/>
      <c r="R41" s="28" t="s">
        <v>88</v>
      </c>
      <c r="S41" s="28" t="s">
        <v>182</v>
      </c>
      <c r="T41" s="28">
        <v>8</v>
      </c>
      <c r="U41" s="29" t="s">
        <v>94</v>
      </c>
    </row>
    <row r="42" spans="14:21" x14ac:dyDescent="0.25">
      <c r="N42"/>
      <c r="O42"/>
      <c r="R42" s="28" t="s">
        <v>88</v>
      </c>
      <c r="S42" s="28" t="s">
        <v>183</v>
      </c>
      <c r="T42" s="28">
        <v>8</v>
      </c>
      <c r="U42" s="29" t="s">
        <v>94</v>
      </c>
    </row>
    <row r="43" spans="14:21" x14ac:dyDescent="0.25">
      <c r="N43"/>
      <c r="O43"/>
      <c r="R43" s="28" t="s">
        <v>88</v>
      </c>
      <c r="S43" s="28" t="s">
        <v>184</v>
      </c>
      <c r="T43" s="28">
        <v>8</v>
      </c>
      <c r="U43" s="29" t="s">
        <v>94</v>
      </c>
    </row>
    <row r="44" spans="14:21" x14ac:dyDescent="0.25">
      <c r="N44"/>
      <c r="O44"/>
      <c r="R44" s="28" t="s">
        <v>88</v>
      </c>
      <c r="S44" s="28" t="s">
        <v>185</v>
      </c>
      <c r="T44" s="28">
        <v>8</v>
      </c>
      <c r="U44" s="29" t="s">
        <v>94</v>
      </c>
    </row>
    <row r="45" spans="14:21" x14ac:dyDescent="0.25">
      <c r="N45"/>
      <c r="O45"/>
      <c r="R45" s="28" t="s">
        <v>89</v>
      </c>
      <c r="S45" s="28" t="s">
        <v>178</v>
      </c>
      <c r="T45" s="28">
        <v>8</v>
      </c>
      <c r="U45" s="29" t="s">
        <v>94</v>
      </c>
    </row>
    <row r="46" spans="14:21" x14ac:dyDescent="0.25">
      <c r="N46"/>
      <c r="O46"/>
      <c r="R46" s="28" t="s">
        <v>89</v>
      </c>
      <c r="S46" s="28" t="s">
        <v>179</v>
      </c>
      <c r="T46" s="28">
        <v>8</v>
      </c>
      <c r="U46" s="29" t="s">
        <v>94</v>
      </c>
    </row>
    <row r="47" spans="14:21" x14ac:dyDescent="0.25">
      <c r="N47"/>
      <c r="O47"/>
      <c r="R47" s="28" t="s">
        <v>89</v>
      </c>
      <c r="S47" s="28" t="s">
        <v>180</v>
      </c>
      <c r="T47" s="28">
        <v>8</v>
      </c>
      <c r="U47" s="29" t="s">
        <v>94</v>
      </c>
    </row>
    <row r="48" spans="14:21" x14ac:dyDescent="0.25">
      <c r="N48"/>
      <c r="O48"/>
      <c r="R48" s="28" t="s">
        <v>89</v>
      </c>
      <c r="S48" s="28" t="s">
        <v>181</v>
      </c>
      <c r="T48" s="28">
        <v>8</v>
      </c>
      <c r="U48" s="29" t="s">
        <v>94</v>
      </c>
    </row>
    <row r="49" spans="14:21" x14ac:dyDescent="0.25">
      <c r="N49"/>
      <c r="O49"/>
      <c r="R49" s="28" t="s">
        <v>89</v>
      </c>
      <c r="S49" s="28" t="s">
        <v>182</v>
      </c>
      <c r="T49" s="28">
        <v>8</v>
      </c>
      <c r="U49" s="29" t="s">
        <v>94</v>
      </c>
    </row>
    <row r="50" spans="14:21" x14ac:dyDescent="0.25">
      <c r="R50" s="28" t="s">
        <v>89</v>
      </c>
      <c r="S50" s="28" t="s">
        <v>183</v>
      </c>
      <c r="T50" s="28">
        <v>8</v>
      </c>
      <c r="U50" s="29" t="s">
        <v>94</v>
      </c>
    </row>
    <row r="51" spans="14:21" x14ac:dyDescent="0.25">
      <c r="R51" s="28" t="s">
        <v>89</v>
      </c>
      <c r="S51" s="28" t="s">
        <v>184</v>
      </c>
      <c r="T51" s="28">
        <v>8</v>
      </c>
      <c r="U51" s="29" t="s">
        <v>94</v>
      </c>
    </row>
    <row r="52" spans="14:21" x14ac:dyDescent="0.25">
      <c r="R52" s="28" t="s">
        <v>89</v>
      </c>
      <c r="S52" s="28" t="s">
        <v>185</v>
      </c>
      <c r="T52" s="28">
        <v>8</v>
      </c>
      <c r="U52" s="29" t="s">
        <v>94</v>
      </c>
    </row>
    <row r="53" spans="14:21" x14ac:dyDescent="0.25">
      <c r="R53" s="28" t="s">
        <v>90</v>
      </c>
      <c r="S53" s="28" t="s">
        <v>178</v>
      </c>
      <c r="T53" s="28">
        <v>8</v>
      </c>
      <c r="U53" s="29" t="s">
        <v>94</v>
      </c>
    </row>
    <row r="54" spans="14:21" x14ac:dyDescent="0.25">
      <c r="R54" s="28" t="s">
        <v>90</v>
      </c>
      <c r="S54" s="28" t="s">
        <v>179</v>
      </c>
      <c r="T54" s="28">
        <v>8</v>
      </c>
      <c r="U54" s="29" t="s">
        <v>94</v>
      </c>
    </row>
    <row r="55" spans="14:21" x14ac:dyDescent="0.25">
      <c r="R55" s="28" t="s">
        <v>90</v>
      </c>
      <c r="S55" s="28" t="s">
        <v>180</v>
      </c>
      <c r="T55" s="28">
        <v>8</v>
      </c>
      <c r="U55" s="29" t="s">
        <v>94</v>
      </c>
    </row>
    <row r="56" spans="14:21" x14ac:dyDescent="0.25">
      <c r="R56" s="28" t="s">
        <v>90</v>
      </c>
      <c r="S56" s="28" t="s">
        <v>181</v>
      </c>
      <c r="T56" s="28">
        <v>8</v>
      </c>
      <c r="U56" s="29" t="s">
        <v>94</v>
      </c>
    </row>
    <row r="57" spans="14:21" x14ac:dyDescent="0.25">
      <c r="R57" s="28" t="s">
        <v>90</v>
      </c>
      <c r="S57" s="28" t="s">
        <v>182</v>
      </c>
      <c r="T57" s="28">
        <v>8</v>
      </c>
      <c r="U57" s="29" t="s">
        <v>94</v>
      </c>
    </row>
    <row r="58" spans="14:21" x14ac:dyDescent="0.25">
      <c r="R58" s="28" t="s">
        <v>90</v>
      </c>
      <c r="S58" s="28" t="s">
        <v>183</v>
      </c>
      <c r="T58" s="28">
        <v>8</v>
      </c>
      <c r="U58" s="29" t="s">
        <v>94</v>
      </c>
    </row>
    <row r="59" spans="14:21" x14ac:dyDescent="0.25">
      <c r="R59" s="28" t="s">
        <v>90</v>
      </c>
      <c r="S59" s="28" t="s">
        <v>184</v>
      </c>
      <c r="T59" s="28">
        <v>8</v>
      </c>
      <c r="U59" s="29" t="s">
        <v>94</v>
      </c>
    </row>
    <row r="60" spans="14:21" x14ac:dyDescent="0.25">
      <c r="R60" s="28" t="s">
        <v>90</v>
      </c>
      <c r="S60" s="28" t="s">
        <v>185</v>
      </c>
      <c r="T60" s="28">
        <v>8</v>
      </c>
      <c r="U60" s="29" t="s">
        <v>94</v>
      </c>
    </row>
    <row r="61" spans="14:21" x14ac:dyDescent="0.25">
      <c r="R61" s="28" t="s">
        <v>91</v>
      </c>
      <c r="S61" s="28" t="s">
        <v>178</v>
      </c>
      <c r="T61" s="28">
        <v>8</v>
      </c>
      <c r="U61" s="29" t="s">
        <v>94</v>
      </c>
    </row>
    <row r="62" spans="14:21" x14ac:dyDescent="0.25">
      <c r="R62" s="28" t="s">
        <v>91</v>
      </c>
      <c r="S62" s="28" t="s">
        <v>179</v>
      </c>
      <c r="T62" s="28">
        <v>8</v>
      </c>
      <c r="U62" s="29" t="s">
        <v>94</v>
      </c>
    </row>
    <row r="63" spans="14:21" x14ac:dyDescent="0.25">
      <c r="R63" s="28" t="s">
        <v>91</v>
      </c>
      <c r="S63" s="28" t="s">
        <v>180</v>
      </c>
      <c r="T63" s="28">
        <v>8</v>
      </c>
      <c r="U63" s="29" t="s">
        <v>94</v>
      </c>
    </row>
    <row r="64" spans="14:21" x14ac:dyDescent="0.25">
      <c r="R64" s="28" t="s">
        <v>91</v>
      </c>
      <c r="S64" s="28" t="s">
        <v>181</v>
      </c>
      <c r="T64" s="28">
        <v>8</v>
      </c>
      <c r="U64" s="29" t="s">
        <v>94</v>
      </c>
    </row>
    <row r="65" spans="18:21" x14ac:dyDescent="0.25">
      <c r="R65" s="28" t="s">
        <v>91</v>
      </c>
      <c r="S65" s="28" t="s">
        <v>182</v>
      </c>
      <c r="T65" s="28">
        <v>8</v>
      </c>
      <c r="U65" s="29" t="s">
        <v>94</v>
      </c>
    </row>
    <row r="66" spans="18:21" x14ac:dyDescent="0.25">
      <c r="R66" s="28" t="s">
        <v>91</v>
      </c>
      <c r="S66" s="28" t="s">
        <v>183</v>
      </c>
      <c r="T66" s="28">
        <v>8</v>
      </c>
      <c r="U66" s="29" t="s">
        <v>94</v>
      </c>
    </row>
    <row r="67" spans="18:21" x14ac:dyDescent="0.25">
      <c r="R67" s="28" t="s">
        <v>91</v>
      </c>
      <c r="S67" s="28" t="s">
        <v>184</v>
      </c>
      <c r="T67" s="28">
        <v>8</v>
      </c>
      <c r="U67" s="29" t="s">
        <v>94</v>
      </c>
    </row>
    <row r="68" spans="18:21" x14ac:dyDescent="0.25">
      <c r="R68" s="28" t="s">
        <v>91</v>
      </c>
      <c r="S68" s="28" t="s">
        <v>185</v>
      </c>
      <c r="T68" s="28">
        <v>8</v>
      </c>
      <c r="U68" s="29" t="s">
        <v>94</v>
      </c>
    </row>
    <row r="69" spans="18:21" x14ac:dyDescent="0.25">
      <c r="R69" s="28" t="s">
        <v>92</v>
      </c>
      <c r="S69" s="28" t="s">
        <v>178</v>
      </c>
      <c r="T69" s="28">
        <v>8</v>
      </c>
      <c r="U69" s="29" t="s">
        <v>94</v>
      </c>
    </row>
    <row r="70" spans="18:21" x14ac:dyDescent="0.25">
      <c r="R70" s="28" t="s">
        <v>92</v>
      </c>
      <c r="S70" s="28" t="s">
        <v>179</v>
      </c>
      <c r="T70" s="28">
        <v>8</v>
      </c>
      <c r="U70" s="29" t="s">
        <v>94</v>
      </c>
    </row>
    <row r="71" spans="18:21" x14ac:dyDescent="0.25">
      <c r="R71" s="28" t="s">
        <v>92</v>
      </c>
      <c r="S71" s="28" t="s">
        <v>180</v>
      </c>
      <c r="T71" s="28">
        <v>8</v>
      </c>
      <c r="U71" s="29" t="s">
        <v>94</v>
      </c>
    </row>
    <row r="72" spans="18:21" x14ac:dyDescent="0.25">
      <c r="R72" s="28" t="s">
        <v>92</v>
      </c>
      <c r="S72" s="28" t="s">
        <v>181</v>
      </c>
      <c r="T72" s="28">
        <v>8</v>
      </c>
      <c r="U72" s="29" t="s">
        <v>94</v>
      </c>
    </row>
    <row r="73" spans="18:21" x14ac:dyDescent="0.25">
      <c r="R73" s="28" t="s">
        <v>92</v>
      </c>
      <c r="S73" s="28" t="s">
        <v>182</v>
      </c>
      <c r="T73" s="28">
        <v>8</v>
      </c>
      <c r="U73" s="29" t="s">
        <v>94</v>
      </c>
    </row>
    <row r="74" spans="18:21" x14ac:dyDescent="0.25">
      <c r="R74" s="28" t="s">
        <v>92</v>
      </c>
      <c r="S74" s="28" t="s">
        <v>183</v>
      </c>
      <c r="T74" s="28">
        <v>8</v>
      </c>
      <c r="U74" s="29" t="s">
        <v>94</v>
      </c>
    </row>
    <row r="75" spans="18:21" x14ac:dyDescent="0.25">
      <c r="R75" s="28" t="s">
        <v>92</v>
      </c>
      <c r="S75" s="28" t="s">
        <v>184</v>
      </c>
      <c r="T75" s="28">
        <v>8</v>
      </c>
      <c r="U75" s="29" t="s">
        <v>94</v>
      </c>
    </row>
    <row r="76" spans="18:21" x14ac:dyDescent="0.25">
      <c r="R76" s="28" t="s">
        <v>92</v>
      </c>
      <c r="S76" s="28" t="s">
        <v>185</v>
      </c>
      <c r="T76" s="28">
        <v>8</v>
      </c>
      <c r="U76" s="29" t="s">
        <v>94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107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107</v>
      </c>
      <c r="C3">
        <v>20</v>
      </c>
      <c r="D3" t="s">
        <v>187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107</v>
      </c>
      <c r="C4">
        <v>30</v>
      </c>
      <c r="D4" t="s">
        <v>101</v>
      </c>
      <c r="E4" t="s">
        <v>102</v>
      </c>
      <c r="F4">
        <v>0.219</v>
      </c>
      <c r="G4" t="s">
        <v>13</v>
      </c>
    </row>
    <row r="5" spans="1:7" x14ac:dyDescent="0.25">
      <c r="A5">
        <v>1</v>
      </c>
      <c r="B5" t="s">
        <v>107</v>
      </c>
      <c r="C5">
        <v>40</v>
      </c>
      <c r="D5" t="s">
        <v>188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107</v>
      </c>
      <c r="C6">
        <v>50</v>
      </c>
      <c r="D6" t="s">
        <v>103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107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107</v>
      </c>
      <c r="C8">
        <v>70</v>
      </c>
      <c r="D8" t="s">
        <v>186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107</v>
      </c>
      <c r="C9">
        <v>80</v>
      </c>
      <c r="D9" t="s">
        <v>189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107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107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107</v>
      </c>
      <c r="C12">
        <v>110</v>
      </c>
      <c r="D12" t="s">
        <v>104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107</v>
      </c>
      <c r="C13">
        <v>120</v>
      </c>
      <c r="D13" t="s">
        <v>109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108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187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101</v>
      </c>
      <c r="E16" t="s">
        <v>102</v>
      </c>
      <c r="F16">
        <v>0.26200000000000001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188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103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186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189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104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111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112</v>
      </c>
      <c r="C26">
        <v>10</v>
      </c>
      <c r="D26" t="s">
        <v>108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112</v>
      </c>
      <c r="C27">
        <v>20</v>
      </c>
      <c r="D27" t="s">
        <v>187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112</v>
      </c>
      <c r="C28">
        <v>30</v>
      </c>
      <c r="D28" t="s">
        <v>101</v>
      </c>
      <c r="E28" t="s">
        <v>102</v>
      </c>
      <c r="F28">
        <v>0.30599999999999999</v>
      </c>
      <c r="G28" t="s">
        <v>13</v>
      </c>
    </row>
    <row r="29" spans="1:7" x14ac:dyDescent="0.25">
      <c r="A29">
        <v>3</v>
      </c>
      <c r="B29" t="s">
        <v>112</v>
      </c>
      <c r="C29">
        <v>40</v>
      </c>
      <c r="D29" t="s">
        <v>188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112</v>
      </c>
      <c r="C30">
        <v>50</v>
      </c>
      <c r="D30" t="s">
        <v>103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112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112</v>
      </c>
      <c r="C32">
        <v>70</v>
      </c>
      <c r="D32" t="s">
        <v>186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112</v>
      </c>
      <c r="C33">
        <v>80</v>
      </c>
      <c r="D33" t="s">
        <v>189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112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112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112</v>
      </c>
      <c r="C36">
        <v>110</v>
      </c>
      <c r="D36" t="s">
        <v>104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112</v>
      </c>
      <c r="C37">
        <v>120</v>
      </c>
      <c r="D37" t="s">
        <v>113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114</v>
      </c>
      <c r="C38">
        <v>10</v>
      </c>
      <c r="D38" t="s">
        <v>108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114</v>
      </c>
      <c r="C39">
        <v>20</v>
      </c>
      <c r="D39" t="s">
        <v>187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114</v>
      </c>
      <c r="C40">
        <v>30</v>
      </c>
      <c r="D40" t="s">
        <v>101</v>
      </c>
      <c r="E40" t="s">
        <v>102</v>
      </c>
      <c r="F40">
        <v>0.35</v>
      </c>
      <c r="G40" t="s">
        <v>13</v>
      </c>
    </row>
    <row r="41" spans="1:7" x14ac:dyDescent="0.25">
      <c r="A41">
        <v>4</v>
      </c>
      <c r="B41" t="s">
        <v>114</v>
      </c>
      <c r="C41">
        <v>40</v>
      </c>
      <c r="D41" t="s">
        <v>188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114</v>
      </c>
      <c r="C42">
        <v>50</v>
      </c>
      <c r="D42" t="s">
        <v>103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114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114</v>
      </c>
      <c r="C44">
        <v>70</v>
      </c>
      <c r="D44" t="s">
        <v>186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114</v>
      </c>
      <c r="C45">
        <v>80</v>
      </c>
      <c r="D45" t="s">
        <v>189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114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114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114</v>
      </c>
      <c r="C48">
        <v>110</v>
      </c>
      <c r="D48" t="s">
        <v>104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114</v>
      </c>
      <c r="C49">
        <v>120</v>
      </c>
      <c r="D49" t="s">
        <v>115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116</v>
      </c>
      <c r="C50">
        <v>10</v>
      </c>
      <c r="D50" t="s">
        <v>108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116</v>
      </c>
      <c r="C51">
        <v>20</v>
      </c>
      <c r="D51" t="s">
        <v>187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116</v>
      </c>
      <c r="C52">
        <v>30</v>
      </c>
      <c r="D52" t="s">
        <v>101</v>
      </c>
      <c r="E52" t="s">
        <v>102</v>
      </c>
      <c r="F52">
        <v>0.437</v>
      </c>
      <c r="G52" t="s">
        <v>13</v>
      </c>
    </row>
    <row r="53" spans="1:7" x14ac:dyDescent="0.25">
      <c r="A53">
        <v>5</v>
      </c>
      <c r="B53" t="s">
        <v>116</v>
      </c>
      <c r="C53">
        <v>40</v>
      </c>
      <c r="D53" t="s">
        <v>188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116</v>
      </c>
      <c r="C54">
        <v>50</v>
      </c>
      <c r="D54" t="s">
        <v>103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116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116</v>
      </c>
      <c r="C56">
        <v>70</v>
      </c>
      <c r="D56" t="s">
        <v>186</v>
      </c>
      <c r="E56" t="s">
        <v>12</v>
      </c>
      <c r="F56">
        <v>0.13200000000000001</v>
      </c>
      <c r="G56" t="s">
        <v>13</v>
      </c>
    </row>
    <row r="57" spans="1:7" x14ac:dyDescent="0.25">
      <c r="A57">
        <v>5</v>
      </c>
      <c r="B57" t="s">
        <v>116</v>
      </c>
      <c r="C57">
        <v>80</v>
      </c>
      <c r="D57" t="s">
        <v>189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116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116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116</v>
      </c>
      <c r="C60">
        <v>110</v>
      </c>
      <c r="D60" t="s">
        <v>104</v>
      </c>
      <c r="E60" t="s">
        <v>12</v>
      </c>
      <c r="F60">
        <v>0.94599999999999995</v>
      </c>
      <c r="G60" t="s">
        <v>13</v>
      </c>
    </row>
    <row r="61" spans="1:7" x14ac:dyDescent="0.25">
      <c r="A61">
        <v>5</v>
      </c>
      <c r="B61" t="s">
        <v>116</v>
      </c>
      <c r="C61">
        <v>120</v>
      </c>
      <c r="D61" t="s">
        <v>117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118</v>
      </c>
      <c r="C62">
        <v>10</v>
      </c>
      <c r="D62" t="s">
        <v>108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118</v>
      </c>
      <c r="C63">
        <v>20</v>
      </c>
      <c r="D63" t="s">
        <v>187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118</v>
      </c>
      <c r="C64">
        <v>30</v>
      </c>
      <c r="D64" t="s">
        <v>101</v>
      </c>
      <c r="E64" t="s">
        <v>102</v>
      </c>
      <c r="F64">
        <v>0.48099999999999998</v>
      </c>
      <c r="G64" t="s">
        <v>13</v>
      </c>
    </row>
    <row r="65" spans="1:7" x14ac:dyDescent="0.25">
      <c r="A65">
        <v>6</v>
      </c>
      <c r="B65" t="s">
        <v>118</v>
      </c>
      <c r="C65">
        <v>40</v>
      </c>
      <c r="D65" t="s">
        <v>188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118</v>
      </c>
      <c r="C66">
        <v>50</v>
      </c>
      <c r="D66" t="s">
        <v>103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118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118</v>
      </c>
      <c r="C68">
        <v>70</v>
      </c>
      <c r="D68" t="s">
        <v>186</v>
      </c>
      <c r="E68" t="s">
        <v>12</v>
      </c>
      <c r="F68">
        <v>0.14199999999999999</v>
      </c>
      <c r="G68" t="s">
        <v>13</v>
      </c>
    </row>
    <row r="69" spans="1:7" x14ac:dyDescent="0.25">
      <c r="A69">
        <v>6</v>
      </c>
      <c r="B69" t="s">
        <v>118</v>
      </c>
      <c r="C69">
        <v>80</v>
      </c>
      <c r="D69" t="s">
        <v>189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118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118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118</v>
      </c>
      <c r="C72">
        <v>110</v>
      </c>
      <c r="D72" t="s">
        <v>104</v>
      </c>
      <c r="E72" t="s">
        <v>12</v>
      </c>
      <c r="F72">
        <v>1.0269999999999999</v>
      </c>
      <c r="G72" t="s">
        <v>13</v>
      </c>
    </row>
    <row r="73" spans="1:7" x14ac:dyDescent="0.25">
      <c r="A73">
        <v>6</v>
      </c>
      <c r="B73" t="s">
        <v>118</v>
      </c>
      <c r="C73">
        <v>120</v>
      </c>
      <c r="D73" t="s">
        <v>119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120</v>
      </c>
      <c r="C74">
        <v>10</v>
      </c>
      <c r="D74" t="s">
        <v>108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120</v>
      </c>
      <c r="C75">
        <v>20</v>
      </c>
      <c r="D75" t="s">
        <v>187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120</v>
      </c>
      <c r="C76">
        <v>30</v>
      </c>
      <c r="D76" t="s">
        <v>101</v>
      </c>
      <c r="E76" t="s">
        <v>102</v>
      </c>
      <c r="F76">
        <v>0.52500000000000002</v>
      </c>
      <c r="G76" t="s">
        <v>13</v>
      </c>
    </row>
    <row r="77" spans="1:7" x14ac:dyDescent="0.25">
      <c r="A77">
        <v>7</v>
      </c>
      <c r="B77" t="s">
        <v>120</v>
      </c>
      <c r="C77">
        <v>40</v>
      </c>
      <c r="D77" t="s">
        <v>188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120</v>
      </c>
      <c r="C78">
        <v>50</v>
      </c>
      <c r="D78" t="s">
        <v>103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120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120</v>
      </c>
      <c r="C80">
        <v>70</v>
      </c>
      <c r="D80" t="s">
        <v>186</v>
      </c>
      <c r="E80" t="s">
        <v>12</v>
      </c>
      <c r="F80">
        <v>0.153</v>
      </c>
      <c r="G80" t="s">
        <v>13</v>
      </c>
    </row>
    <row r="81" spans="1:7" x14ac:dyDescent="0.25">
      <c r="A81">
        <v>7</v>
      </c>
      <c r="B81" t="s">
        <v>120</v>
      </c>
      <c r="C81">
        <v>80</v>
      </c>
      <c r="D81" t="s">
        <v>189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120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120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120</v>
      </c>
      <c r="C84">
        <v>110</v>
      </c>
      <c r="D84" t="s">
        <v>104</v>
      </c>
      <c r="E84" t="s">
        <v>12</v>
      </c>
      <c r="F84">
        <v>1.1080000000000001</v>
      </c>
      <c r="G84" t="s">
        <v>13</v>
      </c>
    </row>
    <row r="85" spans="1:7" x14ac:dyDescent="0.25">
      <c r="A85">
        <v>7</v>
      </c>
      <c r="B85" t="s">
        <v>120</v>
      </c>
      <c r="C85">
        <v>120</v>
      </c>
      <c r="D85" t="s">
        <v>121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122</v>
      </c>
      <c r="C86">
        <v>10</v>
      </c>
      <c r="D86" t="s">
        <v>108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122</v>
      </c>
      <c r="C87">
        <v>20</v>
      </c>
      <c r="D87" t="s">
        <v>187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122</v>
      </c>
      <c r="C88">
        <v>30</v>
      </c>
      <c r="D88" t="s">
        <v>101</v>
      </c>
      <c r="E88" t="s">
        <v>102</v>
      </c>
      <c r="F88">
        <v>0.22800000000000001</v>
      </c>
      <c r="G88" t="s">
        <v>13</v>
      </c>
    </row>
    <row r="89" spans="1:7" x14ac:dyDescent="0.25">
      <c r="A89">
        <v>8</v>
      </c>
      <c r="B89" t="s">
        <v>122</v>
      </c>
      <c r="C89">
        <v>40</v>
      </c>
      <c r="D89" t="s">
        <v>188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122</v>
      </c>
      <c r="C90">
        <v>50</v>
      </c>
      <c r="D90" t="s">
        <v>103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122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122</v>
      </c>
      <c r="C92">
        <v>70</v>
      </c>
      <c r="D92" t="s">
        <v>186</v>
      </c>
      <c r="E92" t="s">
        <v>12</v>
      </c>
      <c r="F92">
        <v>7.8E-2</v>
      </c>
      <c r="G92" t="s">
        <v>13</v>
      </c>
    </row>
    <row r="93" spans="1:7" x14ac:dyDescent="0.25">
      <c r="A93">
        <v>8</v>
      </c>
      <c r="B93" t="s">
        <v>122</v>
      </c>
      <c r="C93">
        <v>80</v>
      </c>
      <c r="D93" t="s">
        <v>189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122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122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122</v>
      </c>
      <c r="C96">
        <v>110</v>
      </c>
      <c r="D96" t="s">
        <v>104</v>
      </c>
      <c r="E96" t="s">
        <v>12</v>
      </c>
      <c r="F96">
        <v>0.54</v>
      </c>
      <c r="G96" t="s">
        <v>13</v>
      </c>
    </row>
    <row r="97" spans="1:7" x14ac:dyDescent="0.25">
      <c r="A97">
        <v>8</v>
      </c>
      <c r="B97" t="s">
        <v>122</v>
      </c>
      <c r="C97">
        <v>120</v>
      </c>
      <c r="D97" t="s">
        <v>123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124</v>
      </c>
      <c r="C98">
        <v>10</v>
      </c>
      <c r="D98" t="s">
        <v>108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124</v>
      </c>
      <c r="C99">
        <v>20</v>
      </c>
      <c r="D99" t="s">
        <v>187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124</v>
      </c>
      <c r="C100">
        <v>30</v>
      </c>
      <c r="D100" t="s">
        <v>101</v>
      </c>
      <c r="E100" t="s">
        <v>102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124</v>
      </c>
      <c r="C101">
        <v>40</v>
      </c>
      <c r="D101" t="s">
        <v>188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124</v>
      </c>
      <c r="C102">
        <v>50</v>
      </c>
      <c r="D102" t="s">
        <v>103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124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124</v>
      </c>
      <c r="C104">
        <v>70</v>
      </c>
      <c r="D104" t="s">
        <v>186</v>
      </c>
      <c r="E104" t="s">
        <v>12</v>
      </c>
      <c r="F104">
        <v>8.8999999999999996E-2</v>
      </c>
      <c r="G104" t="s">
        <v>13</v>
      </c>
    </row>
    <row r="105" spans="1:7" x14ac:dyDescent="0.25">
      <c r="A105">
        <v>9</v>
      </c>
      <c r="B105" t="s">
        <v>124</v>
      </c>
      <c r="C105">
        <v>80</v>
      </c>
      <c r="D105" t="s">
        <v>189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124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124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124</v>
      </c>
      <c r="C108">
        <v>110</v>
      </c>
      <c r="D108" t="s">
        <v>104</v>
      </c>
      <c r="E108" t="s">
        <v>12</v>
      </c>
      <c r="F108">
        <v>0.622</v>
      </c>
      <c r="G108" t="s">
        <v>13</v>
      </c>
    </row>
    <row r="109" spans="1:7" x14ac:dyDescent="0.25">
      <c r="A109">
        <v>9</v>
      </c>
      <c r="B109" t="s">
        <v>124</v>
      </c>
      <c r="C109">
        <v>120</v>
      </c>
      <c r="D109" t="s">
        <v>125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126</v>
      </c>
      <c r="C110">
        <v>10</v>
      </c>
      <c r="D110" t="s">
        <v>108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126</v>
      </c>
      <c r="C111">
        <v>20</v>
      </c>
      <c r="D111" t="s">
        <v>187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126</v>
      </c>
      <c r="C112">
        <v>30</v>
      </c>
      <c r="D112" t="s">
        <v>101</v>
      </c>
      <c r="E112" t="s">
        <v>102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126</v>
      </c>
      <c r="C113">
        <v>40</v>
      </c>
      <c r="D113" t="s">
        <v>188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126</v>
      </c>
      <c r="C114">
        <v>50</v>
      </c>
      <c r="D114" t="s">
        <v>103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126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126</v>
      </c>
      <c r="C116">
        <v>70</v>
      </c>
      <c r="D116" t="s">
        <v>186</v>
      </c>
      <c r="E116" t="s">
        <v>12</v>
      </c>
      <c r="F116">
        <v>0.1</v>
      </c>
      <c r="G116" t="s">
        <v>13</v>
      </c>
    </row>
    <row r="117" spans="1:7" x14ac:dyDescent="0.25">
      <c r="A117">
        <v>10</v>
      </c>
      <c r="B117" t="s">
        <v>126</v>
      </c>
      <c r="C117">
        <v>80</v>
      </c>
      <c r="D117" t="s">
        <v>189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126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126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126</v>
      </c>
      <c r="C120">
        <v>110</v>
      </c>
      <c r="D120" t="s">
        <v>104</v>
      </c>
      <c r="E120" t="s">
        <v>12</v>
      </c>
      <c r="F120">
        <v>0.70299999999999996</v>
      </c>
      <c r="G120" t="s">
        <v>13</v>
      </c>
    </row>
    <row r="121" spans="1:7" x14ac:dyDescent="0.25">
      <c r="A121">
        <v>10</v>
      </c>
      <c r="B121" t="s">
        <v>126</v>
      </c>
      <c r="C121">
        <v>120</v>
      </c>
      <c r="D121" t="s">
        <v>127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128</v>
      </c>
      <c r="C122">
        <v>10</v>
      </c>
      <c r="D122" t="s">
        <v>108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128</v>
      </c>
      <c r="C123">
        <v>20</v>
      </c>
      <c r="D123" t="s">
        <v>187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128</v>
      </c>
      <c r="C124">
        <v>30</v>
      </c>
      <c r="D124" t="s">
        <v>101</v>
      </c>
      <c r="E124" t="s">
        <v>102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128</v>
      </c>
      <c r="C125">
        <v>40</v>
      </c>
      <c r="D125" t="s">
        <v>188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128</v>
      </c>
      <c r="C126">
        <v>50</v>
      </c>
      <c r="D126" t="s">
        <v>103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128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128</v>
      </c>
      <c r="C128">
        <v>70</v>
      </c>
      <c r="D128" t="s">
        <v>186</v>
      </c>
      <c r="E128" t="s">
        <v>12</v>
      </c>
      <c r="F128">
        <v>0.11</v>
      </c>
      <c r="G128" t="s">
        <v>13</v>
      </c>
    </row>
    <row r="129" spans="1:7" x14ac:dyDescent="0.25">
      <c r="A129">
        <v>11</v>
      </c>
      <c r="B129" t="s">
        <v>128</v>
      </c>
      <c r="C129">
        <v>80</v>
      </c>
      <c r="D129" t="s">
        <v>189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128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128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128</v>
      </c>
      <c r="C132">
        <v>110</v>
      </c>
      <c r="D132" t="s">
        <v>104</v>
      </c>
      <c r="E132" t="s">
        <v>12</v>
      </c>
      <c r="F132">
        <v>0.78400000000000003</v>
      </c>
      <c r="G132" t="s">
        <v>13</v>
      </c>
    </row>
    <row r="133" spans="1:7" x14ac:dyDescent="0.25">
      <c r="A133">
        <v>11</v>
      </c>
      <c r="B133" t="s">
        <v>128</v>
      </c>
      <c r="C133">
        <v>120</v>
      </c>
      <c r="D133" t="s">
        <v>129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130</v>
      </c>
      <c r="C134">
        <v>10</v>
      </c>
      <c r="D134" t="s">
        <v>108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130</v>
      </c>
      <c r="C135">
        <v>20</v>
      </c>
      <c r="D135" t="s">
        <v>187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130</v>
      </c>
      <c r="C136">
        <v>30</v>
      </c>
      <c r="D136" t="s">
        <v>101</v>
      </c>
      <c r="E136" t="s">
        <v>102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130</v>
      </c>
      <c r="C137">
        <v>40</v>
      </c>
      <c r="D137" t="s">
        <v>188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130</v>
      </c>
      <c r="C138">
        <v>50</v>
      </c>
      <c r="D138" t="s">
        <v>103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130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130</v>
      </c>
      <c r="C140">
        <v>70</v>
      </c>
      <c r="D140" t="s">
        <v>186</v>
      </c>
      <c r="E140" t="s">
        <v>12</v>
      </c>
      <c r="F140">
        <v>0.13200000000000001</v>
      </c>
      <c r="G140" t="s">
        <v>13</v>
      </c>
    </row>
    <row r="141" spans="1:7" x14ac:dyDescent="0.25">
      <c r="A141">
        <v>12</v>
      </c>
      <c r="B141" t="s">
        <v>130</v>
      </c>
      <c r="C141">
        <v>80</v>
      </c>
      <c r="D141" t="s">
        <v>189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130</v>
      </c>
      <c r="C144">
        <v>110</v>
      </c>
      <c r="D144" t="s">
        <v>104</v>
      </c>
      <c r="E144" t="s">
        <v>12</v>
      </c>
      <c r="F144">
        <v>0.94599999999999995</v>
      </c>
      <c r="G144" t="s">
        <v>13</v>
      </c>
    </row>
    <row r="145" spans="1:7" x14ac:dyDescent="0.25">
      <c r="A145">
        <v>12</v>
      </c>
      <c r="B145" t="s">
        <v>130</v>
      </c>
      <c r="C145">
        <v>120</v>
      </c>
      <c r="D145" t="s">
        <v>131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132</v>
      </c>
      <c r="C146">
        <v>10</v>
      </c>
      <c r="D146" t="s">
        <v>108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132</v>
      </c>
      <c r="C147">
        <v>20</v>
      </c>
      <c r="D147" t="s">
        <v>187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132</v>
      </c>
      <c r="C148">
        <v>30</v>
      </c>
      <c r="D148" t="s">
        <v>101</v>
      </c>
      <c r="E148" t="s">
        <v>102</v>
      </c>
      <c r="F148">
        <v>0.501</v>
      </c>
      <c r="G148" t="s">
        <v>13</v>
      </c>
    </row>
    <row r="149" spans="1:7" x14ac:dyDescent="0.25">
      <c r="A149">
        <v>13</v>
      </c>
      <c r="B149" t="s">
        <v>132</v>
      </c>
      <c r="C149">
        <v>40</v>
      </c>
      <c r="D149" t="s">
        <v>188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132</v>
      </c>
      <c r="C150">
        <v>50</v>
      </c>
      <c r="D150" t="s">
        <v>103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132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132</v>
      </c>
      <c r="C152">
        <v>70</v>
      </c>
      <c r="D152" t="s">
        <v>186</v>
      </c>
      <c r="E152" t="s">
        <v>12</v>
      </c>
      <c r="F152">
        <v>0.14199999999999999</v>
      </c>
      <c r="G152" t="s">
        <v>13</v>
      </c>
    </row>
    <row r="153" spans="1:7" x14ac:dyDescent="0.25">
      <c r="A153">
        <v>13</v>
      </c>
      <c r="B153" t="s">
        <v>132</v>
      </c>
      <c r="C153">
        <v>80</v>
      </c>
      <c r="D153" t="s">
        <v>189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132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132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132</v>
      </c>
      <c r="C156">
        <v>110</v>
      </c>
      <c r="D156" t="s">
        <v>104</v>
      </c>
      <c r="E156" t="s">
        <v>12</v>
      </c>
      <c r="F156">
        <v>1.0269999999999999</v>
      </c>
      <c r="G156" t="s">
        <v>13</v>
      </c>
    </row>
    <row r="157" spans="1:7" x14ac:dyDescent="0.25">
      <c r="A157">
        <v>13</v>
      </c>
      <c r="B157" t="s">
        <v>132</v>
      </c>
      <c r="C157">
        <v>120</v>
      </c>
      <c r="D157" t="s">
        <v>133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134</v>
      </c>
      <c r="C158">
        <v>10</v>
      </c>
      <c r="D158" t="s">
        <v>108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134</v>
      </c>
      <c r="C159">
        <v>20</v>
      </c>
      <c r="D159" t="s">
        <v>187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134</v>
      </c>
      <c r="C160">
        <v>30</v>
      </c>
      <c r="D160" t="s">
        <v>101</v>
      </c>
      <c r="E160" t="s">
        <v>102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134</v>
      </c>
      <c r="C161">
        <v>40</v>
      </c>
      <c r="D161" t="s">
        <v>188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134</v>
      </c>
      <c r="C162">
        <v>50</v>
      </c>
      <c r="D162" t="s">
        <v>103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134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134</v>
      </c>
      <c r="C164">
        <v>70</v>
      </c>
      <c r="D164" t="s">
        <v>186</v>
      </c>
      <c r="E164" t="s">
        <v>12</v>
      </c>
      <c r="F164">
        <v>0.153</v>
      </c>
      <c r="G164" t="s">
        <v>13</v>
      </c>
    </row>
    <row r="165" spans="1:7" x14ac:dyDescent="0.25">
      <c r="A165">
        <v>14</v>
      </c>
      <c r="B165" t="s">
        <v>134</v>
      </c>
      <c r="C165">
        <v>80</v>
      </c>
      <c r="D165" t="s">
        <v>189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134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134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134</v>
      </c>
      <c r="C168">
        <v>110</v>
      </c>
      <c r="D168" t="s">
        <v>104</v>
      </c>
      <c r="E168" t="s">
        <v>12</v>
      </c>
      <c r="F168">
        <v>1.1080000000000001</v>
      </c>
      <c r="G168" t="s">
        <v>13</v>
      </c>
    </row>
    <row r="169" spans="1:7" x14ac:dyDescent="0.25">
      <c r="A169">
        <v>14</v>
      </c>
      <c r="B169" t="s">
        <v>134</v>
      </c>
      <c r="C169">
        <v>120</v>
      </c>
      <c r="D169" t="s">
        <v>135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136</v>
      </c>
      <c r="C170">
        <v>10</v>
      </c>
      <c r="D170" t="s">
        <v>108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136</v>
      </c>
      <c r="C171">
        <v>20</v>
      </c>
      <c r="D171" t="s">
        <v>187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136</v>
      </c>
      <c r="C172">
        <v>30</v>
      </c>
      <c r="D172" t="s">
        <v>101</v>
      </c>
      <c r="E172" t="s">
        <v>102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136</v>
      </c>
      <c r="C173">
        <v>40</v>
      </c>
      <c r="D173" t="s">
        <v>188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136</v>
      </c>
      <c r="C174">
        <v>50</v>
      </c>
      <c r="D174" t="s">
        <v>103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136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136</v>
      </c>
      <c r="C176">
        <v>70</v>
      </c>
      <c r="D176" t="s">
        <v>186</v>
      </c>
      <c r="E176" t="s">
        <v>12</v>
      </c>
      <c r="F176">
        <v>7.8E-2</v>
      </c>
      <c r="G176" t="s">
        <v>13</v>
      </c>
    </row>
    <row r="177" spans="1:7" x14ac:dyDescent="0.25">
      <c r="A177">
        <v>15</v>
      </c>
      <c r="B177" t="s">
        <v>136</v>
      </c>
      <c r="C177">
        <v>80</v>
      </c>
      <c r="D177" t="s">
        <v>189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136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136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136</v>
      </c>
      <c r="C180">
        <v>110</v>
      </c>
      <c r="D180" t="s">
        <v>104</v>
      </c>
      <c r="E180" t="s">
        <v>12</v>
      </c>
      <c r="F180">
        <v>0.54</v>
      </c>
      <c r="G180" t="s">
        <v>13</v>
      </c>
    </row>
    <row r="181" spans="1:7" x14ac:dyDescent="0.25">
      <c r="A181">
        <v>15</v>
      </c>
      <c r="B181" t="s">
        <v>136</v>
      </c>
      <c r="C181">
        <v>120</v>
      </c>
      <c r="D181" t="s">
        <v>137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138</v>
      </c>
      <c r="C182">
        <v>10</v>
      </c>
      <c r="D182" t="s">
        <v>108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138</v>
      </c>
      <c r="C183">
        <v>20</v>
      </c>
      <c r="D183" t="s">
        <v>187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138</v>
      </c>
      <c r="C184">
        <v>30</v>
      </c>
      <c r="D184" t="s">
        <v>101</v>
      </c>
      <c r="E184" t="s">
        <v>102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138</v>
      </c>
      <c r="C185">
        <v>40</v>
      </c>
      <c r="D185" t="s">
        <v>188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138</v>
      </c>
      <c r="C186">
        <v>50</v>
      </c>
      <c r="D186" t="s">
        <v>103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138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138</v>
      </c>
      <c r="C188">
        <v>70</v>
      </c>
      <c r="D188" t="s">
        <v>186</v>
      </c>
      <c r="E188" t="s">
        <v>12</v>
      </c>
      <c r="F188">
        <v>8.8999999999999996E-2</v>
      </c>
      <c r="G188" t="s">
        <v>13</v>
      </c>
    </row>
    <row r="189" spans="1:7" x14ac:dyDescent="0.25">
      <c r="A189">
        <v>16</v>
      </c>
      <c r="B189" t="s">
        <v>138</v>
      </c>
      <c r="C189">
        <v>80</v>
      </c>
      <c r="D189" t="s">
        <v>189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138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138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138</v>
      </c>
      <c r="C192">
        <v>110</v>
      </c>
      <c r="D192" t="s">
        <v>104</v>
      </c>
      <c r="E192" t="s">
        <v>12</v>
      </c>
      <c r="F192">
        <v>0.622</v>
      </c>
      <c r="G192" t="s">
        <v>13</v>
      </c>
    </row>
    <row r="193" spans="1:7" x14ac:dyDescent="0.25">
      <c r="A193">
        <v>16</v>
      </c>
      <c r="B193" t="s">
        <v>138</v>
      </c>
      <c r="C193">
        <v>120</v>
      </c>
      <c r="D193" t="s">
        <v>139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140</v>
      </c>
      <c r="C194">
        <v>10</v>
      </c>
      <c r="D194" t="s">
        <v>108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140</v>
      </c>
      <c r="C195">
        <v>20</v>
      </c>
      <c r="D195" t="s">
        <v>187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140</v>
      </c>
      <c r="C196">
        <v>30</v>
      </c>
      <c r="D196" t="s">
        <v>101</v>
      </c>
      <c r="E196" t="s">
        <v>102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140</v>
      </c>
      <c r="C197">
        <v>40</v>
      </c>
      <c r="D197" t="s">
        <v>188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140</v>
      </c>
      <c r="C198">
        <v>50</v>
      </c>
      <c r="D198" t="s">
        <v>103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140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140</v>
      </c>
      <c r="C200">
        <v>70</v>
      </c>
      <c r="D200" t="s">
        <v>186</v>
      </c>
      <c r="E200" t="s">
        <v>12</v>
      </c>
      <c r="F200">
        <v>0.1</v>
      </c>
      <c r="G200" t="s">
        <v>13</v>
      </c>
    </row>
    <row r="201" spans="1:7" x14ac:dyDescent="0.25">
      <c r="A201">
        <v>17</v>
      </c>
      <c r="B201" t="s">
        <v>140</v>
      </c>
      <c r="C201">
        <v>80</v>
      </c>
      <c r="D201" t="s">
        <v>189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140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140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140</v>
      </c>
      <c r="C204">
        <v>110</v>
      </c>
      <c r="D204" t="s">
        <v>104</v>
      </c>
      <c r="E204" t="s">
        <v>12</v>
      </c>
      <c r="F204">
        <v>0.70299999999999996</v>
      </c>
      <c r="G204" t="s">
        <v>13</v>
      </c>
    </row>
    <row r="205" spans="1:7" x14ac:dyDescent="0.25">
      <c r="A205">
        <v>17</v>
      </c>
      <c r="B205" t="s">
        <v>140</v>
      </c>
      <c r="C205">
        <v>120</v>
      </c>
      <c r="D205" t="s">
        <v>141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142</v>
      </c>
      <c r="C206">
        <v>10</v>
      </c>
      <c r="D206" t="s">
        <v>108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142</v>
      </c>
      <c r="C207">
        <v>20</v>
      </c>
      <c r="D207" t="s">
        <v>187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142</v>
      </c>
      <c r="C208">
        <v>30</v>
      </c>
      <c r="D208" t="s">
        <v>101</v>
      </c>
      <c r="E208" t="s">
        <v>102</v>
      </c>
      <c r="F208">
        <v>0.379</v>
      </c>
      <c r="G208" t="s">
        <v>13</v>
      </c>
    </row>
    <row r="209" spans="1:7" x14ac:dyDescent="0.25">
      <c r="A209">
        <v>18</v>
      </c>
      <c r="B209" t="s">
        <v>142</v>
      </c>
      <c r="C209">
        <v>40</v>
      </c>
      <c r="D209" t="s">
        <v>188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142</v>
      </c>
      <c r="C210">
        <v>50</v>
      </c>
      <c r="D210" t="s">
        <v>103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142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142</v>
      </c>
      <c r="C212">
        <v>70</v>
      </c>
      <c r="D212" t="s">
        <v>186</v>
      </c>
      <c r="E212" t="s">
        <v>12</v>
      </c>
      <c r="F212">
        <v>0.11</v>
      </c>
      <c r="G212" t="s">
        <v>13</v>
      </c>
    </row>
    <row r="213" spans="1:7" x14ac:dyDescent="0.25">
      <c r="A213">
        <v>18</v>
      </c>
      <c r="B213" t="s">
        <v>142</v>
      </c>
      <c r="C213">
        <v>80</v>
      </c>
      <c r="D213" t="s">
        <v>189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142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142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142</v>
      </c>
      <c r="C216">
        <v>110</v>
      </c>
      <c r="D216" t="s">
        <v>104</v>
      </c>
      <c r="E216" t="s">
        <v>12</v>
      </c>
      <c r="F216">
        <v>0.78400000000000003</v>
      </c>
      <c r="G216" t="s">
        <v>13</v>
      </c>
    </row>
    <row r="217" spans="1:7" x14ac:dyDescent="0.25">
      <c r="A217">
        <v>18</v>
      </c>
      <c r="B217" t="s">
        <v>142</v>
      </c>
      <c r="C217">
        <v>120</v>
      </c>
      <c r="D217" t="s">
        <v>143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144</v>
      </c>
      <c r="C218">
        <v>10</v>
      </c>
      <c r="D218" t="s">
        <v>108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144</v>
      </c>
      <c r="C219">
        <v>20</v>
      </c>
      <c r="D219" t="s">
        <v>187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144</v>
      </c>
      <c r="C220">
        <v>30</v>
      </c>
      <c r="D220" t="s">
        <v>101</v>
      </c>
      <c r="E220" t="s">
        <v>102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144</v>
      </c>
      <c r="C221">
        <v>40</v>
      </c>
      <c r="D221" t="s">
        <v>188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144</v>
      </c>
      <c r="C222">
        <v>50</v>
      </c>
      <c r="D222" t="s">
        <v>103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144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144</v>
      </c>
      <c r="C224">
        <v>70</v>
      </c>
      <c r="D224" t="s">
        <v>186</v>
      </c>
      <c r="E224" t="s">
        <v>12</v>
      </c>
      <c r="F224">
        <v>0.13200000000000001</v>
      </c>
      <c r="G224" t="s">
        <v>13</v>
      </c>
    </row>
    <row r="225" spans="1:7" x14ac:dyDescent="0.25">
      <c r="A225">
        <v>19</v>
      </c>
      <c r="B225" t="s">
        <v>144</v>
      </c>
      <c r="C225">
        <v>80</v>
      </c>
      <c r="D225" t="s">
        <v>189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144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144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144</v>
      </c>
      <c r="C228">
        <v>110</v>
      </c>
      <c r="D228" t="s">
        <v>104</v>
      </c>
      <c r="E228" t="s">
        <v>12</v>
      </c>
      <c r="F228">
        <v>0.94599999999999995</v>
      </c>
      <c r="G228" t="s">
        <v>13</v>
      </c>
    </row>
    <row r="229" spans="1:7" x14ac:dyDescent="0.25">
      <c r="A229">
        <v>19</v>
      </c>
      <c r="B229" t="s">
        <v>144</v>
      </c>
      <c r="C229">
        <v>120</v>
      </c>
      <c r="D229" t="s">
        <v>145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146</v>
      </c>
      <c r="C230">
        <v>10</v>
      </c>
      <c r="D230" t="s">
        <v>108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146</v>
      </c>
      <c r="C231">
        <v>20</v>
      </c>
      <c r="D231" t="s">
        <v>187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146</v>
      </c>
      <c r="C232">
        <v>30</v>
      </c>
      <c r="D232" t="s">
        <v>101</v>
      </c>
      <c r="E232" t="s">
        <v>102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146</v>
      </c>
      <c r="C233">
        <v>40</v>
      </c>
      <c r="D233" t="s">
        <v>188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146</v>
      </c>
      <c r="C234">
        <v>50</v>
      </c>
      <c r="D234" t="s">
        <v>103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146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146</v>
      </c>
      <c r="C236">
        <v>70</v>
      </c>
      <c r="D236" t="s">
        <v>186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20</v>
      </c>
      <c r="B237" t="s">
        <v>146</v>
      </c>
      <c r="C237">
        <v>80</v>
      </c>
      <c r="D237" t="s">
        <v>189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146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146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146</v>
      </c>
      <c r="C240">
        <v>110</v>
      </c>
      <c r="D240" t="s">
        <v>104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20</v>
      </c>
      <c r="B241" t="s">
        <v>146</v>
      </c>
      <c r="C241">
        <v>120</v>
      </c>
      <c r="D241" t="s">
        <v>147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148</v>
      </c>
      <c r="C242">
        <v>10</v>
      </c>
      <c r="D242" t="s">
        <v>108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148</v>
      </c>
      <c r="C243">
        <v>20</v>
      </c>
      <c r="D243" t="s">
        <v>187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148</v>
      </c>
      <c r="C244">
        <v>30</v>
      </c>
      <c r="D244" t="s">
        <v>101</v>
      </c>
      <c r="E244" t="s">
        <v>102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148</v>
      </c>
      <c r="C245">
        <v>40</v>
      </c>
      <c r="D245" t="s">
        <v>188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148</v>
      </c>
      <c r="C246">
        <v>50</v>
      </c>
      <c r="D246" t="s">
        <v>103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148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148</v>
      </c>
      <c r="C248">
        <v>70</v>
      </c>
      <c r="D248" t="s">
        <v>186</v>
      </c>
      <c r="E248" t="s">
        <v>12</v>
      </c>
      <c r="F248">
        <v>0.153</v>
      </c>
      <c r="G248" t="s">
        <v>13</v>
      </c>
    </row>
    <row r="249" spans="1:7" x14ac:dyDescent="0.25">
      <c r="A249">
        <v>21</v>
      </c>
      <c r="B249" t="s">
        <v>148</v>
      </c>
      <c r="C249">
        <v>80</v>
      </c>
      <c r="D249" t="s">
        <v>189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148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148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148</v>
      </c>
      <c r="C252">
        <v>110</v>
      </c>
      <c r="D252" t="s">
        <v>104</v>
      </c>
      <c r="E252" t="s">
        <v>12</v>
      </c>
      <c r="F252">
        <v>1.1080000000000001</v>
      </c>
      <c r="G252" t="s">
        <v>13</v>
      </c>
    </row>
    <row r="253" spans="1:7" x14ac:dyDescent="0.25">
      <c r="A253">
        <v>21</v>
      </c>
      <c r="B253" t="s">
        <v>148</v>
      </c>
      <c r="C253">
        <v>120</v>
      </c>
      <c r="D253" t="s">
        <v>149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150</v>
      </c>
      <c r="C254">
        <v>10</v>
      </c>
      <c r="D254" t="s">
        <v>108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150</v>
      </c>
      <c r="C255">
        <v>20</v>
      </c>
      <c r="D255" t="s">
        <v>187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150</v>
      </c>
      <c r="C256">
        <v>30</v>
      </c>
      <c r="D256" t="s">
        <v>101</v>
      </c>
      <c r="E256" t="s">
        <v>102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150</v>
      </c>
      <c r="C257">
        <v>40</v>
      </c>
      <c r="D257" t="s">
        <v>188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150</v>
      </c>
      <c r="C258">
        <v>50</v>
      </c>
      <c r="D258" t="s">
        <v>103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150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150</v>
      </c>
      <c r="C260">
        <v>70</v>
      </c>
      <c r="D260" t="s">
        <v>186</v>
      </c>
      <c r="E260" t="s">
        <v>12</v>
      </c>
      <c r="F260">
        <v>7.8E-2</v>
      </c>
      <c r="G260" t="s">
        <v>13</v>
      </c>
    </row>
    <row r="261" spans="1:7" x14ac:dyDescent="0.25">
      <c r="A261">
        <v>22</v>
      </c>
      <c r="B261" t="s">
        <v>150</v>
      </c>
      <c r="C261">
        <v>80</v>
      </c>
      <c r="D261" t="s">
        <v>189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150</v>
      </c>
      <c r="C264">
        <v>110</v>
      </c>
      <c r="D264" t="s">
        <v>104</v>
      </c>
      <c r="E264" t="s">
        <v>12</v>
      </c>
      <c r="F264">
        <v>1.216</v>
      </c>
      <c r="G264" t="s">
        <v>13</v>
      </c>
    </row>
    <row r="265" spans="1:7" x14ac:dyDescent="0.25">
      <c r="A265">
        <v>22</v>
      </c>
      <c r="B265" t="s">
        <v>150</v>
      </c>
      <c r="C265">
        <v>120</v>
      </c>
      <c r="D265" t="s">
        <v>151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152</v>
      </c>
      <c r="C266">
        <v>10</v>
      </c>
      <c r="D266" t="s">
        <v>108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152</v>
      </c>
      <c r="C267">
        <v>20</v>
      </c>
      <c r="D267" t="s">
        <v>187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152</v>
      </c>
      <c r="C268">
        <v>30</v>
      </c>
      <c r="D268" t="s">
        <v>101</v>
      </c>
      <c r="E268" t="s">
        <v>102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152</v>
      </c>
      <c r="C269">
        <v>40</v>
      </c>
      <c r="D269" t="s">
        <v>188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152</v>
      </c>
      <c r="C270">
        <v>50</v>
      </c>
      <c r="D270" t="s">
        <v>103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152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152</v>
      </c>
      <c r="C272">
        <v>70</v>
      </c>
      <c r="D272" t="s">
        <v>186</v>
      </c>
      <c r="E272" t="s">
        <v>12</v>
      </c>
      <c r="F272">
        <v>8.8999999999999996E-2</v>
      </c>
      <c r="G272" t="s">
        <v>13</v>
      </c>
    </row>
    <row r="273" spans="1:7" x14ac:dyDescent="0.25">
      <c r="A273">
        <v>23</v>
      </c>
      <c r="B273" t="s">
        <v>152</v>
      </c>
      <c r="C273">
        <v>80</v>
      </c>
      <c r="D273" t="s">
        <v>189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152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152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152</v>
      </c>
      <c r="C276">
        <v>110</v>
      </c>
      <c r="D276" t="s">
        <v>104</v>
      </c>
      <c r="E276" t="s">
        <v>12</v>
      </c>
      <c r="F276">
        <v>1.216</v>
      </c>
      <c r="G276" t="s">
        <v>13</v>
      </c>
    </row>
    <row r="277" spans="1:7" x14ac:dyDescent="0.25">
      <c r="A277">
        <v>23</v>
      </c>
      <c r="B277" t="s">
        <v>152</v>
      </c>
      <c r="C277">
        <v>120</v>
      </c>
      <c r="D277" t="s">
        <v>153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154</v>
      </c>
      <c r="C278">
        <v>10</v>
      </c>
      <c r="D278" t="s">
        <v>108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154</v>
      </c>
      <c r="C279">
        <v>20</v>
      </c>
      <c r="D279" t="s">
        <v>187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154</v>
      </c>
      <c r="C280">
        <v>30</v>
      </c>
      <c r="D280" t="s">
        <v>101</v>
      </c>
      <c r="E280" t="s">
        <v>102</v>
      </c>
      <c r="F280">
        <v>0.34</v>
      </c>
      <c r="G280" t="s">
        <v>13</v>
      </c>
    </row>
    <row r="281" spans="1:7" x14ac:dyDescent="0.25">
      <c r="A281">
        <v>24</v>
      </c>
      <c r="B281" t="s">
        <v>154</v>
      </c>
      <c r="C281">
        <v>40</v>
      </c>
      <c r="D281" t="s">
        <v>188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154</v>
      </c>
      <c r="C282">
        <v>50</v>
      </c>
      <c r="D282" t="s">
        <v>103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154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154</v>
      </c>
      <c r="C284">
        <v>70</v>
      </c>
      <c r="D284" t="s">
        <v>186</v>
      </c>
      <c r="E284" t="s">
        <v>12</v>
      </c>
      <c r="F284">
        <v>0.1</v>
      </c>
      <c r="G284" t="s">
        <v>13</v>
      </c>
    </row>
    <row r="285" spans="1:7" x14ac:dyDescent="0.25">
      <c r="A285">
        <v>24</v>
      </c>
      <c r="B285" t="s">
        <v>154</v>
      </c>
      <c r="C285">
        <v>80</v>
      </c>
      <c r="D285" t="s">
        <v>189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154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154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154</v>
      </c>
      <c r="C288">
        <v>110</v>
      </c>
      <c r="D288" t="s">
        <v>104</v>
      </c>
      <c r="E288" t="s">
        <v>12</v>
      </c>
      <c r="F288">
        <v>1.216</v>
      </c>
      <c r="G288" t="s">
        <v>13</v>
      </c>
    </row>
    <row r="289" spans="1:7" x14ac:dyDescent="0.25">
      <c r="A289">
        <v>24</v>
      </c>
      <c r="B289" t="s">
        <v>154</v>
      </c>
      <c r="C289">
        <v>120</v>
      </c>
      <c r="D289" t="s">
        <v>155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156</v>
      </c>
      <c r="C290">
        <v>10</v>
      </c>
      <c r="D290" t="s">
        <v>108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156</v>
      </c>
      <c r="C291">
        <v>20</v>
      </c>
      <c r="D291" t="s">
        <v>187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156</v>
      </c>
      <c r="C292">
        <v>30</v>
      </c>
      <c r="D292" t="s">
        <v>101</v>
      </c>
      <c r="E292" t="s">
        <v>102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156</v>
      </c>
      <c r="C293">
        <v>40</v>
      </c>
      <c r="D293" t="s">
        <v>188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156</v>
      </c>
      <c r="C294">
        <v>50</v>
      </c>
      <c r="D294" t="s">
        <v>103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156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156</v>
      </c>
      <c r="C296">
        <v>70</v>
      </c>
      <c r="D296" t="s">
        <v>186</v>
      </c>
      <c r="E296" t="s">
        <v>12</v>
      </c>
      <c r="F296">
        <v>0.11</v>
      </c>
      <c r="G296" t="s">
        <v>13</v>
      </c>
    </row>
    <row r="297" spans="1:7" x14ac:dyDescent="0.25">
      <c r="A297">
        <v>25</v>
      </c>
      <c r="B297" t="s">
        <v>156</v>
      </c>
      <c r="C297">
        <v>80</v>
      </c>
      <c r="D297" t="s">
        <v>189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156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156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156</v>
      </c>
      <c r="C300">
        <v>110</v>
      </c>
      <c r="D300" t="s">
        <v>104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156</v>
      </c>
      <c r="C301">
        <v>120</v>
      </c>
      <c r="D301" t="s">
        <v>157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158</v>
      </c>
      <c r="C302">
        <v>10</v>
      </c>
      <c r="D302" t="s">
        <v>108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158</v>
      </c>
      <c r="C303">
        <v>20</v>
      </c>
      <c r="D303" t="s">
        <v>187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158</v>
      </c>
      <c r="C304">
        <v>30</v>
      </c>
      <c r="D304" t="s">
        <v>101</v>
      </c>
      <c r="E304" t="s">
        <v>102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158</v>
      </c>
      <c r="C305">
        <v>40</v>
      </c>
      <c r="D305" t="s">
        <v>188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158</v>
      </c>
      <c r="C306">
        <v>50</v>
      </c>
      <c r="D306" t="s">
        <v>103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158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158</v>
      </c>
      <c r="C308">
        <v>70</v>
      </c>
      <c r="D308" t="s">
        <v>186</v>
      </c>
      <c r="E308" t="s">
        <v>12</v>
      </c>
      <c r="F308">
        <v>0.13200000000000001</v>
      </c>
      <c r="G308" t="s">
        <v>13</v>
      </c>
    </row>
    <row r="309" spans="1:7" x14ac:dyDescent="0.25">
      <c r="A309">
        <v>26</v>
      </c>
      <c r="B309" t="s">
        <v>158</v>
      </c>
      <c r="C309">
        <v>80</v>
      </c>
      <c r="D309" t="s">
        <v>189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158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158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158</v>
      </c>
      <c r="C312">
        <v>110</v>
      </c>
      <c r="D312" t="s">
        <v>104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158</v>
      </c>
      <c r="C313">
        <v>120</v>
      </c>
      <c r="D313" t="s">
        <v>159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160</v>
      </c>
      <c r="C314">
        <v>10</v>
      </c>
      <c r="D314" t="s">
        <v>108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160</v>
      </c>
      <c r="C315">
        <v>20</v>
      </c>
      <c r="D315" t="s">
        <v>187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160</v>
      </c>
      <c r="C316">
        <v>30</v>
      </c>
      <c r="D316" t="s">
        <v>101</v>
      </c>
      <c r="E316" t="s">
        <v>102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160</v>
      </c>
      <c r="C317">
        <v>40</v>
      </c>
      <c r="D317" t="s">
        <v>188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160</v>
      </c>
      <c r="C318">
        <v>50</v>
      </c>
      <c r="D318" t="s">
        <v>103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160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160</v>
      </c>
      <c r="C320">
        <v>70</v>
      </c>
      <c r="D320" t="s">
        <v>186</v>
      </c>
      <c r="E320" t="s">
        <v>12</v>
      </c>
      <c r="F320">
        <v>0.14199999999999999</v>
      </c>
      <c r="G320" t="s">
        <v>13</v>
      </c>
    </row>
    <row r="321" spans="1:7" x14ac:dyDescent="0.25">
      <c r="A321">
        <v>27</v>
      </c>
      <c r="B321" t="s">
        <v>160</v>
      </c>
      <c r="C321">
        <v>80</v>
      </c>
      <c r="D321" t="s">
        <v>189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160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160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160</v>
      </c>
      <c r="C324">
        <v>110</v>
      </c>
      <c r="D324" t="s">
        <v>104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160</v>
      </c>
      <c r="C325">
        <v>120</v>
      </c>
      <c r="D325" t="s">
        <v>161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162</v>
      </c>
      <c r="C326">
        <v>10</v>
      </c>
      <c r="D326" t="s">
        <v>108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162</v>
      </c>
      <c r="C327">
        <v>20</v>
      </c>
      <c r="D327" t="s">
        <v>187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162</v>
      </c>
      <c r="C328">
        <v>30</v>
      </c>
      <c r="D328" t="s">
        <v>101</v>
      </c>
      <c r="E328" t="s">
        <v>102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162</v>
      </c>
      <c r="C329">
        <v>40</v>
      </c>
      <c r="D329" t="s">
        <v>188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162</v>
      </c>
      <c r="C330">
        <v>50</v>
      </c>
      <c r="D330" t="s">
        <v>103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162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162</v>
      </c>
      <c r="C332">
        <v>70</v>
      </c>
      <c r="D332" t="s">
        <v>186</v>
      </c>
      <c r="E332" t="s">
        <v>12</v>
      </c>
      <c r="F332">
        <v>0.153</v>
      </c>
      <c r="G332" t="s">
        <v>13</v>
      </c>
    </row>
    <row r="333" spans="1:7" x14ac:dyDescent="0.25">
      <c r="A333">
        <v>28</v>
      </c>
      <c r="B333" t="s">
        <v>162</v>
      </c>
      <c r="C333">
        <v>80</v>
      </c>
      <c r="D333" t="s">
        <v>189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162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162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162</v>
      </c>
      <c r="C336">
        <v>110</v>
      </c>
      <c r="D336" t="s">
        <v>104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162</v>
      </c>
      <c r="C337">
        <v>120</v>
      </c>
      <c r="D337" t="s">
        <v>163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164</v>
      </c>
      <c r="C338">
        <v>10</v>
      </c>
      <c r="D338" t="s">
        <v>108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164</v>
      </c>
      <c r="C339">
        <v>20</v>
      </c>
      <c r="D339" t="s">
        <v>187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164</v>
      </c>
      <c r="C340">
        <v>30</v>
      </c>
      <c r="D340" t="s">
        <v>101</v>
      </c>
      <c r="E340" t="s">
        <v>102</v>
      </c>
      <c r="F340">
        <v>0.255</v>
      </c>
      <c r="G340" t="s">
        <v>13</v>
      </c>
    </row>
    <row r="341" spans="1:7" x14ac:dyDescent="0.25">
      <c r="A341">
        <v>29</v>
      </c>
      <c r="B341" t="s">
        <v>164</v>
      </c>
      <c r="C341">
        <v>40</v>
      </c>
      <c r="D341" t="s">
        <v>188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164</v>
      </c>
      <c r="C342">
        <v>50</v>
      </c>
      <c r="D342" t="s">
        <v>103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164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164</v>
      </c>
      <c r="C344">
        <v>70</v>
      </c>
      <c r="D344" t="s">
        <v>186</v>
      </c>
      <c r="E344" t="s">
        <v>12</v>
      </c>
      <c r="F344">
        <v>7.8E-2</v>
      </c>
      <c r="G344" t="s">
        <v>13</v>
      </c>
    </row>
    <row r="345" spans="1:7" x14ac:dyDescent="0.25">
      <c r="A345">
        <v>29</v>
      </c>
      <c r="B345" t="s">
        <v>164</v>
      </c>
      <c r="C345">
        <v>80</v>
      </c>
      <c r="D345" t="s">
        <v>189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164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164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164</v>
      </c>
      <c r="C348">
        <v>110</v>
      </c>
      <c r="D348" t="s">
        <v>104</v>
      </c>
      <c r="E348" t="s">
        <v>12</v>
      </c>
      <c r="F348">
        <v>1.27</v>
      </c>
      <c r="G348" t="s">
        <v>13</v>
      </c>
    </row>
    <row r="349" spans="1:7" x14ac:dyDescent="0.25">
      <c r="A349">
        <v>29</v>
      </c>
      <c r="B349" t="s">
        <v>164</v>
      </c>
      <c r="C349">
        <v>120</v>
      </c>
      <c r="D349" t="s">
        <v>165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166</v>
      </c>
      <c r="C350">
        <v>10</v>
      </c>
      <c r="D350" t="s">
        <v>108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166</v>
      </c>
      <c r="C351">
        <v>20</v>
      </c>
      <c r="D351" t="s">
        <v>187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166</v>
      </c>
      <c r="C352">
        <v>30</v>
      </c>
      <c r="D352" t="s">
        <v>101</v>
      </c>
      <c r="E352" t="s">
        <v>102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166</v>
      </c>
      <c r="C353">
        <v>40</v>
      </c>
      <c r="D353" t="s">
        <v>188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166</v>
      </c>
      <c r="C354">
        <v>50</v>
      </c>
      <c r="D354" t="s">
        <v>103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166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166</v>
      </c>
      <c r="C356">
        <v>70</v>
      </c>
      <c r="D356" t="s">
        <v>186</v>
      </c>
      <c r="E356" t="s">
        <v>12</v>
      </c>
      <c r="F356">
        <v>8.8999999999999996E-2</v>
      </c>
      <c r="G356" t="s">
        <v>13</v>
      </c>
    </row>
    <row r="357" spans="1:7" x14ac:dyDescent="0.25">
      <c r="A357">
        <v>30</v>
      </c>
      <c r="B357" t="s">
        <v>166</v>
      </c>
      <c r="C357">
        <v>80</v>
      </c>
      <c r="D357" t="s">
        <v>189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166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166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166</v>
      </c>
      <c r="C360">
        <v>110</v>
      </c>
      <c r="D360" t="s">
        <v>104</v>
      </c>
      <c r="E360" t="s">
        <v>12</v>
      </c>
      <c r="F360">
        <v>1.27</v>
      </c>
      <c r="G360" t="s">
        <v>13</v>
      </c>
    </row>
    <row r="361" spans="1:7" x14ac:dyDescent="0.25">
      <c r="A361">
        <v>30</v>
      </c>
      <c r="B361" t="s">
        <v>166</v>
      </c>
      <c r="C361">
        <v>120</v>
      </c>
      <c r="D361" t="s">
        <v>167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168</v>
      </c>
      <c r="C362">
        <v>10</v>
      </c>
      <c r="D362" t="s">
        <v>108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168</v>
      </c>
      <c r="C363">
        <v>20</v>
      </c>
      <c r="D363" t="s">
        <v>187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168</v>
      </c>
      <c r="C364">
        <v>30</v>
      </c>
      <c r="D364" t="s">
        <v>101</v>
      </c>
      <c r="E364" t="s">
        <v>102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168</v>
      </c>
      <c r="C365">
        <v>40</v>
      </c>
      <c r="D365" t="s">
        <v>188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168</v>
      </c>
      <c r="C366">
        <v>50</v>
      </c>
      <c r="D366" t="s">
        <v>103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168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168</v>
      </c>
      <c r="C368">
        <v>70</v>
      </c>
      <c r="D368" t="s">
        <v>186</v>
      </c>
      <c r="E368" t="s">
        <v>12</v>
      </c>
      <c r="F368">
        <v>0.1</v>
      </c>
      <c r="G368" t="s">
        <v>13</v>
      </c>
    </row>
    <row r="369" spans="1:7" x14ac:dyDescent="0.25">
      <c r="A369">
        <v>31</v>
      </c>
      <c r="B369" t="s">
        <v>168</v>
      </c>
      <c r="C369">
        <v>80</v>
      </c>
      <c r="D369" t="s">
        <v>189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168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168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168</v>
      </c>
      <c r="C372">
        <v>110</v>
      </c>
      <c r="D372" t="s">
        <v>104</v>
      </c>
      <c r="E372" t="s">
        <v>12</v>
      </c>
      <c r="F372">
        <v>1.27</v>
      </c>
      <c r="G372" t="s">
        <v>13</v>
      </c>
    </row>
    <row r="373" spans="1:7" x14ac:dyDescent="0.25">
      <c r="A373">
        <v>31</v>
      </c>
      <c r="B373" t="s">
        <v>168</v>
      </c>
      <c r="C373">
        <v>120</v>
      </c>
      <c r="D373" t="s">
        <v>169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170</v>
      </c>
      <c r="C374">
        <v>10</v>
      </c>
      <c r="D374" t="s">
        <v>108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170</v>
      </c>
      <c r="C375">
        <v>20</v>
      </c>
      <c r="D375" t="s">
        <v>187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170</v>
      </c>
      <c r="C376">
        <v>30</v>
      </c>
      <c r="D376" t="s">
        <v>101</v>
      </c>
      <c r="E376" t="s">
        <v>102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170</v>
      </c>
      <c r="C377">
        <v>40</v>
      </c>
      <c r="D377" t="s">
        <v>188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170</v>
      </c>
      <c r="C378">
        <v>50</v>
      </c>
      <c r="D378" t="s">
        <v>103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170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170</v>
      </c>
      <c r="C380">
        <v>70</v>
      </c>
      <c r="D380" t="s">
        <v>186</v>
      </c>
      <c r="E380" t="s">
        <v>12</v>
      </c>
      <c r="F380">
        <v>0.11</v>
      </c>
      <c r="G380" t="s">
        <v>13</v>
      </c>
    </row>
    <row r="381" spans="1:7" x14ac:dyDescent="0.25">
      <c r="A381">
        <v>32</v>
      </c>
      <c r="B381" t="s">
        <v>170</v>
      </c>
      <c r="C381">
        <v>80</v>
      </c>
      <c r="D381" t="s">
        <v>189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170</v>
      </c>
      <c r="C384">
        <v>110</v>
      </c>
      <c r="D384" t="s">
        <v>104</v>
      </c>
      <c r="E384" t="s">
        <v>12</v>
      </c>
      <c r="F384">
        <v>1.27</v>
      </c>
      <c r="G384" t="s">
        <v>13</v>
      </c>
    </row>
    <row r="385" spans="1:7" x14ac:dyDescent="0.25">
      <c r="A385">
        <v>32</v>
      </c>
      <c r="B385" t="s">
        <v>170</v>
      </c>
      <c r="C385">
        <v>120</v>
      </c>
      <c r="D385" t="s">
        <v>171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172</v>
      </c>
      <c r="C386">
        <v>10</v>
      </c>
      <c r="D386" t="s">
        <v>108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172</v>
      </c>
      <c r="C387">
        <v>20</v>
      </c>
      <c r="D387" t="s">
        <v>187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172</v>
      </c>
      <c r="C388">
        <v>30</v>
      </c>
      <c r="D388" t="s">
        <v>101</v>
      </c>
      <c r="E388" t="s">
        <v>102</v>
      </c>
      <c r="F388">
        <v>0.51</v>
      </c>
      <c r="G388" t="s">
        <v>13</v>
      </c>
    </row>
    <row r="389" spans="1:7" x14ac:dyDescent="0.25">
      <c r="A389">
        <v>33</v>
      </c>
      <c r="B389" t="s">
        <v>172</v>
      </c>
      <c r="C389">
        <v>40</v>
      </c>
      <c r="D389" t="s">
        <v>188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172</v>
      </c>
      <c r="C390">
        <v>50</v>
      </c>
      <c r="D390" t="s">
        <v>103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172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172</v>
      </c>
      <c r="C392">
        <v>70</v>
      </c>
      <c r="D392" t="s">
        <v>186</v>
      </c>
      <c r="E392" t="s">
        <v>12</v>
      </c>
      <c r="F392">
        <v>0.13200000000000001</v>
      </c>
      <c r="G392" t="s">
        <v>13</v>
      </c>
    </row>
    <row r="393" spans="1:7" x14ac:dyDescent="0.25">
      <c r="A393">
        <v>33</v>
      </c>
      <c r="B393" t="s">
        <v>172</v>
      </c>
      <c r="C393">
        <v>80</v>
      </c>
      <c r="D393" t="s">
        <v>189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172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172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172</v>
      </c>
      <c r="C396">
        <v>110</v>
      </c>
      <c r="D396" t="s">
        <v>104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172</v>
      </c>
      <c r="C397">
        <v>120</v>
      </c>
      <c r="D397" t="s">
        <v>173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174</v>
      </c>
      <c r="C398">
        <v>10</v>
      </c>
      <c r="D398" t="s">
        <v>108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174</v>
      </c>
      <c r="C399">
        <v>20</v>
      </c>
      <c r="D399" t="s">
        <v>187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174</v>
      </c>
      <c r="C400">
        <v>30</v>
      </c>
      <c r="D400" t="s">
        <v>101</v>
      </c>
      <c r="E400" t="s">
        <v>102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174</v>
      </c>
      <c r="C401">
        <v>40</v>
      </c>
      <c r="D401" t="s">
        <v>188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174</v>
      </c>
      <c r="C402">
        <v>50</v>
      </c>
      <c r="D402" t="s">
        <v>103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174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174</v>
      </c>
      <c r="C404">
        <v>70</v>
      </c>
      <c r="D404" t="s">
        <v>186</v>
      </c>
      <c r="E404" t="s">
        <v>12</v>
      </c>
      <c r="F404">
        <v>0.14199999999999999</v>
      </c>
      <c r="G404" t="s">
        <v>13</v>
      </c>
    </row>
    <row r="405" spans="1:7" x14ac:dyDescent="0.25">
      <c r="A405">
        <v>34</v>
      </c>
      <c r="B405" t="s">
        <v>174</v>
      </c>
      <c r="C405">
        <v>80</v>
      </c>
      <c r="D405" t="s">
        <v>189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174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174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174</v>
      </c>
      <c r="C408">
        <v>110</v>
      </c>
      <c r="D408" t="s">
        <v>104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174</v>
      </c>
      <c r="C409">
        <v>120</v>
      </c>
      <c r="D409" t="s">
        <v>175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176</v>
      </c>
      <c r="C410">
        <v>10</v>
      </c>
      <c r="D410" t="s">
        <v>108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176</v>
      </c>
      <c r="C411">
        <v>20</v>
      </c>
      <c r="D411" t="s">
        <v>187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176</v>
      </c>
      <c r="C412">
        <v>30</v>
      </c>
      <c r="D412" t="s">
        <v>101</v>
      </c>
      <c r="E412" t="s">
        <v>102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176</v>
      </c>
      <c r="C413">
        <v>40</v>
      </c>
      <c r="D413" t="s">
        <v>188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176</v>
      </c>
      <c r="C414">
        <v>50</v>
      </c>
      <c r="D414" t="s">
        <v>103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176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176</v>
      </c>
      <c r="C416">
        <v>70</v>
      </c>
      <c r="D416" t="s">
        <v>186</v>
      </c>
      <c r="E416" t="s">
        <v>12</v>
      </c>
      <c r="F416">
        <v>0.153</v>
      </c>
      <c r="G416" t="s">
        <v>13</v>
      </c>
    </row>
    <row r="417" spans="1:7" x14ac:dyDescent="0.25">
      <c r="A417">
        <v>35</v>
      </c>
      <c r="B417" t="s">
        <v>176</v>
      </c>
      <c r="C417">
        <v>80</v>
      </c>
      <c r="D417" t="s">
        <v>189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176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176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176</v>
      </c>
      <c r="C420">
        <v>110</v>
      </c>
      <c r="D420" t="s">
        <v>104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176</v>
      </c>
      <c r="C421">
        <v>120</v>
      </c>
      <c r="D421" t="s">
        <v>177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190</v>
      </c>
      <c r="C422">
        <v>10</v>
      </c>
      <c r="D422" t="s">
        <v>108</v>
      </c>
      <c r="E422" t="s">
        <v>14</v>
      </c>
      <c r="F422">
        <v>0.86399999999999999</v>
      </c>
      <c r="G422" t="s">
        <v>15</v>
      </c>
    </row>
    <row r="423" spans="1:7" x14ac:dyDescent="0.25">
      <c r="A423">
        <v>36</v>
      </c>
      <c r="B423" t="s">
        <v>190</v>
      </c>
      <c r="C423">
        <v>20</v>
      </c>
      <c r="D423" t="s">
        <v>187</v>
      </c>
      <c r="E423" t="s">
        <v>14</v>
      </c>
      <c r="F423">
        <v>0.86399999999999999</v>
      </c>
      <c r="G423" t="s">
        <v>15</v>
      </c>
    </row>
    <row r="424" spans="1:7" x14ac:dyDescent="0.25">
      <c r="A424">
        <v>36</v>
      </c>
      <c r="B424" t="s">
        <v>190</v>
      </c>
      <c r="C424">
        <v>30</v>
      </c>
      <c r="D424" t="s">
        <v>101</v>
      </c>
      <c r="E424" t="s">
        <v>102</v>
      </c>
      <c r="F424">
        <v>0.24099999999999999</v>
      </c>
      <c r="G424" t="s">
        <v>13</v>
      </c>
    </row>
    <row r="425" spans="1:7" x14ac:dyDescent="0.25">
      <c r="A425">
        <v>36</v>
      </c>
      <c r="B425" t="s">
        <v>190</v>
      </c>
      <c r="C425">
        <v>40</v>
      </c>
      <c r="D425" t="s">
        <v>188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190</v>
      </c>
      <c r="C426">
        <v>50</v>
      </c>
      <c r="D426" t="s">
        <v>103</v>
      </c>
      <c r="E426" t="s">
        <v>14</v>
      </c>
      <c r="F426">
        <v>10.77</v>
      </c>
      <c r="G426" t="s">
        <v>13</v>
      </c>
    </row>
    <row r="427" spans="1:7" x14ac:dyDescent="0.25">
      <c r="A427">
        <v>36</v>
      </c>
      <c r="B427" t="s">
        <v>190</v>
      </c>
      <c r="C427">
        <v>60</v>
      </c>
      <c r="D427" t="s">
        <v>16</v>
      </c>
      <c r="E427" t="s">
        <v>14</v>
      </c>
      <c r="F427">
        <v>66.858000000000004</v>
      </c>
      <c r="G427" t="s">
        <v>13</v>
      </c>
    </row>
    <row r="428" spans="1:7" x14ac:dyDescent="0.25">
      <c r="A428">
        <v>36</v>
      </c>
      <c r="B428" t="s">
        <v>190</v>
      </c>
      <c r="C428">
        <v>70</v>
      </c>
      <c r="D428" t="s">
        <v>186</v>
      </c>
      <c r="E428" t="s">
        <v>12</v>
      </c>
      <c r="F428">
        <v>8.4000000000000005E-2</v>
      </c>
      <c r="G428" t="s">
        <v>13</v>
      </c>
    </row>
    <row r="429" spans="1:7" x14ac:dyDescent="0.25">
      <c r="A429">
        <v>36</v>
      </c>
      <c r="B429" t="s">
        <v>190</v>
      </c>
      <c r="C429">
        <v>80</v>
      </c>
      <c r="D429" t="s">
        <v>189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190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190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190</v>
      </c>
      <c r="C432">
        <v>110</v>
      </c>
      <c r="D432" t="s">
        <v>104</v>
      </c>
      <c r="E432" t="s">
        <v>12</v>
      </c>
      <c r="F432">
        <v>0.58099999999999996</v>
      </c>
      <c r="G432" t="s">
        <v>13</v>
      </c>
    </row>
    <row r="433" spans="1:7" x14ac:dyDescent="0.25">
      <c r="A433">
        <v>36</v>
      </c>
      <c r="B433" t="s">
        <v>190</v>
      </c>
      <c r="C433">
        <v>120</v>
      </c>
      <c r="D433" t="s">
        <v>191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192</v>
      </c>
      <c r="C434">
        <v>10</v>
      </c>
      <c r="D434" t="s">
        <v>108</v>
      </c>
      <c r="E434" t="s">
        <v>14</v>
      </c>
      <c r="F434">
        <v>1.016</v>
      </c>
      <c r="G434" t="s">
        <v>15</v>
      </c>
    </row>
    <row r="435" spans="1:7" x14ac:dyDescent="0.25">
      <c r="A435">
        <v>37</v>
      </c>
      <c r="B435" t="s">
        <v>192</v>
      </c>
      <c r="C435">
        <v>20</v>
      </c>
      <c r="D435" t="s">
        <v>187</v>
      </c>
      <c r="E435" t="s">
        <v>14</v>
      </c>
      <c r="F435">
        <v>1.016</v>
      </c>
      <c r="G435" t="s">
        <v>15</v>
      </c>
    </row>
    <row r="436" spans="1:7" x14ac:dyDescent="0.25">
      <c r="A436">
        <v>37</v>
      </c>
      <c r="B436" t="s">
        <v>192</v>
      </c>
      <c r="C436">
        <v>30</v>
      </c>
      <c r="D436" t="s">
        <v>101</v>
      </c>
      <c r="E436" t="s">
        <v>102</v>
      </c>
      <c r="F436">
        <v>0.28399999999999997</v>
      </c>
      <c r="G436" t="s">
        <v>13</v>
      </c>
    </row>
    <row r="437" spans="1:7" x14ac:dyDescent="0.25">
      <c r="A437">
        <v>37</v>
      </c>
      <c r="B437" t="s">
        <v>192</v>
      </c>
      <c r="C437">
        <v>40</v>
      </c>
      <c r="D437" t="s">
        <v>188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192</v>
      </c>
      <c r="C438">
        <v>50</v>
      </c>
      <c r="D438" t="s">
        <v>103</v>
      </c>
      <c r="E438" t="s">
        <v>14</v>
      </c>
      <c r="F438">
        <v>11.379</v>
      </c>
      <c r="G438" t="s">
        <v>13</v>
      </c>
    </row>
    <row r="439" spans="1:7" x14ac:dyDescent="0.25">
      <c r="A439">
        <v>37</v>
      </c>
      <c r="B439" t="s">
        <v>192</v>
      </c>
      <c r="C439">
        <v>60</v>
      </c>
      <c r="D439" t="s">
        <v>16</v>
      </c>
      <c r="E439" t="s">
        <v>14</v>
      </c>
      <c r="F439">
        <v>70.606999999999999</v>
      </c>
      <c r="G439" t="s">
        <v>13</v>
      </c>
    </row>
    <row r="440" spans="1:7" x14ac:dyDescent="0.25">
      <c r="A440">
        <v>37</v>
      </c>
      <c r="B440" t="s">
        <v>192</v>
      </c>
      <c r="C440">
        <v>70</v>
      </c>
      <c r="D440" t="s">
        <v>186</v>
      </c>
      <c r="E440" t="s">
        <v>12</v>
      </c>
      <c r="F440">
        <v>9.4E-2</v>
      </c>
      <c r="G440" t="s">
        <v>13</v>
      </c>
    </row>
    <row r="441" spans="1:7" x14ac:dyDescent="0.25">
      <c r="A441">
        <v>37</v>
      </c>
      <c r="B441" t="s">
        <v>192</v>
      </c>
      <c r="C441">
        <v>80</v>
      </c>
      <c r="D441" t="s">
        <v>189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192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192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192</v>
      </c>
      <c r="C444">
        <v>110</v>
      </c>
      <c r="D444" t="s">
        <v>104</v>
      </c>
      <c r="E444" t="s">
        <v>12</v>
      </c>
      <c r="F444">
        <v>0.66200000000000003</v>
      </c>
      <c r="G444" t="s">
        <v>13</v>
      </c>
    </row>
    <row r="445" spans="1:7" x14ac:dyDescent="0.25">
      <c r="A445">
        <v>37</v>
      </c>
      <c r="B445" t="s">
        <v>192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194</v>
      </c>
      <c r="C446">
        <v>10</v>
      </c>
      <c r="D446" t="s">
        <v>108</v>
      </c>
      <c r="E446" t="s">
        <v>14</v>
      </c>
      <c r="F446">
        <v>1.1679999999999999</v>
      </c>
      <c r="G446" t="s">
        <v>15</v>
      </c>
    </row>
    <row r="447" spans="1:7" x14ac:dyDescent="0.25">
      <c r="A447">
        <v>38</v>
      </c>
      <c r="B447" t="s">
        <v>194</v>
      </c>
      <c r="C447">
        <v>20</v>
      </c>
      <c r="D447" t="s">
        <v>187</v>
      </c>
      <c r="E447" t="s">
        <v>14</v>
      </c>
      <c r="F447">
        <v>1.1679999999999999</v>
      </c>
      <c r="G447" t="s">
        <v>15</v>
      </c>
    </row>
    <row r="448" spans="1:7" x14ac:dyDescent="0.25">
      <c r="A448">
        <v>38</v>
      </c>
      <c r="B448" t="s">
        <v>194</v>
      </c>
      <c r="C448">
        <v>30</v>
      </c>
      <c r="D448" t="s">
        <v>101</v>
      </c>
      <c r="E448" t="s">
        <v>102</v>
      </c>
      <c r="F448">
        <v>0.32800000000000001</v>
      </c>
      <c r="G448" t="s">
        <v>13</v>
      </c>
    </row>
    <row r="449" spans="1:7" x14ac:dyDescent="0.25">
      <c r="A449">
        <v>38</v>
      </c>
      <c r="B449" t="s">
        <v>194</v>
      </c>
      <c r="C449">
        <v>40</v>
      </c>
      <c r="D449" t="s">
        <v>188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194</v>
      </c>
      <c r="C450">
        <v>50</v>
      </c>
      <c r="D450" t="s">
        <v>103</v>
      </c>
      <c r="E450" t="s">
        <v>14</v>
      </c>
      <c r="F450">
        <v>11.989000000000001</v>
      </c>
      <c r="G450" t="s">
        <v>13</v>
      </c>
    </row>
    <row r="451" spans="1:7" x14ac:dyDescent="0.25">
      <c r="A451">
        <v>38</v>
      </c>
      <c r="B451" t="s">
        <v>194</v>
      </c>
      <c r="C451">
        <v>60</v>
      </c>
      <c r="D451" t="s">
        <v>16</v>
      </c>
      <c r="E451" t="s">
        <v>14</v>
      </c>
      <c r="F451">
        <v>74.355999999999995</v>
      </c>
      <c r="G451" t="s">
        <v>13</v>
      </c>
    </row>
    <row r="452" spans="1:7" x14ac:dyDescent="0.25">
      <c r="A452">
        <v>38</v>
      </c>
      <c r="B452" t="s">
        <v>194</v>
      </c>
      <c r="C452">
        <v>70</v>
      </c>
      <c r="D452" t="s">
        <v>186</v>
      </c>
      <c r="E452" t="s">
        <v>12</v>
      </c>
      <c r="F452">
        <v>0.105</v>
      </c>
      <c r="G452" t="s">
        <v>13</v>
      </c>
    </row>
    <row r="453" spans="1:7" x14ac:dyDescent="0.25">
      <c r="A453">
        <v>38</v>
      </c>
      <c r="B453" t="s">
        <v>194</v>
      </c>
      <c r="C453">
        <v>80</v>
      </c>
      <c r="D453" t="s">
        <v>189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194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194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194</v>
      </c>
      <c r="C456">
        <v>110</v>
      </c>
      <c r="D456" t="s">
        <v>104</v>
      </c>
      <c r="E456" t="s">
        <v>12</v>
      </c>
      <c r="F456">
        <v>0.74299999999999999</v>
      </c>
      <c r="G456" t="s">
        <v>13</v>
      </c>
    </row>
    <row r="457" spans="1:7" x14ac:dyDescent="0.25">
      <c r="A457">
        <v>38</v>
      </c>
      <c r="B457" t="s">
        <v>194</v>
      </c>
      <c r="C457">
        <v>120</v>
      </c>
      <c r="D457" t="s">
        <v>195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196</v>
      </c>
      <c r="C458">
        <v>10</v>
      </c>
      <c r="D458" t="s">
        <v>108</v>
      </c>
      <c r="E458" t="s">
        <v>14</v>
      </c>
      <c r="F458">
        <v>1.321</v>
      </c>
      <c r="G458" t="s">
        <v>15</v>
      </c>
    </row>
    <row r="459" spans="1:7" x14ac:dyDescent="0.25">
      <c r="A459">
        <v>39</v>
      </c>
      <c r="B459" t="s">
        <v>196</v>
      </c>
      <c r="C459">
        <v>20</v>
      </c>
      <c r="D459" t="s">
        <v>187</v>
      </c>
      <c r="E459" t="s">
        <v>14</v>
      </c>
      <c r="F459">
        <v>1.321</v>
      </c>
      <c r="G459" t="s">
        <v>15</v>
      </c>
    </row>
    <row r="460" spans="1:7" x14ac:dyDescent="0.25">
      <c r="A460">
        <v>39</v>
      </c>
      <c r="B460" t="s">
        <v>196</v>
      </c>
      <c r="C460">
        <v>30</v>
      </c>
      <c r="D460" t="s">
        <v>101</v>
      </c>
      <c r="E460" t="s">
        <v>102</v>
      </c>
      <c r="F460">
        <v>0.372</v>
      </c>
      <c r="G460" t="s">
        <v>13</v>
      </c>
    </row>
    <row r="461" spans="1:7" x14ac:dyDescent="0.25">
      <c r="A461">
        <v>39</v>
      </c>
      <c r="B461" t="s">
        <v>196</v>
      </c>
      <c r="C461">
        <v>40</v>
      </c>
      <c r="D461" t="s">
        <v>188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196</v>
      </c>
      <c r="C462">
        <v>50</v>
      </c>
      <c r="D462" t="s">
        <v>103</v>
      </c>
      <c r="E462" t="s">
        <v>14</v>
      </c>
      <c r="F462">
        <v>12.598000000000001</v>
      </c>
      <c r="G462" t="s">
        <v>13</v>
      </c>
    </row>
    <row r="463" spans="1:7" x14ac:dyDescent="0.25">
      <c r="A463">
        <v>39</v>
      </c>
      <c r="B463" t="s">
        <v>196</v>
      </c>
      <c r="C463">
        <v>60</v>
      </c>
      <c r="D463" t="s">
        <v>16</v>
      </c>
      <c r="E463" t="s">
        <v>14</v>
      </c>
      <c r="F463">
        <v>78.105000000000004</v>
      </c>
      <c r="G463" t="s">
        <v>13</v>
      </c>
    </row>
    <row r="464" spans="1:7" x14ac:dyDescent="0.25">
      <c r="A464">
        <v>39</v>
      </c>
      <c r="B464" t="s">
        <v>196</v>
      </c>
      <c r="C464">
        <v>70</v>
      </c>
      <c r="D464" t="s">
        <v>186</v>
      </c>
      <c r="E464" t="s">
        <v>12</v>
      </c>
      <c r="F464">
        <v>0.11600000000000001</v>
      </c>
      <c r="G464" t="s">
        <v>13</v>
      </c>
    </row>
    <row r="465" spans="1:7" x14ac:dyDescent="0.25">
      <c r="A465">
        <v>39</v>
      </c>
      <c r="B465" t="s">
        <v>196</v>
      </c>
      <c r="C465">
        <v>80</v>
      </c>
      <c r="D465" t="s">
        <v>189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196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196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196</v>
      </c>
      <c r="C468">
        <v>110</v>
      </c>
      <c r="D468" t="s">
        <v>104</v>
      </c>
      <c r="E468" t="s">
        <v>12</v>
      </c>
      <c r="F468">
        <v>0.82399999999999995</v>
      </c>
      <c r="G468" t="s">
        <v>13</v>
      </c>
    </row>
    <row r="469" spans="1:7" x14ac:dyDescent="0.25">
      <c r="A469">
        <v>39</v>
      </c>
      <c r="B469" t="s">
        <v>196</v>
      </c>
      <c r="C469">
        <v>120</v>
      </c>
      <c r="D469" t="s">
        <v>197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198</v>
      </c>
      <c r="C470">
        <v>10</v>
      </c>
      <c r="D470" t="s">
        <v>108</v>
      </c>
      <c r="E470" t="s">
        <v>14</v>
      </c>
      <c r="F470">
        <v>1.397</v>
      </c>
      <c r="G470" t="s">
        <v>15</v>
      </c>
    </row>
    <row r="471" spans="1:7" x14ac:dyDescent="0.25">
      <c r="A471">
        <v>40</v>
      </c>
      <c r="B471" t="s">
        <v>198</v>
      </c>
      <c r="C471">
        <v>20</v>
      </c>
      <c r="D471" t="s">
        <v>187</v>
      </c>
      <c r="E471" t="s">
        <v>14</v>
      </c>
      <c r="F471">
        <v>1.397</v>
      </c>
      <c r="G471" t="s">
        <v>15</v>
      </c>
    </row>
    <row r="472" spans="1:7" x14ac:dyDescent="0.25">
      <c r="A472">
        <v>40</v>
      </c>
      <c r="B472" t="s">
        <v>198</v>
      </c>
      <c r="C472">
        <v>30</v>
      </c>
      <c r="D472" t="s">
        <v>101</v>
      </c>
      <c r="E472" t="s">
        <v>102</v>
      </c>
      <c r="F472">
        <v>0.39400000000000002</v>
      </c>
      <c r="G472" t="s">
        <v>13</v>
      </c>
    </row>
    <row r="473" spans="1:7" x14ac:dyDescent="0.25">
      <c r="A473">
        <v>40</v>
      </c>
      <c r="B473" t="s">
        <v>198</v>
      </c>
      <c r="C473">
        <v>40</v>
      </c>
      <c r="D473" t="s">
        <v>188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198</v>
      </c>
      <c r="C474">
        <v>50</v>
      </c>
      <c r="D474" t="s">
        <v>103</v>
      </c>
      <c r="E474" t="s">
        <v>14</v>
      </c>
      <c r="F474">
        <v>12.903</v>
      </c>
      <c r="G474" t="s">
        <v>13</v>
      </c>
    </row>
    <row r="475" spans="1:7" x14ac:dyDescent="0.25">
      <c r="A475">
        <v>40</v>
      </c>
      <c r="B475" t="s">
        <v>198</v>
      </c>
      <c r="C475">
        <v>60</v>
      </c>
      <c r="D475" t="s">
        <v>16</v>
      </c>
      <c r="E475" t="s">
        <v>14</v>
      </c>
      <c r="F475">
        <v>79.98</v>
      </c>
      <c r="G475" t="s">
        <v>13</v>
      </c>
    </row>
    <row r="476" spans="1:7" x14ac:dyDescent="0.25">
      <c r="A476">
        <v>40</v>
      </c>
      <c r="B476" t="s">
        <v>198</v>
      </c>
      <c r="C476">
        <v>70</v>
      </c>
      <c r="D476" t="s">
        <v>186</v>
      </c>
      <c r="E476" t="s">
        <v>12</v>
      </c>
      <c r="F476">
        <v>0.121</v>
      </c>
      <c r="G476" t="s">
        <v>13</v>
      </c>
    </row>
    <row r="477" spans="1:7" x14ac:dyDescent="0.25">
      <c r="A477">
        <v>40</v>
      </c>
      <c r="B477" t="s">
        <v>198</v>
      </c>
      <c r="C477">
        <v>80</v>
      </c>
      <c r="D477" t="s">
        <v>189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198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198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198</v>
      </c>
      <c r="C480">
        <v>110</v>
      </c>
      <c r="D480" t="s">
        <v>104</v>
      </c>
      <c r="E480" t="s">
        <v>12</v>
      </c>
      <c r="F480">
        <v>0.86499999999999999</v>
      </c>
      <c r="G480" t="s">
        <v>13</v>
      </c>
    </row>
    <row r="481" spans="1:7" x14ac:dyDescent="0.25">
      <c r="A481">
        <v>40</v>
      </c>
      <c r="B481" t="s">
        <v>198</v>
      </c>
      <c r="C481">
        <v>120</v>
      </c>
      <c r="D481" t="s">
        <v>199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200</v>
      </c>
      <c r="C482">
        <v>10</v>
      </c>
      <c r="D482" t="s">
        <v>108</v>
      </c>
      <c r="E482" t="s">
        <v>14</v>
      </c>
      <c r="F482">
        <v>1.4730000000000001</v>
      </c>
      <c r="G482" t="s">
        <v>15</v>
      </c>
    </row>
    <row r="483" spans="1:7" x14ac:dyDescent="0.25">
      <c r="A483">
        <v>41</v>
      </c>
      <c r="B483" t="s">
        <v>200</v>
      </c>
      <c r="C483">
        <v>20</v>
      </c>
      <c r="D483" t="s">
        <v>187</v>
      </c>
      <c r="E483" t="s">
        <v>14</v>
      </c>
      <c r="F483">
        <v>1.4730000000000001</v>
      </c>
      <c r="G483" t="s">
        <v>15</v>
      </c>
    </row>
    <row r="484" spans="1:7" x14ac:dyDescent="0.25">
      <c r="A484">
        <v>41</v>
      </c>
      <c r="B484" t="s">
        <v>200</v>
      </c>
      <c r="C484">
        <v>30</v>
      </c>
      <c r="D484" t="s">
        <v>101</v>
      </c>
      <c r="E484" t="s">
        <v>102</v>
      </c>
      <c r="F484">
        <v>0.41599999999999998</v>
      </c>
      <c r="G484" t="s">
        <v>13</v>
      </c>
    </row>
    <row r="485" spans="1:7" x14ac:dyDescent="0.25">
      <c r="A485">
        <v>41</v>
      </c>
      <c r="B485" t="s">
        <v>200</v>
      </c>
      <c r="C485">
        <v>40</v>
      </c>
      <c r="D485" t="s">
        <v>188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200</v>
      </c>
      <c r="C486">
        <v>50</v>
      </c>
      <c r="D486" t="s">
        <v>103</v>
      </c>
      <c r="E486" t="s">
        <v>14</v>
      </c>
      <c r="F486">
        <v>13.208</v>
      </c>
      <c r="G486" t="s">
        <v>13</v>
      </c>
    </row>
    <row r="487" spans="1:7" x14ac:dyDescent="0.25">
      <c r="A487">
        <v>41</v>
      </c>
      <c r="B487" t="s">
        <v>200</v>
      </c>
      <c r="C487">
        <v>60</v>
      </c>
      <c r="D487" t="s">
        <v>16</v>
      </c>
      <c r="E487" t="s">
        <v>14</v>
      </c>
      <c r="F487">
        <v>81.853999999999999</v>
      </c>
      <c r="G487" t="s">
        <v>13</v>
      </c>
    </row>
    <row r="488" spans="1:7" x14ac:dyDescent="0.25">
      <c r="A488">
        <v>41</v>
      </c>
      <c r="B488" t="s">
        <v>200</v>
      </c>
      <c r="C488">
        <v>70</v>
      </c>
      <c r="D488" t="s">
        <v>186</v>
      </c>
      <c r="E488" t="s">
        <v>12</v>
      </c>
      <c r="F488">
        <v>0.126</v>
      </c>
      <c r="G488" t="s">
        <v>13</v>
      </c>
    </row>
    <row r="489" spans="1:7" x14ac:dyDescent="0.25">
      <c r="A489">
        <v>41</v>
      </c>
      <c r="B489" t="s">
        <v>200</v>
      </c>
      <c r="C489">
        <v>80</v>
      </c>
      <c r="D489" t="s">
        <v>189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200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200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200</v>
      </c>
      <c r="C492">
        <v>110</v>
      </c>
      <c r="D492" t="s">
        <v>104</v>
      </c>
      <c r="E492" t="s">
        <v>12</v>
      </c>
      <c r="F492">
        <v>0.90500000000000003</v>
      </c>
      <c r="G492" t="s">
        <v>13</v>
      </c>
    </row>
    <row r="493" spans="1:7" x14ac:dyDescent="0.25">
      <c r="A493">
        <v>41</v>
      </c>
      <c r="B493" t="s">
        <v>200</v>
      </c>
      <c r="C493">
        <v>120</v>
      </c>
      <c r="D493" t="s">
        <v>201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202</v>
      </c>
      <c r="C494">
        <v>10</v>
      </c>
      <c r="D494" t="s">
        <v>108</v>
      </c>
      <c r="E494" t="s">
        <v>14</v>
      </c>
      <c r="F494">
        <v>1.6259999999999999</v>
      </c>
      <c r="G494" t="s">
        <v>15</v>
      </c>
    </row>
    <row r="495" spans="1:7" x14ac:dyDescent="0.25">
      <c r="A495">
        <v>42</v>
      </c>
      <c r="B495" t="s">
        <v>202</v>
      </c>
      <c r="C495">
        <v>20</v>
      </c>
      <c r="D495" t="s">
        <v>187</v>
      </c>
      <c r="E495" t="s">
        <v>14</v>
      </c>
      <c r="F495">
        <v>1.6259999999999999</v>
      </c>
      <c r="G495" t="s">
        <v>15</v>
      </c>
    </row>
    <row r="496" spans="1:7" x14ac:dyDescent="0.25">
      <c r="A496">
        <v>42</v>
      </c>
      <c r="B496" t="s">
        <v>202</v>
      </c>
      <c r="C496">
        <v>30</v>
      </c>
      <c r="D496" t="s">
        <v>101</v>
      </c>
      <c r="E496" t="s">
        <v>102</v>
      </c>
      <c r="F496">
        <v>0.45900000000000002</v>
      </c>
      <c r="G496" t="s">
        <v>13</v>
      </c>
    </row>
    <row r="497" spans="1:7" x14ac:dyDescent="0.25">
      <c r="A497">
        <v>42</v>
      </c>
      <c r="B497" t="s">
        <v>202</v>
      </c>
      <c r="C497">
        <v>40</v>
      </c>
      <c r="D497" t="s">
        <v>188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202</v>
      </c>
      <c r="C498">
        <v>50</v>
      </c>
      <c r="D498" t="s">
        <v>103</v>
      </c>
      <c r="E498" t="s">
        <v>14</v>
      </c>
      <c r="F498">
        <v>13.818</v>
      </c>
      <c r="G498" t="s">
        <v>13</v>
      </c>
    </row>
    <row r="499" spans="1:7" x14ac:dyDescent="0.25">
      <c r="A499">
        <v>42</v>
      </c>
      <c r="B499" t="s">
        <v>202</v>
      </c>
      <c r="C499">
        <v>60</v>
      </c>
      <c r="D499" t="s">
        <v>16</v>
      </c>
      <c r="E499" t="s">
        <v>14</v>
      </c>
      <c r="F499">
        <v>85.602999999999994</v>
      </c>
      <c r="G499" t="s">
        <v>13</v>
      </c>
    </row>
    <row r="500" spans="1:7" x14ac:dyDescent="0.25">
      <c r="A500">
        <v>42</v>
      </c>
      <c r="B500" t="s">
        <v>202</v>
      </c>
      <c r="C500">
        <v>70</v>
      </c>
      <c r="D500" t="s">
        <v>186</v>
      </c>
      <c r="E500" t="s">
        <v>12</v>
      </c>
      <c r="F500">
        <v>0.13700000000000001</v>
      </c>
      <c r="G500" t="s">
        <v>13</v>
      </c>
    </row>
    <row r="501" spans="1:7" x14ac:dyDescent="0.25">
      <c r="A501">
        <v>42</v>
      </c>
      <c r="B501" t="s">
        <v>202</v>
      </c>
      <c r="C501">
        <v>80</v>
      </c>
      <c r="D501" t="s">
        <v>189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202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202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202</v>
      </c>
      <c r="C504">
        <v>110</v>
      </c>
      <c r="D504" t="s">
        <v>104</v>
      </c>
      <c r="E504" t="s">
        <v>12</v>
      </c>
      <c r="F504">
        <v>0.98599999999999999</v>
      </c>
      <c r="G504" t="s">
        <v>13</v>
      </c>
    </row>
    <row r="505" spans="1:7" x14ac:dyDescent="0.25">
      <c r="A505">
        <v>42</v>
      </c>
      <c r="B505" t="s">
        <v>202</v>
      </c>
      <c r="C505">
        <v>120</v>
      </c>
      <c r="D505" t="s">
        <v>203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204</v>
      </c>
      <c r="C506">
        <v>10</v>
      </c>
      <c r="D506" t="s">
        <v>108</v>
      </c>
      <c r="E506" t="s">
        <v>14</v>
      </c>
      <c r="F506">
        <v>1.778</v>
      </c>
      <c r="G506" t="s">
        <v>15</v>
      </c>
    </row>
    <row r="507" spans="1:7" x14ac:dyDescent="0.25">
      <c r="A507">
        <v>43</v>
      </c>
      <c r="B507" t="s">
        <v>204</v>
      </c>
      <c r="C507">
        <v>20</v>
      </c>
      <c r="D507" t="s">
        <v>187</v>
      </c>
      <c r="E507" t="s">
        <v>14</v>
      </c>
      <c r="F507">
        <v>1.778</v>
      </c>
      <c r="G507" t="s">
        <v>15</v>
      </c>
    </row>
    <row r="508" spans="1:7" x14ac:dyDescent="0.25">
      <c r="A508">
        <v>43</v>
      </c>
      <c r="B508" t="s">
        <v>204</v>
      </c>
      <c r="C508">
        <v>30</v>
      </c>
      <c r="D508" t="s">
        <v>101</v>
      </c>
      <c r="E508" t="s">
        <v>102</v>
      </c>
      <c r="F508">
        <v>0.503</v>
      </c>
      <c r="G508" t="s">
        <v>13</v>
      </c>
    </row>
    <row r="509" spans="1:7" x14ac:dyDescent="0.25">
      <c r="A509">
        <v>43</v>
      </c>
      <c r="B509" t="s">
        <v>204</v>
      </c>
      <c r="C509">
        <v>40</v>
      </c>
      <c r="D509" t="s">
        <v>188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204</v>
      </c>
      <c r="C510">
        <v>50</v>
      </c>
      <c r="D510" t="s">
        <v>103</v>
      </c>
      <c r="E510" t="s">
        <v>14</v>
      </c>
      <c r="F510">
        <v>14.427</v>
      </c>
      <c r="G510" t="s">
        <v>13</v>
      </c>
    </row>
    <row r="511" spans="1:7" x14ac:dyDescent="0.25">
      <c r="A511">
        <v>43</v>
      </c>
      <c r="B511" t="s">
        <v>204</v>
      </c>
      <c r="C511">
        <v>60</v>
      </c>
      <c r="D511" t="s">
        <v>16</v>
      </c>
      <c r="E511" t="s">
        <v>14</v>
      </c>
      <c r="F511">
        <v>89.352000000000004</v>
      </c>
      <c r="G511" t="s">
        <v>13</v>
      </c>
    </row>
    <row r="512" spans="1:7" x14ac:dyDescent="0.25">
      <c r="A512">
        <v>43</v>
      </c>
      <c r="B512" t="s">
        <v>204</v>
      </c>
      <c r="C512">
        <v>70</v>
      </c>
      <c r="D512" t="s">
        <v>186</v>
      </c>
      <c r="E512" t="s">
        <v>12</v>
      </c>
      <c r="F512">
        <v>0.14799999999999999</v>
      </c>
      <c r="G512" t="s">
        <v>13</v>
      </c>
    </row>
    <row r="513" spans="1:7" x14ac:dyDescent="0.25">
      <c r="A513">
        <v>43</v>
      </c>
      <c r="B513" t="s">
        <v>204</v>
      </c>
      <c r="C513">
        <v>80</v>
      </c>
      <c r="D513" t="s">
        <v>189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204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204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204</v>
      </c>
      <c r="C516">
        <v>110</v>
      </c>
      <c r="D516" t="s">
        <v>104</v>
      </c>
      <c r="E516" t="s">
        <v>12</v>
      </c>
      <c r="F516">
        <v>1.0669999999999999</v>
      </c>
      <c r="G516" t="s">
        <v>13</v>
      </c>
    </row>
    <row r="517" spans="1:7" x14ac:dyDescent="0.25">
      <c r="A517">
        <v>43</v>
      </c>
      <c r="B517" t="s">
        <v>204</v>
      </c>
      <c r="C517">
        <v>120</v>
      </c>
      <c r="D517" t="s">
        <v>205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206</v>
      </c>
      <c r="C518">
        <v>10</v>
      </c>
      <c r="D518" t="s">
        <v>108</v>
      </c>
      <c r="E518" t="s">
        <v>14</v>
      </c>
      <c r="F518">
        <v>0.86399999999999999</v>
      </c>
      <c r="G518" t="s">
        <v>15</v>
      </c>
    </row>
    <row r="519" spans="1:7" x14ac:dyDescent="0.25">
      <c r="A519">
        <v>44</v>
      </c>
      <c r="B519" t="s">
        <v>206</v>
      </c>
      <c r="C519">
        <v>20</v>
      </c>
      <c r="D519" t="s">
        <v>187</v>
      </c>
      <c r="E519" t="s">
        <v>14</v>
      </c>
      <c r="F519">
        <v>0.86399999999999999</v>
      </c>
      <c r="G519" t="s">
        <v>15</v>
      </c>
    </row>
    <row r="520" spans="1:7" x14ac:dyDescent="0.25">
      <c r="A520">
        <v>44</v>
      </c>
      <c r="B520" t="s">
        <v>206</v>
      </c>
      <c r="C520">
        <v>30</v>
      </c>
      <c r="D520" t="s">
        <v>101</v>
      </c>
      <c r="E520" t="s">
        <v>102</v>
      </c>
      <c r="F520">
        <v>0.251</v>
      </c>
      <c r="G520" t="s">
        <v>13</v>
      </c>
    </row>
    <row r="521" spans="1:7" x14ac:dyDescent="0.25">
      <c r="A521">
        <v>44</v>
      </c>
      <c r="B521" t="s">
        <v>206</v>
      </c>
      <c r="C521">
        <v>40</v>
      </c>
      <c r="D521" t="s">
        <v>188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206</v>
      </c>
      <c r="C522">
        <v>50</v>
      </c>
      <c r="D522" t="s">
        <v>103</v>
      </c>
      <c r="E522" t="s">
        <v>14</v>
      </c>
      <c r="F522">
        <v>11.074</v>
      </c>
      <c r="G522" t="s">
        <v>13</v>
      </c>
    </row>
    <row r="523" spans="1:7" x14ac:dyDescent="0.25">
      <c r="A523">
        <v>44</v>
      </c>
      <c r="B523" t="s">
        <v>206</v>
      </c>
      <c r="C523">
        <v>60</v>
      </c>
      <c r="D523" t="s">
        <v>16</v>
      </c>
      <c r="E523" t="s">
        <v>14</v>
      </c>
      <c r="F523">
        <v>68.731999999999999</v>
      </c>
      <c r="G523" t="s">
        <v>13</v>
      </c>
    </row>
    <row r="524" spans="1:7" x14ac:dyDescent="0.25">
      <c r="A524">
        <v>44</v>
      </c>
      <c r="B524" t="s">
        <v>206</v>
      </c>
      <c r="C524">
        <v>70</v>
      </c>
      <c r="D524" t="s">
        <v>186</v>
      </c>
      <c r="E524" t="s">
        <v>12</v>
      </c>
      <c r="F524">
        <v>8.4000000000000005E-2</v>
      </c>
      <c r="G524" t="s">
        <v>13</v>
      </c>
    </row>
    <row r="525" spans="1:7" x14ac:dyDescent="0.25">
      <c r="A525">
        <v>44</v>
      </c>
      <c r="B525" t="s">
        <v>206</v>
      </c>
      <c r="C525">
        <v>80</v>
      </c>
      <c r="D525" t="s">
        <v>189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206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206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206</v>
      </c>
      <c r="C528">
        <v>110</v>
      </c>
      <c r="D528" t="s">
        <v>104</v>
      </c>
      <c r="E528" t="s">
        <v>12</v>
      </c>
      <c r="F528">
        <v>0.58099999999999996</v>
      </c>
      <c r="G528" t="s">
        <v>13</v>
      </c>
    </row>
    <row r="529" spans="1:7" x14ac:dyDescent="0.25">
      <c r="A529">
        <v>44</v>
      </c>
      <c r="B529" t="s">
        <v>206</v>
      </c>
      <c r="C529">
        <v>120</v>
      </c>
      <c r="D529" t="s">
        <v>207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208</v>
      </c>
      <c r="C530">
        <v>10</v>
      </c>
      <c r="D530" t="s">
        <v>108</v>
      </c>
      <c r="E530" t="s">
        <v>14</v>
      </c>
      <c r="F530">
        <v>1.016</v>
      </c>
      <c r="G530" t="s">
        <v>15</v>
      </c>
    </row>
    <row r="531" spans="1:7" x14ac:dyDescent="0.25">
      <c r="A531">
        <v>45</v>
      </c>
      <c r="B531" t="s">
        <v>208</v>
      </c>
      <c r="C531">
        <v>20</v>
      </c>
      <c r="D531" t="s">
        <v>187</v>
      </c>
      <c r="E531" t="s">
        <v>14</v>
      </c>
      <c r="F531">
        <v>1.016</v>
      </c>
      <c r="G531" t="s">
        <v>15</v>
      </c>
    </row>
    <row r="532" spans="1:7" x14ac:dyDescent="0.25">
      <c r="A532">
        <v>45</v>
      </c>
      <c r="B532" t="s">
        <v>208</v>
      </c>
      <c r="C532">
        <v>30</v>
      </c>
      <c r="D532" t="s">
        <v>101</v>
      </c>
      <c r="E532" t="s">
        <v>102</v>
      </c>
      <c r="F532">
        <v>0.29599999999999999</v>
      </c>
      <c r="G532" t="s">
        <v>13</v>
      </c>
    </row>
    <row r="533" spans="1:7" x14ac:dyDescent="0.25">
      <c r="A533">
        <v>45</v>
      </c>
      <c r="B533" t="s">
        <v>208</v>
      </c>
      <c r="C533">
        <v>40</v>
      </c>
      <c r="D533" t="s">
        <v>188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208</v>
      </c>
      <c r="C534">
        <v>50</v>
      </c>
      <c r="D534" t="s">
        <v>103</v>
      </c>
      <c r="E534" t="s">
        <v>14</v>
      </c>
      <c r="F534">
        <v>11.683999999999999</v>
      </c>
      <c r="G534" t="s">
        <v>13</v>
      </c>
    </row>
    <row r="535" spans="1:7" x14ac:dyDescent="0.25">
      <c r="A535">
        <v>45</v>
      </c>
      <c r="B535" t="s">
        <v>208</v>
      </c>
      <c r="C535">
        <v>60</v>
      </c>
      <c r="D535" t="s">
        <v>16</v>
      </c>
      <c r="E535" t="s">
        <v>14</v>
      </c>
      <c r="F535">
        <v>72.480999999999995</v>
      </c>
      <c r="G535" t="s">
        <v>13</v>
      </c>
    </row>
    <row r="536" spans="1:7" x14ac:dyDescent="0.25">
      <c r="A536">
        <v>45</v>
      </c>
      <c r="B536" t="s">
        <v>208</v>
      </c>
      <c r="C536">
        <v>70</v>
      </c>
      <c r="D536" t="s">
        <v>186</v>
      </c>
      <c r="E536" t="s">
        <v>12</v>
      </c>
      <c r="F536">
        <v>9.4E-2</v>
      </c>
      <c r="G536" t="s">
        <v>13</v>
      </c>
    </row>
    <row r="537" spans="1:7" x14ac:dyDescent="0.25">
      <c r="A537">
        <v>45</v>
      </c>
      <c r="B537" t="s">
        <v>208</v>
      </c>
      <c r="C537">
        <v>80</v>
      </c>
      <c r="D537" t="s">
        <v>189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208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208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208</v>
      </c>
      <c r="C540">
        <v>110</v>
      </c>
      <c r="D540" t="s">
        <v>104</v>
      </c>
      <c r="E540" t="s">
        <v>12</v>
      </c>
      <c r="F540">
        <v>0.66200000000000003</v>
      </c>
      <c r="G540" t="s">
        <v>13</v>
      </c>
    </row>
    <row r="541" spans="1:7" x14ac:dyDescent="0.25">
      <c r="A541">
        <v>45</v>
      </c>
      <c r="B541" t="s">
        <v>208</v>
      </c>
      <c r="C541">
        <v>120</v>
      </c>
      <c r="D541" t="s">
        <v>209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210</v>
      </c>
      <c r="C542">
        <v>10</v>
      </c>
      <c r="D542" t="s">
        <v>108</v>
      </c>
      <c r="E542" t="s">
        <v>14</v>
      </c>
      <c r="F542">
        <v>1.1679999999999999</v>
      </c>
      <c r="G542" t="s">
        <v>15</v>
      </c>
    </row>
    <row r="543" spans="1:7" x14ac:dyDescent="0.25">
      <c r="A543">
        <v>46</v>
      </c>
      <c r="B543" t="s">
        <v>210</v>
      </c>
      <c r="C543">
        <v>20</v>
      </c>
      <c r="D543" t="s">
        <v>187</v>
      </c>
      <c r="E543" t="s">
        <v>14</v>
      </c>
      <c r="F543">
        <v>1.1679999999999999</v>
      </c>
      <c r="G543" t="s">
        <v>15</v>
      </c>
    </row>
    <row r="544" spans="1:7" x14ac:dyDescent="0.25">
      <c r="A544">
        <v>46</v>
      </c>
      <c r="B544" t="s">
        <v>210</v>
      </c>
      <c r="C544">
        <v>30</v>
      </c>
      <c r="D544" t="s">
        <v>101</v>
      </c>
      <c r="E544" t="s">
        <v>102</v>
      </c>
      <c r="F544">
        <v>0.34200000000000003</v>
      </c>
      <c r="G544" t="s">
        <v>13</v>
      </c>
    </row>
    <row r="545" spans="1:7" x14ac:dyDescent="0.25">
      <c r="A545">
        <v>46</v>
      </c>
      <c r="B545" t="s">
        <v>210</v>
      </c>
      <c r="C545">
        <v>40</v>
      </c>
      <c r="D545" t="s">
        <v>188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210</v>
      </c>
      <c r="C546">
        <v>50</v>
      </c>
      <c r="D546" t="s">
        <v>103</v>
      </c>
      <c r="E546" t="s">
        <v>14</v>
      </c>
      <c r="F546">
        <v>12.294</v>
      </c>
      <c r="G546" t="s">
        <v>13</v>
      </c>
    </row>
    <row r="547" spans="1:7" x14ac:dyDescent="0.25">
      <c r="A547">
        <v>46</v>
      </c>
      <c r="B547" t="s">
        <v>210</v>
      </c>
      <c r="C547">
        <v>60</v>
      </c>
      <c r="D547" t="s">
        <v>16</v>
      </c>
      <c r="E547" t="s">
        <v>14</v>
      </c>
      <c r="F547">
        <v>76.23</v>
      </c>
      <c r="G547" t="s">
        <v>13</v>
      </c>
    </row>
    <row r="548" spans="1:7" x14ac:dyDescent="0.25">
      <c r="A548">
        <v>46</v>
      </c>
      <c r="B548" t="s">
        <v>210</v>
      </c>
      <c r="C548">
        <v>70</v>
      </c>
      <c r="D548" t="s">
        <v>186</v>
      </c>
      <c r="E548" t="s">
        <v>12</v>
      </c>
      <c r="F548">
        <v>0.105</v>
      </c>
      <c r="G548" t="s">
        <v>13</v>
      </c>
    </row>
    <row r="549" spans="1:7" x14ac:dyDescent="0.25">
      <c r="A549">
        <v>46</v>
      </c>
      <c r="B549" t="s">
        <v>210</v>
      </c>
      <c r="C549">
        <v>80</v>
      </c>
      <c r="D549" t="s">
        <v>189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210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210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210</v>
      </c>
      <c r="C552">
        <v>110</v>
      </c>
      <c r="D552" t="s">
        <v>104</v>
      </c>
      <c r="E552" t="s">
        <v>12</v>
      </c>
      <c r="F552">
        <v>0.74299999999999999</v>
      </c>
      <c r="G552" t="s">
        <v>13</v>
      </c>
    </row>
    <row r="553" spans="1:7" x14ac:dyDescent="0.25">
      <c r="A553">
        <v>46</v>
      </c>
      <c r="B553" t="s">
        <v>210</v>
      </c>
      <c r="C553">
        <v>120</v>
      </c>
      <c r="D553" t="s">
        <v>211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212</v>
      </c>
      <c r="C554">
        <v>10</v>
      </c>
      <c r="D554" t="s">
        <v>108</v>
      </c>
      <c r="E554" t="s">
        <v>14</v>
      </c>
      <c r="F554">
        <v>1.321</v>
      </c>
      <c r="G554" t="s">
        <v>15</v>
      </c>
    </row>
    <row r="555" spans="1:7" x14ac:dyDescent="0.25">
      <c r="A555">
        <v>47</v>
      </c>
      <c r="B555" t="s">
        <v>212</v>
      </c>
      <c r="C555">
        <v>20</v>
      </c>
      <c r="D555" t="s">
        <v>187</v>
      </c>
      <c r="E555" t="s">
        <v>14</v>
      </c>
      <c r="F555">
        <v>1.321</v>
      </c>
      <c r="G555" t="s">
        <v>15</v>
      </c>
    </row>
    <row r="556" spans="1:7" x14ac:dyDescent="0.25">
      <c r="A556">
        <v>47</v>
      </c>
      <c r="B556" t="s">
        <v>212</v>
      </c>
      <c r="C556">
        <v>30</v>
      </c>
      <c r="D556" t="s">
        <v>101</v>
      </c>
      <c r="E556" t="s">
        <v>102</v>
      </c>
      <c r="F556">
        <v>0.38700000000000001</v>
      </c>
      <c r="G556" t="s">
        <v>13</v>
      </c>
    </row>
    <row r="557" spans="1:7" x14ac:dyDescent="0.25">
      <c r="A557">
        <v>47</v>
      </c>
      <c r="B557" t="s">
        <v>212</v>
      </c>
      <c r="C557">
        <v>40</v>
      </c>
      <c r="D557" t="s">
        <v>188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212</v>
      </c>
      <c r="C558">
        <v>50</v>
      </c>
      <c r="D558" t="s">
        <v>103</v>
      </c>
      <c r="E558" t="s">
        <v>14</v>
      </c>
      <c r="F558">
        <v>12.903</v>
      </c>
      <c r="G558" t="s">
        <v>13</v>
      </c>
    </row>
    <row r="559" spans="1:7" x14ac:dyDescent="0.25">
      <c r="A559">
        <v>47</v>
      </c>
      <c r="B559" t="s">
        <v>212</v>
      </c>
      <c r="C559">
        <v>60</v>
      </c>
      <c r="D559" t="s">
        <v>16</v>
      </c>
      <c r="E559" t="s">
        <v>14</v>
      </c>
      <c r="F559">
        <v>79.98</v>
      </c>
      <c r="G559" t="s">
        <v>13</v>
      </c>
    </row>
    <row r="560" spans="1:7" x14ac:dyDescent="0.25">
      <c r="A560">
        <v>47</v>
      </c>
      <c r="B560" t="s">
        <v>212</v>
      </c>
      <c r="C560">
        <v>70</v>
      </c>
      <c r="D560" t="s">
        <v>186</v>
      </c>
      <c r="E560" t="s">
        <v>12</v>
      </c>
      <c r="F560">
        <v>0.11600000000000001</v>
      </c>
      <c r="G560" t="s">
        <v>13</v>
      </c>
    </row>
    <row r="561" spans="1:7" x14ac:dyDescent="0.25">
      <c r="A561">
        <v>47</v>
      </c>
      <c r="B561" t="s">
        <v>212</v>
      </c>
      <c r="C561">
        <v>80</v>
      </c>
      <c r="D561" t="s">
        <v>189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212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212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212</v>
      </c>
      <c r="C564">
        <v>110</v>
      </c>
      <c r="D564" t="s">
        <v>104</v>
      </c>
      <c r="E564" t="s">
        <v>12</v>
      </c>
      <c r="F564">
        <v>0.82399999999999995</v>
      </c>
      <c r="G564" t="s">
        <v>13</v>
      </c>
    </row>
    <row r="565" spans="1:7" x14ac:dyDescent="0.25">
      <c r="A565">
        <v>47</v>
      </c>
      <c r="B565" t="s">
        <v>212</v>
      </c>
      <c r="C565">
        <v>120</v>
      </c>
      <c r="D565" t="s">
        <v>213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214</v>
      </c>
      <c r="C566">
        <v>10</v>
      </c>
      <c r="D566" t="s">
        <v>108</v>
      </c>
      <c r="E566" t="s">
        <v>14</v>
      </c>
      <c r="F566">
        <v>1.397</v>
      </c>
      <c r="G566" t="s">
        <v>15</v>
      </c>
    </row>
    <row r="567" spans="1:7" x14ac:dyDescent="0.25">
      <c r="A567">
        <v>48</v>
      </c>
      <c r="B567" t="s">
        <v>214</v>
      </c>
      <c r="C567">
        <v>20</v>
      </c>
      <c r="D567" t="s">
        <v>187</v>
      </c>
      <c r="E567" t="s">
        <v>14</v>
      </c>
      <c r="F567">
        <v>1.397</v>
      </c>
      <c r="G567" t="s">
        <v>15</v>
      </c>
    </row>
    <row r="568" spans="1:7" x14ac:dyDescent="0.25">
      <c r="A568">
        <v>48</v>
      </c>
      <c r="B568" t="s">
        <v>214</v>
      </c>
      <c r="C568">
        <v>30</v>
      </c>
      <c r="D568" t="s">
        <v>101</v>
      </c>
      <c r="E568" t="s">
        <v>102</v>
      </c>
      <c r="F568">
        <v>0.41</v>
      </c>
      <c r="G568" t="s">
        <v>13</v>
      </c>
    </row>
    <row r="569" spans="1:7" x14ac:dyDescent="0.25">
      <c r="A569">
        <v>48</v>
      </c>
      <c r="B569" t="s">
        <v>214</v>
      </c>
      <c r="C569">
        <v>40</v>
      </c>
      <c r="D569" t="s">
        <v>188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214</v>
      </c>
      <c r="C570">
        <v>50</v>
      </c>
      <c r="D570" t="s">
        <v>103</v>
      </c>
      <c r="E570" t="s">
        <v>14</v>
      </c>
      <c r="F570">
        <v>13.208</v>
      </c>
      <c r="G570" t="s">
        <v>13</v>
      </c>
    </row>
    <row r="571" spans="1:7" x14ac:dyDescent="0.25">
      <c r="A571">
        <v>48</v>
      </c>
      <c r="B571" t="s">
        <v>214</v>
      </c>
      <c r="C571">
        <v>60</v>
      </c>
      <c r="D571" t="s">
        <v>16</v>
      </c>
      <c r="E571" t="s">
        <v>14</v>
      </c>
      <c r="F571">
        <v>81.853999999999999</v>
      </c>
      <c r="G571" t="s">
        <v>13</v>
      </c>
    </row>
    <row r="572" spans="1:7" x14ac:dyDescent="0.25">
      <c r="A572">
        <v>48</v>
      </c>
      <c r="B572" t="s">
        <v>214</v>
      </c>
      <c r="C572">
        <v>70</v>
      </c>
      <c r="D572" t="s">
        <v>186</v>
      </c>
      <c r="E572" t="s">
        <v>12</v>
      </c>
      <c r="F572">
        <v>0.121</v>
      </c>
      <c r="G572" t="s">
        <v>13</v>
      </c>
    </row>
    <row r="573" spans="1:7" x14ac:dyDescent="0.25">
      <c r="A573">
        <v>48</v>
      </c>
      <c r="B573" t="s">
        <v>214</v>
      </c>
      <c r="C573">
        <v>80</v>
      </c>
      <c r="D573" t="s">
        <v>189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214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214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214</v>
      </c>
      <c r="C576">
        <v>110</v>
      </c>
      <c r="D576" t="s">
        <v>104</v>
      </c>
      <c r="E576" t="s">
        <v>12</v>
      </c>
      <c r="F576">
        <v>0.86499999999999999</v>
      </c>
      <c r="G576" t="s">
        <v>13</v>
      </c>
    </row>
    <row r="577" spans="1:7" x14ac:dyDescent="0.25">
      <c r="A577">
        <v>48</v>
      </c>
      <c r="B577" t="s">
        <v>214</v>
      </c>
      <c r="C577">
        <v>120</v>
      </c>
      <c r="D577" t="s">
        <v>215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216</v>
      </c>
      <c r="C578">
        <v>10</v>
      </c>
      <c r="D578" t="s">
        <v>108</v>
      </c>
      <c r="E578" t="s">
        <v>14</v>
      </c>
      <c r="F578">
        <v>1.4730000000000001</v>
      </c>
      <c r="G578" t="s">
        <v>15</v>
      </c>
    </row>
    <row r="579" spans="1:7" x14ac:dyDescent="0.25">
      <c r="A579">
        <v>49</v>
      </c>
      <c r="B579" t="s">
        <v>216</v>
      </c>
      <c r="C579">
        <v>20</v>
      </c>
      <c r="D579" t="s">
        <v>187</v>
      </c>
      <c r="E579" t="s">
        <v>14</v>
      </c>
      <c r="F579">
        <v>1.4730000000000001</v>
      </c>
      <c r="G579" t="s">
        <v>15</v>
      </c>
    </row>
    <row r="580" spans="1:7" x14ac:dyDescent="0.25">
      <c r="A580">
        <v>49</v>
      </c>
      <c r="B580" t="s">
        <v>216</v>
      </c>
      <c r="C580">
        <v>30</v>
      </c>
      <c r="D580" t="s">
        <v>101</v>
      </c>
      <c r="E580" t="s">
        <v>102</v>
      </c>
      <c r="F580">
        <v>0.433</v>
      </c>
      <c r="G580" t="s">
        <v>13</v>
      </c>
    </row>
    <row r="581" spans="1:7" x14ac:dyDescent="0.25">
      <c r="A581">
        <v>49</v>
      </c>
      <c r="B581" t="s">
        <v>216</v>
      </c>
      <c r="C581">
        <v>40</v>
      </c>
      <c r="D581" t="s">
        <v>188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216</v>
      </c>
      <c r="C582">
        <v>50</v>
      </c>
      <c r="D582" t="s">
        <v>103</v>
      </c>
      <c r="E582" t="s">
        <v>14</v>
      </c>
      <c r="F582">
        <v>13.513</v>
      </c>
      <c r="G582" t="s">
        <v>13</v>
      </c>
    </row>
    <row r="583" spans="1:7" x14ac:dyDescent="0.25">
      <c r="A583">
        <v>49</v>
      </c>
      <c r="B583" t="s">
        <v>216</v>
      </c>
      <c r="C583">
        <v>60</v>
      </c>
      <c r="D583" t="s">
        <v>16</v>
      </c>
      <c r="E583" t="s">
        <v>14</v>
      </c>
      <c r="F583">
        <v>83.728999999999999</v>
      </c>
      <c r="G583" t="s">
        <v>13</v>
      </c>
    </row>
    <row r="584" spans="1:7" x14ac:dyDescent="0.25">
      <c r="A584">
        <v>49</v>
      </c>
      <c r="B584" t="s">
        <v>216</v>
      </c>
      <c r="C584">
        <v>70</v>
      </c>
      <c r="D584" t="s">
        <v>186</v>
      </c>
      <c r="E584" t="s">
        <v>12</v>
      </c>
      <c r="F584">
        <v>0.126</v>
      </c>
      <c r="G584" t="s">
        <v>13</v>
      </c>
    </row>
    <row r="585" spans="1:7" x14ac:dyDescent="0.25">
      <c r="A585">
        <v>49</v>
      </c>
      <c r="B585" t="s">
        <v>216</v>
      </c>
      <c r="C585">
        <v>80</v>
      </c>
      <c r="D585" t="s">
        <v>189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216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216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216</v>
      </c>
      <c r="C588">
        <v>110</v>
      </c>
      <c r="D588" t="s">
        <v>104</v>
      </c>
      <c r="E588" t="s">
        <v>12</v>
      </c>
      <c r="F588">
        <v>0.90500000000000003</v>
      </c>
      <c r="G588" t="s">
        <v>13</v>
      </c>
    </row>
    <row r="589" spans="1:7" x14ac:dyDescent="0.25">
      <c r="A589">
        <v>49</v>
      </c>
      <c r="B589" t="s">
        <v>216</v>
      </c>
      <c r="C589">
        <v>120</v>
      </c>
      <c r="D589" t="s">
        <v>217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218</v>
      </c>
      <c r="C590">
        <v>10</v>
      </c>
      <c r="D590" t="s">
        <v>108</v>
      </c>
      <c r="E590" t="s">
        <v>14</v>
      </c>
      <c r="F590">
        <v>1.6259999999999999</v>
      </c>
      <c r="G590" t="s">
        <v>15</v>
      </c>
    </row>
    <row r="591" spans="1:7" x14ac:dyDescent="0.25">
      <c r="A591">
        <v>50</v>
      </c>
      <c r="B591" t="s">
        <v>218</v>
      </c>
      <c r="C591">
        <v>20</v>
      </c>
      <c r="D591" t="s">
        <v>187</v>
      </c>
      <c r="E591" t="s">
        <v>14</v>
      </c>
      <c r="F591">
        <v>1.6259999999999999</v>
      </c>
      <c r="G591" t="s">
        <v>15</v>
      </c>
    </row>
    <row r="592" spans="1:7" x14ac:dyDescent="0.25">
      <c r="A592">
        <v>50</v>
      </c>
      <c r="B592" t="s">
        <v>218</v>
      </c>
      <c r="C592">
        <v>30</v>
      </c>
      <c r="D592" t="s">
        <v>101</v>
      </c>
      <c r="E592" t="s">
        <v>102</v>
      </c>
      <c r="F592">
        <v>0.47799999999999998</v>
      </c>
      <c r="G592" t="s">
        <v>13</v>
      </c>
    </row>
    <row r="593" spans="1:7" x14ac:dyDescent="0.25">
      <c r="A593">
        <v>50</v>
      </c>
      <c r="B593" t="s">
        <v>218</v>
      </c>
      <c r="C593">
        <v>40</v>
      </c>
      <c r="D593" t="s">
        <v>188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218</v>
      </c>
      <c r="C594">
        <v>50</v>
      </c>
      <c r="D594" t="s">
        <v>103</v>
      </c>
      <c r="E594" t="s">
        <v>14</v>
      </c>
      <c r="F594">
        <v>14.122</v>
      </c>
      <c r="G594" t="s">
        <v>13</v>
      </c>
    </row>
    <row r="595" spans="1:7" x14ac:dyDescent="0.25">
      <c r="A595">
        <v>50</v>
      </c>
      <c r="B595" t="s">
        <v>218</v>
      </c>
      <c r="C595">
        <v>60</v>
      </c>
      <c r="D595" t="s">
        <v>16</v>
      </c>
      <c r="E595" t="s">
        <v>14</v>
      </c>
      <c r="F595">
        <v>87.477999999999994</v>
      </c>
      <c r="G595" t="s">
        <v>13</v>
      </c>
    </row>
    <row r="596" spans="1:7" x14ac:dyDescent="0.25">
      <c r="A596">
        <v>50</v>
      </c>
      <c r="B596" t="s">
        <v>218</v>
      </c>
      <c r="C596">
        <v>70</v>
      </c>
      <c r="D596" t="s">
        <v>186</v>
      </c>
      <c r="E596" t="s">
        <v>12</v>
      </c>
      <c r="F596">
        <v>0.13700000000000001</v>
      </c>
      <c r="G596" t="s">
        <v>13</v>
      </c>
    </row>
    <row r="597" spans="1:7" x14ac:dyDescent="0.25">
      <c r="A597">
        <v>50</v>
      </c>
      <c r="B597" t="s">
        <v>218</v>
      </c>
      <c r="C597">
        <v>80</v>
      </c>
      <c r="D597" t="s">
        <v>189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218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218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218</v>
      </c>
      <c r="C600">
        <v>110</v>
      </c>
      <c r="D600" t="s">
        <v>104</v>
      </c>
      <c r="E600" t="s">
        <v>12</v>
      </c>
      <c r="F600">
        <v>0.98599999999999999</v>
      </c>
      <c r="G600" t="s">
        <v>13</v>
      </c>
    </row>
    <row r="601" spans="1:7" x14ac:dyDescent="0.25">
      <c r="A601">
        <v>50</v>
      </c>
      <c r="B601" t="s">
        <v>218</v>
      </c>
      <c r="C601">
        <v>120</v>
      </c>
      <c r="D601" t="s">
        <v>219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220</v>
      </c>
      <c r="C602">
        <v>10</v>
      </c>
      <c r="D602" t="s">
        <v>108</v>
      </c>
      <c r="E602" t="s">
        <v>14</v>
      </c>
      <c r="F602">
        <v>1.778</v>
      </c>
      <c r="G602" t="s">
        <v>15</v>
      </c>
    </row>
    <row r="603" spans="1:7" x14ac:dyDescent="0.25">
      <c r="A603">
        <v>51</v>
      </c>
      <c r="B603" t="s">
        <v>220</v>
      </c>
      <c r="C603">
        <v>20</v>
      </c>
      <c r="D603" t="s">
        <v>187</v>
      </c>
      <c r="E603" t="s">
        <v>14</v>
      </c>
      <c r="F603">
        <v>1.778</v>
      </c>
      <c r="G603" t="s">
        <v>15</v>
      </c>
    </row>
    <row r="604" spans="1:7" x14ac:dyDescent="0.25">
      <c r="A604">
        <v>51</v>
      </c>
      <c r="B604" t="s">
        <v>220</v>
      </c>
      <c r="C604">
        <v>30</v>
      </c>
      <c r="D604" t="s">
        <v>101</v>
      </c>
      <c r="E604" t="s">
        <v>102</v>
      </c>
      <c r="F604">
        <v>0.52400000000000002</v>
      </c>
      <c r="G604" t="s">
        <v>13</v>
      </c>
    </row>
    <row r="605" spans="1:7" x14ac:dyDescent="0.25">
      <c r="A605">
        <v>51</v>
      </c>
      <c r="B605" t="s">
        <v>220</v>
      </c>
      <c r="C605">
        <v>40</v>
      </c>
      <c r="D605" t="s">
        <v>188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220</v>
      </c>
      <c r="C606">
        <v>50</v>
      </c>
      <c r="D606" t="s">
        <v>103</v>
      </c>
      <c r="E606" t="s">
        <v>14</v>
      </c>
      <c r="F606">
        <v>14.731999999999999</v>
      </c>
      <c r="G606" t="s">
        <v>13</v>
      </c>
    </row>
    <row r="607" spans="1:7" x14ac:dyDescent="0.25">
      <c r="A607">
        <v>51</v>
      </c>
      <c r="B607" t="s">
        <v>220</v>
      </c>
      <c r="C607">
        <v>60</v>
      </c>
      <c r="D607" t="s">
        <v>16</v>
      </c>
      <c r="E607" t="s">
        <v>14</v>
      </c>
      <c r="F607">
        <v>91.227000000000004</v>
      </c>
      <c r="G607" t="s">
        <v>13</v>
      </c>
    </row>
    <row r="608" spans="1:7" x14ac:dyDescent="0.25">
      <c r="A608">
        <v>51</v>
      </c>
      <c r="B608" t="s">
        <v>220</v>
      </c>
      <c r="C608">
        <v>70</v>
      </c>
      <c r="D608" t="s">
        <v>186</v>
      </c>
      <c r="E608" t="s">
        <v>12</v>
      </c>
      <c r="F608">
        <v>0.14799999999999999</v>
      </c>
      <c r="G608" t="s">
        <v>13</v>
      </c>
    </row>
    <row r="609" spans="1:7" x14ac:dyDescent="0.25">
      <c r="A609">
        <v>51</v>
      </c>
      <c r="B609" t="s">
        <v>220</v>
      </c>
      <c r="C609">
        <v>80</v>
      </c>
      <c r="D609" t="s">
        <v>189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220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220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220</v>
      </c>
      <c r="C612">
        <v>110</v>
      </c>
      <c r="D612" t="s">
        <v>104</v>
      </c>
      <c r="E612" t="s">
        <v>12</v>
      </c>
      <c r="F612">
        <v>1.0669999999999999</v>
      </c>
      <c r="G612" t="s">
        <v>13</v>
      </c>
    </row>
    <row r="613" spans="1:7" x14ac:dyDescent="0.25">
      <c r="A613">
        <v>51</v>
      </c>
      <c r="B613" t="s">
        <v>220</v>
      </c>
      <c r="C613">
        <v>120</v>
      </c>
      <c r="D613" t="s">
        <v>221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222</v>
      </c>
      <c r="C614">
        <v>10</v>
      </c>
      <c r="D614" t="s">
        <v>108</v>
      </c>
      <c r="E614" t="s">
        <v>14</v>
      </c>
      <c r="F614">
        <v>0.86399999999999999</v>
      </c>
      <c r="G614" t="s">
        <v>15</v>
      </c>
    </row>
    <row r="615" spans="1:7" x14ac:dyDescent="0.25">
      <c r="A615">
        <v>52</v>
      </c>
      <c r="B615" t="s">
        <v>222</v>
      </c>
      <c r="C615">
        <v>20</v>
      </c>
      <c r="D615" t="s">
        <v>187</v>
      </c>
      <c r="E615" t="s">
        <v>14</v>
      </c>
      <c r="F615">
        <v>0.86399999999999999</v>
      </c>
      <c r="G615" t="s">
        <v>15</v>
      </c>
    </row>
    <row r="616" spans="1:7" x14ac:dyDescent="0.25">
      <c r="A616">
        <v>52</v>
      </c>
      <c r="B616" t="s">
        <v>222</v>
      </c>
      <c r="C616">
        <v>30</v>
      </c>
      <c r="D616" t="s">
        <v>101</v>
      </c>
      <c r="E616" t="s">
        <v>102</v>
      </c>
      <c r="F616">
        <v>0.26100000000000001</v>
      </c>
      <c r="G616" t="s">
        <v>13</v>
      </c>
    </row>
    <row r="617" spans="1:7" x14ac:dyDescent="0.25">
      <c r="A617">
        <v>52</v>
      </c>
      <c r="B617" t="s">
        <v>222</v>
      </c>
      <c r="C617">
        <v>40</v>
      </c>
      <c r="D617" t="s">
        <v>188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222</v>
      </c>
      <c r="C618">
        <v>50</v>
      </c>
      <c r="D618" t="s">
        <v>103</v>
      </c>
      <c r="E618" t="s">
        <v>14</v>
      </c>
      <c r="F618">
        <v>11.379</v>
      </c>
      <c r="G618" t="s">
        <v>13</v>
      </c>
    </row>
    <row r="619" spans="1:7" x14ac:dyDescent="0.25">
      <c r="A619">
        <v>52</v>
      </c>
      <c r="B619" t="s">
        <v>222</v>
      </c>
      <c r="C619">
        <v>60</v>
      </c>
      <c r="D619" t="s">
        <v>16</v>
      </c>
      <c r="E619" t="s">
        <v>14</v>
      </c>
      <c r="F619">
        <v>70.606999999999999</v>
      </c>
      <c r="G619" t="s">
        <v>13</v>
      </c>
    </row>
    <row r="620" spans="1:7" x14ac:dyDescent="0.25">
      <c r="A620">
        <v>52</v>
      </c>
      <c r="B620" t="s">
        <v>222</v>
      </c>
      <c r="C620">
        <v>70</v>
      </c>
      <c r="D620" t="s">
        <v>186</v>
      </c>
      <c r="E620" t="s">
        <v>12</v>
      </c>
      <c r="F620">
        <v>8.4000000000000005E-2</v>
      </c>
      <c r="G620" t="s">
        <v>13</v>
      </c>
    </row>
    <row r="621" spans="1:7" x14ac:dyDescent="0.25">
      <c r="A621">
        <v>52</v>
      </c>
      <c r="B621" t="s">
        <v>222</v>
      </c>
      <c r="C621">
        <v>80</v>
      </c>
      <c r="D621" t="s">
        <v>189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222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222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222</v>
      </c>
      <c r="C624">
        <v>110</v>
      </c>
      <c r="D624" t="s">
        <v>104</v>
      </c>
      <c r="E624" t="s">
        <v>12</v>
      </c>
      <c r="F624">
        <v>0.58099999999999996</v>
      </c>
      <c r="G624" t="s">
        <v>13</v>
      </c>
    </row>
    <row r="625" spans="1:7" x14ac:dyDescent="0.25">
      <c r="A625">
        <v>52</v>
      </c>
      <c r="B625" t="s">
        <v>222</v>
      </c>
      <c r="C625">
        <v>120</v>
      </c>
      <c r="D625" t="s">
        <v>223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224</v>
      </c>
      <c r="C626">
        <v>10</v>
      </c>
      <c r="D626" t="s">
        <v>108</v>
      </c>
      <c r="E626" t="s">
        <v>14</v>
      </c>
      <c r="F626">
        <v>1.016</v>
      </c>
      <c r="G626" t="s">
        <v>15</v>
      </c>
    </row>
    <row r="627" spans="1:7" x14ac:dyDescent="0.25">
      <c r="A627">
        <v>53</v>
      </c>
      <c r="B627" t="s">
        <v>224</v>
      </c>
      <c r="C627">
        <v>20</v>
      </c>
      <c r="D627" t="s">
        <v>187</v>
      </c>
      <c r="E627" t="s">
        <v>14</v>
      </c>
      <c r="F627">
        <v>1.016</v>
      </c>
      <c r="G627" t="s">
        <v>15</v>
      </c>
    </row>
    <row r="628" spans="1:7" x14ac:dyDescent="0.25">
      <c r="A628">
        <v>53</v>
      </c>
      <c r="B628" t="s">
        <v>224</v>
      </c>
      <c r="C628">
        <v>30</v>
      </c>
      <c r="D628" t="s">
        <v>101</v>
      </c>
      <c r="E628" t="s">
        <v>102</v>
      </c>
      <c r="F628">
        <v>0.308</v>
      </c>
      <c r="G628" t="s">
        <v>13</v>
      </c>
    </row>
    <row r="629" spans="1:7" x14ac:dyDescent="0.25">
      <c r="A629">
        <v>53</v>
      </c>
      <c r="B629" t="s">
        <v>224</v>
      </c>
      <c r="C629">
        <v>40</v>
      </c>
      <c r="D629" t="s">
        <v>188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224</v>
      </c>
      <c r="C630">
        <v>50</v>
      </c>
      <c r="D630" t="s">
        <v>103</v>
      </c>
      <c r="E630" t="s">
        <v>14</v>
      </c>
      <c r="F630">
        <v>11.989000000000001</v>
      </c>
      <c r="G630" t="s">
        <v>13</v>
      </c>
    </row>
    <row r="631" spans="1:7" x14ac:dyDescent="0.25">
      <c r="A631">
        <v>53</v>
      </c>
      <c r="B631" t="s">
        <v>224</v>
      </c>
      <c r="C631">
        <v>60</v>
      </c>
      <c r="D631" t="s">
        <v>16</v>
      </c>
      <c r="E631" t="s">
        <v>14</v>
      </c>
      <c r="F631">
        <v>74.355999999999995</v>
      </c>
      <c r="G631" t="s">
        <v>13</v>
      </c>
    </row>
    <row r="632" spans="1:7" x14ac:dyDescent="0.25">
      <c r="A632">
        <v>53</v>
      </c>
      <c r="B632" t="s">
        <v>224</v>
      </c>
      <c r="C632">
        <v>70</v>
      </c>
      <c r="D632" t="s">
        <v>186</v>
      </c>
      <c r="E632" t="s">
        <v>12</v>
      </c>
      <c r="F632">
        <v>9.4E-2</v>
      </c>
      <c r="G632" t="s">
        <v>13</v>
      </c>
    </row>
    <row r="633" spans="1:7" x14ac:dyDescent="0.25">
      <c r="A633">
        <v>53</v>
      </c>
      <c r="B633" t="s">
        <v>224</v>
      </c>
      <c r="C633">
        <v>80</v>
      </c>
      <c r="D633" t="s">
        <v>189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224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224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224</v>
      </c>
      <c r="C636">
        <v>110</v>
      </c>
      <c r="D636" t="s">
        <v>104</v>
      </c>
      <c r="E636" t="s">
        <v>12</v>
      </c>
      <c r="F636">
        <v>0.66200000000000003</v>
      </c>
      <c r="G636" t="s">
        <v>13</v>
      </c>
    </row>
    <row r="637" spans="1:7" x14ac:dyDescent="0.25">
      <c r="A637">
        <v>53</v>
      </c>
      <c r="B637" t="s">
        <v>224</v>
      </c>
      <c r="C637">
        <v>120</v>
      </c>
      <c r="D637" t="s">
        <v>225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226</v>
      </c>
      <c r="C638">
        <v>10</v>
      </c>
      <c r="D638" t="s">
        <v>108</v>
      </c>
      <c r="E638" t="s">
        <v>14</v>
      </c>
      <c r="F638">
        <v>1.1679999999999999</v>
      </c>
      <c r="G638" t="s">
        <v>15</v>
      </c>
    </row>
    <row r="639" spans="1:7" x14ac:dyDescent="0.25">
      <c r="A639">
        <v>54</v>
      </c>
      <c r="B639" t="s">
        <v>226</v>
      </c>
      <c r="C639">
        <v>20</v>
      </c>
      <c r="D639" t="s">
        <v>187</v>
      </c>
      <c r="E639" t="s">
        <v>14</v>
      </c>
      <c r="F639">
        <v>1.1679999999999999</v>
      </c>
      <c r="G639" t="s">
        <v>15</v>
      </c>
    </row>
    <row r="640" spans="1:7" x14ac:dyDescent="0.25">
      <c r="A640">
        <v>54</v>
      </c>
      <c r="B640" t="s">
        <v>226</v>
      </c>
      <c r="C640">
        <v>30</v>
      </c>
      <c r="D640" t="s">
        <v>101</v>
      </c>
      <c r="E640" t="s">
        <v>102</v>
      </c>
      <c r="F640">
        <v>0.35499999999999998</v>
      </c>
      <c r="G640" t="s">
        <v>13</v>
      </c>
    </row>
    <row r="641" spans="1:7" x14ac:dyDescent="0.25">
      <c r="A641">
        <v>54</v>
      </c>
      <c r="B641" t="s">
        <v>226</v>
      </c>
      <c r="C641">
        <v>40</v>
      </c>
      <c r="D641" t="s">
        <v>188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226</v>
      </c>
      <c r="C642">
        <v>50</v>
      </c>
      <c r="D642" t="s">
        <v>103</v>
      </c>
      <c r="E642" t="s">
        <v>14</v>
      </c>
      <c r="F642">
        <v>12.598000000000001</v>
      </c>
      <c r="G642" t="s">
        <v>13</v>
      </c>
    </row>
    <row r="643" spans="1:7" x14ac:dyDescent="0.25">
      <c r="A643">
        <v>54</v>
      </c>
      <c r="B643" t="s">
        <v>226</v>
      </c>
      <c r="C643">
        <v>60</v>
      </c>
      <c r="D643" t="s">
        <v>16</v>
      </c>
      <c r="E643" t="s">
        <v>14</v>
      </c>
      <c r="F643">
        <v>78.105000000000004</v>
      </c>
      <c r="G643" t="s">
        <v>13</v>
      </c>
    </row>
    <row r="644" spans="1:7" x14ac:dyDescent="0.25">
      <c r="A644">
        <v>54</v>
      </c>
      <c r="B644" t="s">
        <v>226</v>
      </c>
      <c r="C644">
        <v>70</v>
      </c>
      <c r="D644" t="s">
        <v>186</v>
      </c>
      <c r="E644" t="s">
        <v>12</v>
      </c>
      <c r="F644">
        <v>0.105</v>
      </c>
      <c r="G644" t="s">
        <v>13</v>
      </c>
    </row>
    <row r="645" spans="1:7" x14ac:dyDescent="0.25">
      <c r="A645">
        <v>54</v>
      </c>
      <c r="B645" t="s">
        <v>226</v>
      </c>
      <c r="C645">
        <v>80</v>
      </c>
      <c r="D645" t="s">
        <v>189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226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226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226</v>
      </c>
      <c r="C648">
        <v>110</v>
      </c>
      <c r="D648" t="s">
        <v>104</v>
      </c>
      <c r="E648" t="s">
        <v>12</v>
      </c>
      <c r="F648">
        <v>0.74299999999999999</v>
      </c>
      <c r="G648" t="s">
        <v>13</v>
      </c>
    </row>
    <row r="649" spans="1:7" x14ac:dyDescent="0.25">
      <c r="A649">
        <v>54</v>
      </c>
      <c r="B649" t="s">
        <v>226</v>
      </c>
      <c r="C649">
        <v>120</v>
      </c>
      <c r="D649" t="s">
        <v>227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228</v>
      </c>
      <c r="C650">
        <v>10</v>
      </c>
      <c r="D650" t="s">
        <v>108</v>
      </c>
      <c r="E650" t="s">
        <v>14</v>
      </c>
      <c r="F650">
        <v>1.321</v>
      </c>
      <c r="G650" t="s">
        <v>15</v>
      </c>
    </row>
    <row r="651" spans="1:7" x14ac:dyDescent="0.25">
      <c r="A651">
        <v>55</v>
      </c>
      <c r="B651" t="s">
        <v>228</v>
      </c>
      <c r="C651">
        <v>20</v>
      </c>
      <c r="D651" t="s">
        <v>187</v>
      </c>
      <c r="E651" t="s">
        <v>14</v>
      </c>
      <c r="F651">
        <v>1.321</v>
      </c>
      <c r="G651" t="s">
        <v>15</v>
      </c>
    </row>
    <row r="652" spans="1:7" x14ac:dyDescent="0.25">
      <c r="A652">
        <v>55</v>
      </c>
      <c r="B652" t="s">
        <v>228</v>
      </c>
      <c r="C652">
        <v>30</v>
      </c>
      <c r="D652" t="s">
        <v>101</v>
      </c>
      <c r="E652" t="s">
        <v>102</v>
      </c>
      <c r="F652">
        <v>0.40300000000000002</v>
      </c>
      <c r="G652" t="s">
        <v>13</v>
      </c>
    </row>
    <row r="653" spans="1:7" x14ac:dyDescent="0.25">
      <c r="A653">
        <v>55</v>
      </c>
      <c r="B653" t="s">
        <v>228</v>
      </c>
      <c r="C653">
        <v>40</v>
      </c>
      <c r="D653" t="s">
        <v>188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228</v>
      </c>
      <c r="C654">
        <v>50</v>
      </c>
      <c r="D654" t="s">
        <v>103</v>
      </c>
      <c r="E654" t="s">
        <v>14</v>
      </c>
      <c r="F654">
        <v>13.208</v>
      </c>
      <c r="G654" t="s">
        <v>13</v>
      </c>
    </row>
    <row r="655" spans="1:7" x14ac:dyDescent="0.25">
      <c r="A655">
        <v>55</v>
      </c>
      <c r="B655" t="s">
        <v>228</v>
      </c>
      <c r="C655">
        <v>60</v>
      </c>
      <c r="D655" t="s">
        <v>16</v>
      </c>
      <c r="E655" t="s">
        <v>14</v>
      </c>
      <c r="F655">
        <v>81.853999999999999</v>
      </c>
      <c r="G655" t="s">
        <v>13</v>
      </c>
    </row>
    <row r="656" spans="1:7" x14ac:dyDescent="0.25">
      <c r="A656">
        <v>55</v>
      </c>
      <c r="B656" t="s">
        <v>228</v>
      </c>
      <c r="C656">
        <v>70</v>
      </c>
      <c r="D656" t="s">
        <v>186</v>
      </c>
      <c r="E656" t="s">
        <v>12</v>
      </c>
      <c r="F656">
        <v>0.11600000000000001</v>
      </c>
      <c r="G656" t="s">
        <v>13</v>
      </c>
    </row>
    <row r="657" spans="1:7" x14ac:dyDescent="0.25">
      <c r="A657">
        <v>55</v>
      </c>
      <c r="B657" t="s">
        <v>228</v>
      </c>
      <c r="C657">
        <v>80</v>
      </c>
      <c r="D657" t="s">
        <v>189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228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228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228</v>
      </c>
      <c r="C660">
        <v>110</v>
      </c>
      <c r="D660" t="s">
        <v>104</v>
      </c>
      <c r="E660" t="s">
        <v>12</v>
      </c>
      <c r="F660">
        <v>0.82399999999999995</v>
      </c>
      <c r="G660" t="s">
        <v>13</v>
      </c>
    </row>
    <row r="661" spans="1:7" x14ac:dyDescent="0.25">
      <c r="A661">
        <v>55</v>
      </c>
      <c r="B661" t="s">
        <v>228</v>
      </c>
      <c r="C661">
        <v>120</v>
      </c>
      <c r="D661" t="s">
        <v>229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230</v>
      </c>
      <c r="C662">
        <v>10</v>
      </c>
      <c r="D662" t="s">
        <v>108</v>
      </c>
      <c r="E662" t="s">
        <v>14</v>
      </c>
      <c r="F662">
        <v>1.397</v>
      </c>
      <c r="G662" t="s">
        <v>15</v>
      </c>
    </row>
    <row r="663" spans="1:7" x14ac:dyDescent="0.25">
      <c r="A663">
        <v>56</v>
      </c>
      <c r="B663" t="s">
        <v>230</v>
      </c>
      <c r="C663">
        <v>20</v>
      </c>
      <c r="D663" t="s">
        <v>187</v>
      </c>
      <c r="E663" t="s">
        <v>14</v>
      </c>
      <c r="F663">
        <v>1.397</v>
      </c>
      <c r="G663" t="s">
        <v>15</v>
      </c>
    </row>
    <row r="664" spans="1:7" x14ac:dyDescent="0.25">
      <c r="A664">
        <v>56</v>
      </c>
      <c r="B664" t="s">
        <v>230</v>
      </c>
      <c r="C664">
        <v>30</v>
      </c>
      <c r="D664" t="s">
        <v>101</v>
      </c>
      <c r="E664" t="s">
        <v>102</v>
      </c>
      <c r="F664">
        <v>0.42599999999999999</v>
      </c>
      <c r="G664" t="s">
        <v>13</v>
      </c>
    </row>
    <row r="665" spans="1:7" x14ac:dyDescent="0.25">
      <c r="A665">
        <v>56</v>
      </c>
      <c r="B665" t="s">
        <v>230</v>
      </c>
      <c r="C665">
        <v>40</v>
      </c>
      <c r="D665" t="s">
        <v>188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230</v>
      </c>
      <c r="C666">
        <v>50</v>
      </c>
      <c r="D666" t="s">
        <v>103</v>
      </c>
      <c r="E666" t="s">
        <v>14</v>
      </c>
      <c r="F666">
        <v>13.513</v>
      </c>
      <c r="G666" t="s">
        <v>13</v>
      </c>
    </row>
    <row r="667" spans="1:7" x14ac:dyDescent="0.25">
      <c r="A667">
        <v>56</v>
      </c>
      <c r="B667" t="s">
        <v>230</v>
      </c>
      <c r="C667">
        <v>60</v>
      </c>
      <c r="D667" t="s">
        <v>16</v>
      </c>
      <c r="E667" t="s">
        <v>14</v>
      </c>
      <c r="F667">
        <v>83.728999999999999</v>
      </c>
      <c r="G667" t="s">
        <v>13</v>
      </c>
    </row>
    <row r="668" spans="1:7" x14ac:dyDescent="0.25">
      <c r="A668">
        <v>56</v>
      </c>
      <c r="B668" t="s">
        <v>230</v>
      </c>
      <c r="C668">
        <v>70</v>
      </c>
      <c r="D668" t="s">
        <v>186</v>
      </c>
      <c r="E668" t="s">
        <v>12</v>
      </c>
      <c r="F668">
        <v>0.121</v>
      </c>
      <c r="G668" t="s">
        <v>13</v>
      </c>
    </row>
    <row r="669" spans="1:7" x14ac:dyDescent="0.25">
      <c r="A669">
        <v>56</v>
      </c>
      <c r="B669" t="s">
        <v>230</v>
      </c>
      <c r="C669">
        <v>80</v>
      </c>
      <c r="D669" t="s">
        <v>189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230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230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230</v>
      </c>
      <c r="C672">
        <v>110</v>
      </c>
      <c r="D672" t="s">
        <v>104</v>
      </c>
      <c r="E672" t="s">
        <v>12</v>
      </c>
      <c r="F672">
        <v>0.86499999999999999</v>
      </c>
      <c r="G672" t="s">
        <v>13</v>
      </c>
    </row>
    <row r="673" spans="1:7" x14ac:dyDescent="0.25">
      <c r="A673">
        <v>56</v>
      </c>
      <c r="B673" t="s">
        <v>230</v>
      </c>
      <c r="C673">
        <v>120</v>
      </c>
      <c r="D673" t="s">
        <v>231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232</v>
      </c>
      <c r="C674">
        <v>10</v>
      </c>
      <c r="D674" t="s">
        <v>108</v>
      </c>
      <c r="E674" t="s">
        <v>14</v>
      </c>
      <c r="F674">
        <v>1.4730000000000001</v>
      </c>
      <c r="G674" t="s">
        <v>15</v>
      </c>
    </row>
    <row r="675" spans="1:7" x14ac:dyDescent="0.25">
      <c r="A675">
        <v>57</v>
      </c>
      <c r="B675" t="s">
        <v>232</v>
      </c>
      <c r="C675">
        <v>20</v>
      </c>
      <c r="D675" t="s">
        <v>187</v>
      </c>
      <c r="E675" t="s">
        <v>14</v>
      </c>
      <c r="F675">
        <v>1.4730000000000001</v>
      </c>
      <c r="G675" t="s">
        <v>15</v>
      </c>
    </row>
    <row r="676" spans="1:7" x14ac:dyDescent="0.25">
      <c r="A676">
        <v>57</v>
      </c>
      <c r="B676" t="s">
        <v>232</v>
      </c>
      <c r="C676">
        <v>30</v>
      </c>
      <c r="D676" t="s">
        <v>101</v>
      </c>
      <c r="E676" t="s">
        <v>102</v>
      </c>
      <c r="F676">
        <v>0.45</v>
      </c>
      <c r="G676" t="s">
        <v>13</v>
      </c>
    </row>
    <row r="677" spans="1:7" x14ac:dyDescent="0.25">
      <c r="A677">
        <v>57</v>
      </c>
      <c r="B677" t="s">
        <v>232</v>
      </c>
      <c r="C677">
        <v>40</v>
      </c>
      <c r="D677" t="s">
        <v>188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232</v>
      </c>
      <c r="C678">
        <v>50</v>
      </c>
      <c r="D678" t="s">
        <v>103</v>
      </c>
      <c r="E678" t="s">
        <v>14</v>
      </c>
      <c r="F678">
        <v>13.818</v>
      </c>
      <c r="G678" t="s">
        <v>13</v>
      </c>
    </row>
    <row r="679" spans="1:7" x14ac:dyDescent="0.25">
      <c r="A679">
        <v>57</v>
      </c>
      <c r="B679" t="s">
        <v>232</v>
      </c>
      <c r="C679">
        <v>60</v>
      </c>
      <c r="D679" t="s">
        <v>16</v>
      </c>
      <c r="E679" t="s">
        <v>14</v>
      </c>
      <c r="F679">
        <v>85.602999999999994</v>
      </c>
      <c r="G679" t="s">
        <v>13</v>
      </c>
    </row>
    <row r="680" spans="1:7" x14ac:dyDescent="0.25">
      <c r="A680">
        <v>57</v>
      </c>
      <c r="B680" t="s">
        <v>232</v>
      </c>
      <c r="C680">
        <v>70</v>
      </c>
      <c r="D680" t="s">
        <v>186</v>
      </c>
      <c r="E680" t="s">
        <v>12</v>
      </c>
      <c r="F680">
        <v>0.126</v>
      </c>
      <c r="G680" t="s">
        <v>13</v>
      </c>
    </row>
    <row r="681" spans="1:7" x14ac:dyDescent="0.25">
      <c r="A681">
        <v>57</v>
      </c>
      <c r="B681" t="s">
        <v>232</v>
      </c>
      <c r="C681">
        <v>80</v>
      </c>
      <c r="D681" t="s">
        <v>189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232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232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232</v>
      </c>
      <c r="C684">
        <v>110</v>
      </c>
      <c r="D684" t="s">
        <v>104</v>
      </c>
      <c r="E684" t="s">
        <v>12</v>
      </c>
      <c r="F684">
        <v>0.90500000000000003</v>
      </c>
      <c r="G684" t="s">
        <v>13</v>
      </c>
    </row>
    <row r="685" spans="1:7" x14ac:dyDescent="0.25">
      <c r="A685">
        <v>57</v>
      </c>
      <c r="B685" t="s">
        <v>232</v>
      </c>
      <c r="C685">
        <v>120</v>
      </c>
      <c r="D685" t="s">
        <v>233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234</v>
      </c>
      <c r="C686">
        <v>10</v>
      </c>
      <c r="D686" t="s">
        <v>108</v>
      </c>
      <c r="E686" t="s">
        <v>14</v>
      </c>
      <c r="F686">
        <v>1.6259999999999999</v>
      </c>
      <c r="G686" t="s">
        <v>15</v>
      </c>
    </row>
    <row r="687" spans="1:7" x14ac:dyDescent="0.25">
      <c r="A687">
        <v>58</v>
      </c>
      <c r="B687" t="s">
        <v>234</v>
      </c>
      <c r="C687">
        <v>20</v>
      </c>
      <c r="D687" t="s">
        <v>187</v>
      </c>
      <c r="E687" t="s">
        <v>14</v>
      </c>
      <c r="F687">
        <v>1.6259999999999999</v>
      </c>
      <c r="G687" t="s">
        <v>15</v>
      </c>
    </row>
    <row r="688" spans="1:7" x14ac:dyDescent="0.25">
      <c r="A688">
        <v>58</v>
      </c>
      <c r="B688" t="s">
        <v>234</v>
      </c>
      <c r="C688">
        <v>30</v>
      </c>
      <c r="D688" t="s">
        <v>101</v>
      </c>
      <c r="E688" t="s">
        <v>102</v>
      </c>
      <c r="F688">
        <v>0.498</v>
      </c>
      <c r="G688" t="s">
        <v>13</v>
      </c>
    </row>
    <row r="689" spans="1:7" x14ac:dyDescent="0.25">
      <c r="A689">
        <v>58</v>
      </c>
      <c r="B689" t="s">
        <v>234</v>
      </c>
      <c r="C689">
        <v>40</v>
      </c>
      <c r="D689" t="s">
        <v>188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234</v>
      </c>
      <c r="C690">
        <v>50</v>
      </c>
      <c r="D690" t="s">
        <v>103</v>
      </c>
      <c r="E690" t="s">
        <v>14</v>
      </c>
      <c r="F690">
        <v>14.427</v>
      </c>
      <c r="G690" t="s">
        <v>13</v>
      </c>
    </row>
    <row r="691" spans="1:7" x14ac:dyDescent="0.25">
      <c r="A691">
        <v>58</v>
      </c>
      <c r="B691" t="s">
        <v>234</v>
      </c>
      <c r="C691">
        <v>60</v>
      </c>
      <c r="D691" t="s">
        <v>16</v>
      </c>
      <c r="E691" t="s">
        <v>14</v>
      </c>
      <c r="F691">
        <v>89.352000000000004</v>
      </c>
      <c r="G691" t="s">
        <v>13</v>
      </c>
    </row>
    <row r="692" spans="1:7" x14ac:dyDescent="0.25">
      <c r="A692">
        <v>58</v>
      </c>
      <c r="B692" t="s">
        <v>234</v>
      </c>
      <c r="C692">
        <v>70</v>
      </c>
      <c r="D692" t="s">
        <v>186</v>
      </c>
      <c r="E692" t="s">
        <v>12</v>
      </c>
      <c r="F692">
        <v>0.13700000000000001</v>
      </c>
      <c r="G692" t="s">
        <v>13</v>
      </c>
    </row>
    <row r="693" spans="1:7" x14ac:dyDescent="0.25">
      <c r="A693">
        <v>58</v>
      </c>
      <c r="B693" t="s">
        <v>234</v>
      </c>
      <c r="C693">
        <v>80</v>
      </c>
      <c r="D693" t="s">
        <v>189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234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234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234</v>
      </c>
      <c r="C696">
        <v>110</v>
      </c>
      <c r="D696" t="s">
        <v>104</v>
      </c>
      <c r="E696" t="s">
        <v>12</v>
      </c>
      <c r="F696">
        <v>0.98599999999999999</v>
      </c>
      <c r="G696" t="s">
        <v>13</v>
      </c>
    </row>
    <row r="697" spans="1:7" x14ac:dyDescent="0.25">
      <c r="A697">
        <v>58</v>
      </c>
      <c r="B697" t="s">
        <v>234</v>
      </c>
      <c r="C697">
        <v>120</v>
      </c>
      <c r="D697" t="s">
        <v>235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236</v>
      </c>
      <c r="C698">
        <v>10</v>
      </c>
      <c r="D698" t="s">
        <v>108</v>
      </c>
      <c r="E698" t="s">
        <v>14</v>
      </c>
      <c r="F698">
        <v>1.778</v>
      </c>
      <c r="G698" t="s">
        <v>15</v>
      </c>
    </row>
    <row r="699" spans="1:7" x14ac:dyDescent="0.25">
      <c r="A699">
        <v>59</v>
      </c>
      <c r="B699" t="s">
        <v>236</v>
      </c>
      <c r="C699">
        <v>20</v>
      </c>
      <c r="D699" t="s">
        <v>187</v>
      </c>
      <c r="E699" t="s">
        <v>14</v>
      </c>
      <c r="F699">
        <v>1.778</v>
      </c>
      <c r="G699" t="s">
        <v>15</v>
      </c>
    </row>
    <row r="700" spans="1:7" x14ac:dyDescent="0.25">
      <c r="A700">
        <v>59</v>
      </c>
      <c r="B700" t="s">
        <v>236</v>
      </c>
      <c r="C700">
        <v>30</v>
      </c>
      <c r="D700" t="s">
        <v>101</v>
      </c>
      <c r="E700" t="s">
        <v>102</v>
      </c>
      <c r="F700">
        <v>0.54500000000000004</v>
      </c>
      <c r="G700" t="s">
        <v>13</v>
      </c>
    </row>
    <row r="701" spans="1:7" x14ac:dyDescent="0.25">
      <c r="A701">
        <v>59</v>
      </c>
      <c r="B701" t="s">
        <v>236</v>
      </c>
      <c r="C701">
        <v>40</v>
      </c>
      <c r="D701" t="s">
        <v>188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236</v>
      </c>
      <c r="C702">
        <v>50</v>
      </c>
      <c r="D702" t="s">
        <v>103</v>
      </c>
      <c r="E702" t="s">
        <v>14</v>
      </c>
      <c r="F702">
        <v>15.037000000000001</v>
      </c>
      <c r="G702" t="s">
        <v>13</v>
      </c>
    </row>
    <row r="703" spans="1:7" x14ac:dyDescent="0.25">
      <c r="A703">
        <v>59</v>
      </c>
      <c r="B703" t="s">
        <v>236</v>
      </c>
      <c r="C703">
        <v>60</v>
      </c>
      <c r="D703" t="s">
        <v>16</v>
      </c>
      <c r="E703" t="s">
        <v>14</v>
      </c>
      <c r="F703">
        <v>93.100999999999999</v>
      </c>
      <c r="G703" t="s">
        <v>13</v>
      </c>
    </row>
    <row r="704" spans="1:7" x14ac:dyDescent="0.25">
      <c r="A704">
        <v>59</v>
      </c>
      <c r="B704" t="s">
        <v>236</v>
      </c>
      <c r="C704">
        <v>70</v>
      </c>
      <c r="D704" t="s">
        <v>186</v>
      </c>
      <c r="E704" t="s">
        <v>12</v>
      </c>
      <c r="F704">
        <v>0.14799999999999999</v>
      </c>
      <c r="G704" t="s">
        <v>13</v>
      </c>
    </row>
    <row r="705" spans="1:7" x14ac:dyDescent="0.25">
      <c r="A705">
        <v>59</v>
      </c>
      <c r="B705" t="s">
        <v>236</v>
      </c>
      <c r="C705">
        <v>80</v>
      </c>
      <c r="D705" t="s">
        <v>189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236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236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236</v>
      </c>
      <c r="C708">
        <v>110</v>
      </c>
      <c r="D708" t="s">
        <v>104</v>
      </c>
      <c r="E708" t="s">
        <v>12</v>
      </c>
      <c r="F708">
        <v>1.0669999999999999</v>
      </c>
      <c r="G708" t="s">
        <v>13</v>
      </c>
    </row>
    <row r="709" spans="1:7" x14ac:dyDescent="0.25">
      <c r="A709">
        <v>59</v>
      </c>
      <c r="B709" t="s">
        <v>236</v>
      </c>
      <c r="C709">
        <v>120</v>
      </c>
      <c r="D709" t="s">
        <v>237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238</v>
      </c>
      <c r="C710">
        <v>10</v>
      </c>
      <c r="D710" t="s">
        <v>108</v>
      </c>
      <c r="E710" t="s">
        <v>14</v>
      </c>
      <c r="F710">
        <v>0.86399999999999999</v>
      </c>
      <c r="G710" t="s">
        <v>15</v>
      </c>
    </row>
    <row r="711" spans="1:7" x14ac:dyDescent="0.25">
      <c r="A711">
        <v>60</v>
      </c>
      <c r="B711" t="s">
        <v>238</v>
      </c>
      <c r="C711">
        <v>20</v>
      </c>
      <c r="D711" t="s">
        <v>187</v>
      </c>
      <c r="E711" t="s">
        <v>14</v>
      </c>
      <c r="F711">
        <v>0.86399999999999999</v>
      </c>
      <c r="G711" t="s">
        <v>15</v>
      </c>
    </row>
    <row r="712" spans="1:7" x14ac:dyDescent="0.25">
      <c r="A712">
        <v>60</v>
      </c>
      <c r="B712" t="s">
        <v>238</v>
      </c>
      <c r="C712">
        <v>30</v>
      </c>
      <c r="D712" t="s">
        <v>101</v>
      </c>
      <c r="E712" t="s">
        <v>102</v>
      </c>
      <c r="F712">
        <v>0.26700000000000002</v>
      </c>
      <c r="G712" t="s">
        <v>13</v>
      </c>
    </row>
    <row r="713" spans="1:7" x14ac:dyDescent="0.25">
      <c r="A713">
        <v>60</v>
      </c>
      <c r="B713" t="s">
        <v>238</v>
      </c>
      <c r="C713">
        <v>40</v>
      </c>
      <c r="D713" t="s">
        <v>188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238</v>
      </c>
      <c r="C714">
        <v>50</v>
      </c>
      <c r="D714" t="s">
        <v>103</v>
      </c>
      <c r="E714" t="s">
        <v>14</v>
      </c>
      <c r="F714">
        <v>11.582000000000001</v>
      </c>
      <c r="G714" t="s">
        <v>13</v>
      </c>
    </row>
    <row r="715" spans="1:7" x14ac:dyDescent="0.25">
      <c r="A715">
        <v>60</v>
      </c>
      <c r="B715" t="s">
        <v>238</v>
      </c>
      <c r="C715">
        <v>60</v>
      </c>
      <c r="D715" t="s">
        <v>16</v>
      </c>
      <c r="E715" t="s">
        <v>14</v>
      </c>
      <c r="F715">
        <v>71.856999999999999</v>
      </c>
      <c r="G715" t="s">
        <v>13</v>
      </c>
    </row>
    <row r="716" spans="1:7" x14ac:dyDescent="0.25">
      <c r="A716">
        <v>60</v>
      </c>
      <c r="B716" t="s">
        <v>238</v>
      </c>
      <c r="C716">
        <v>70</v>
      </c>
      <c r="D716" t="s">
        <v>186</v>
      </c>
      <c r="E716" t="s">
        <v>12</v>
      </c>
      <c r="F716">
        <v>8.4000000000000005E-2</v>
      </c>
      <c r="G716" t="s">
        <v>13</v>
      </c>
    </row>
    <row r="717" spans="1:7" x14ac:dyDescent="0.25">
      <c r="A717">
        <v>60</v>
      </c>
      <c r="B717" t="s">
        <v>238</v>
      </c>
      <c r="C717">
        <v>80</v>
      </c>
      <c r="D717" t="s">
        <v>189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238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238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238</v>
      </c>
      <c r="C720">
        <v>110</v>
      </c>
      <c r="D720" t="s">
        <v>104</v>
      </c>
      <c r="E720" t="s">
        <v>12</v>
      </c>
      <c r="F720">
        <v>1.216</v>
      </c>
      <c r="G720" t="s">
        <v>13</v>
      </c>
    </row>
    <row r="721" spans="1:7" x14ac:dyDescent="0.25">
      <c r="A721">
        <v>60</v>
      </c>
      <c r="B721" t="s">
        <v>238</v>
      </c>
      <c r="C721">
        <v>120</v>
      </c>
      <c r="D721" t="s">
        <v>239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240</v>
      </c>
      <c r="C722">
        <v>10</v>
      </c>
      <c r="D722" t="s">
        <v>108</v>
      </c>
      <c r="E722" t="s">
        <v>14</v>
      </c>
      <c r="F722">
        <v>1.016</v>
      </c>
      <c r="G722" t="s">
        <v>15</v>
      </c>
    </row>
    <row r="723" spans="1:7" x14ac:dyDescent="0.25">
      <c r="A723">
        <v>61</v>
      </c>
      <c r="B723" t="s">
        <v>240</v>
      </c>
      <c r="C723">
        <v>20</v>
      </c>
      <c r="D723" t="s">
        <v>187</v>
      </c>
      <c r="E723" t="s">
        <v>14</v>
      </c>
      <c r="F723">
        <v>1.016</v>
      </c>
      <c r="G723" t="s">
        <v>15</v>
      </c>
    </row>
    <row r="724" spans="1:7" x14ac:dyDescent="0.25">
      <c r="A724">
        <v>61</v>
      </c>
      <c r="B724" t="s">
        <v>240</v>
      </c>
      <c r="C724">
        <v>30</v>
      </c>
      <c r="D724" t="s">
        <v>101</v>
      </c>
      <c r="E724" t="s">
        <v>102</v>
      </c>
      <c r="F724">
        <v>0.316</v>
      </c>
      <c r="G724" t="s">
        <v>13</v>
      </c>
    </row>
    <row r="725" spans="1:7" x14ac:dyDescent="0.25">
      <c r="A725">
        <v>61</v>
      </c>
      <c r="B725" t="s">
        <v>240</v>
      </c>
      <c r="C725">
        <v>40</v>
      </c>
      <c r="D725" t="s">
        <v>188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240</v>
      </c>
      <c r="C726">
        <v>50</v>
      </c>
      <c r="D726" t="s">
        <v>103</v>
      </c>
      <c r="E726" t="s">
        <v>14</v>
      </c>
      <c r="F726">
        <v>12.192</v>
      </c>
      <c r="G726" t="s">
        <v>13</v>
      </c>
    </row>
    <row r="727" spans="1:7" x14ac:dyDescent="0.25">
      <c r="A727">
        <v>61</v>
      </c>
      <c r="B727" t="s">
        <v>240</v>
      </c>
      <c r="C727">
        <v>60</v>
      </c>
      <c r="D727" t="s">
        <v>16</v>
      </c>
      <c r="E727" t="s">
        <v>14</v>
      </c>
      <c r="F727">
        <v>75.605999999999995</v>
      </c>
      <c r="G727" t="s">
        <v>13</v>
      </c>
    </row>
    <row r="728" spans="1:7" x14ac:dyDescent="0.25">
      <c r="A728">
        <v>61</v>
      </c>
      <c r="B728" t="s">
        <v>240</v>
      </c>
      <c r="C728">
        <v>70</v>
      </c>
      <c r="D728" t="s">
        <v>186</v>
      </c>
      <c r="E728" t="s">
        <v>12</v>
      </c>
      <c r="F728">
        <v>9.4E-2</v>
      </c>
      <c r="G728" t="s">
        <v>13</v>
      </c>
    </row>
    <row r="729" spans="1:7" x14ac:dyDescent="0.25">
      <c r="A729">
        <v>61</v>
      </c>
      <c r="B729" t="s">
        <v>240</v>
      </c>
      <c r="C729">
        <v>80</v>
      </c>
      <c r="D729" t="s">
        <v>189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240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240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240</v>
      </c>
      <c r="C732">
        <v>110</v>
      </c>
      <c r="D732" t="s">
        <v>104</v>
      </c>
      <c r="E732" t="s">
        <v>12</v>
      </c>
      <c r="F732">
        <v>1.216</v>
      </c>
      <c r="G732" t="s">
        <v>13</v>
      </c>
    </row>
    <row r="733" spans="1:7" x14ac:dyDescent="0.25">
      <c r="A733">
        <v>61</v>
      </c>
      <c r="B733" t="s">
        <v>240</v>
      </c>
      <c r="C733">
        <v>120</v>
      </c>
      <c r="D733" t="s">
        <v>241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242</v>
      </c>
      <c r="C734">
        <v>10</v>
      </c>
      <c r="D734" t="s">
        <v>108</v>
      </c>
      <c r="E734" t="s">
        <v>14</v>
      </c>
      <c r="F734">
        <v>1.1679999999999999</v>
      </c>
      <c r="G734" t="s">
        <v>15</v>
      </c>
    </row>
    <row r="735" spans="1:7" x14ac:dyDescent="0.25">
      <c r="A735">
        <v>62</v>
      </c>
      <c r="B735" t="s">
        <v>242</v>
      </c>
      <c r="C735">
        <v>20</v>
      </c>
      <c r="D735" t="s">
        <v>187</v>
      </c>
      <c r="E735" t="s">
        <v>14</v>
      </c>
      <c r="F735">
        <v>1.1679999999999999</v>
      </c>
      <c r="G735" t="s">
        <v>15</v>
      </c>
    </row>
    <row r="736" spans="1:7" x14ac:dyDescent="0.25">
      <c r="A736">
        <v>62</v>
      </c>
      <c r="B736" t="s">
        <v>242</v>
      </c>
      <c r="C736">
        <v>30</v>
      </c>
      <c r="D736" t="s">
        <v>101</v>
      </c>
      <c r="E736" t="s">
        <v>102</v>
      </c>
      <c r="F736">
        <v>0.36499999999999999</v>
      </c>
      <c r="G736" t="s">
        <v>13</v>
      </c>
    </row>
    <row r="737" spans="1:7" x14ac:dyDescent="0.25">
      <c r="A737">
        <v>62</v>
      </c>
      <c r="B737" t="s">
        <v>242</v>
      </c>
      <c r="C737">
        <v>40</v>
      </c>
      <c r="D737" t="s">
        <v>188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242</v>
      </c>
      <c r="C738">
        <v>50</v>
      </c>
      <c r="D738" t="s">
        <v>103</v>
      </c>
      <c r="E738" t="s">
        <v>14</v>
      </c>
      <c r="F738">
        <v>12.802</v>
      </c>
      <c r="G738" t="s">
        <v>13</v>
      </c>
    </row>
    <row r="739" spans="1:7" x14ac:dyDescent="0.25">
      <c r="A739">
        <v>62</v>
      </c>
      <c r="B739" t="s">
        <v>242</v>
      </c>
      <c r="C739">
        <v>60</v>
      </c>
      <c r="D739" t="s">
        <v>16</v>
      </c>
      <c r="E739" t="s">
        <v>14</v>
      </c>
      <c r="F739">
        <v>79.355000000000004</v>
      </c>
      <c r="G739" t="s">
        <v>13</v>
      </c>
    </row>
    <row r="740" spans="1:7" x14ac:dyDescent="0.25">
      <c r="A740">
        <v>62</v>
      </c>
      <c r="B740" t="s">
        <v>242</v>
      </c>
      <c r="C740">
        <v>70</v>
      </c>
      <c r="D740" t="s">
        <v>186</v>
      </c>
      <c r="E740" t="s">
        <v>12</v>
      </c>
      <c r="F740">
        <v>0.105</v>
      </c>
      <c r="G740" t="s">
        <v>13</v>
      </c>
    </row>
    <row r="741" spans="1:7" x14ac:dyDescent="0.25">
      <c r="A741">
        <v>62</v>
      </c>
      <c r="B741" t="s">
        <v>242</v>
      </c>
      <c r="C741">
        <v>80</v>
      </c>
      <c r="D741" t="s">
        <v>189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242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242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242</v>
      </c>
      <c r="C744">
        <v>110</v>
      </c>
      <c r="D744" t="s">
        <v>104</v>
      </c>
      <c r="E744" t="s">
        <v>12</v>
      </c>
      <c r="F744">
        <v>1.216</v>
      </c>
      <c r="G744" t="s">
        <v>13</v>
      </c>
    </row>
    <row r="745" spans="1:7" x14ac:dyDescent="0.25">
      <c r="A745">
        <v>62</v>
      </c>
      <c r="B745" t="s">
        <v>242</v>
      </c>
      <c r="C745">
        <v>120</v>
      </c>
      <c r="D745" t="s">
        <v>243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244</v>
      </c>
      <c r="C746">
        <v>10</v>
      </c>
      <c r="D746" t="s">
        <v>108</v>
      </c>
      <c r="E746" t="s">
        <v>14</v>
      </c>
      <c r="F746">
        <v>1.321</v>
      </c>
      <c r="G746" t="s">
        <v>15</v>
      </c>
    </row>
    <row r="747" spans="1:7" x14ac:dyDescent="0.25">
      <c r="A747">
        <v>63</v>
      </c>
      <c r="B747" t="s">
        <v>244</v>
      </c>
      <c r="C747">
        <v>20</v>
      </c>
      <c r="D747" t="s">
        <v>187</v>
      </c>
      <c r="E747" t="s">
        <v>14</v>
      </c>
      <c r="F747">
        <v>1.321</v>
      </c>
      <c r="G747" t="s">
        <v>15</v>
      </c>
    </row>
    <row r="748" spans="1:7" x14ac:dyDescent="0.25">
      <c r="A748">
        <v>63</v>
      </c>
      <c r="B748" t="s">
        <v>244</v>
      </c>
      <c r="C748">
        <v>30</v>
      </c>
      <c r="D748" t="s">
        <v>101</v>
      </c>
      <c r="E748" t="s">
        <v>102</v>
      </c>
      <c r="F748">
        <v>0.41299999999999998</v>
      </c>
      <c r="G748" t="s">
        <v>13</v>
      </c>
    </row>
    <row r="749" spans="1:7" x14ac:dyDescent="0.25">
      <c r="A749">
        <v>63</v>
      </c>
      <c r="B749" t="s">
        <v>244</v>
      </c>
      <c r="C749">
        <v>40</v>
      </c>
      <c r="D749" t="s">
        <v>188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244</v>
      </c>
      <c r="C750">
        <v>50</v>
      </c>
      <c r="D750" t="s">
        <v>103</v>
      </c>
      <c r="E750" t="s">
        <v>14</v>
      </c>
      <c r="F750">
        <v>13.411</v>
      </c>
      <c r="G750" t="s">
        <v>13</v>
      </c>
    </row>
    <row r="751" spans="1:7" x14ac:dyDescent="0.25">
      <c r="A751">
        <v>63</v>
      </c>
      <c r="B751" t="s">
        <v>244</v>
      </c>
      <c r="C751">
        <v>60</v>
      </c>
      <c r="D751" t="s">
        <v>16</v>
      </c>
      <c r="E751" t="s">
        <v>14</v>
      </c>
      <c r="F751">
        <v>83.103999999999999</v>
      </c>
      <c r="G751" t="s">
        <v>13</v>
      </c>
    </row>
    <row r="752" spans="1:7" x14ac:dyDescent="0.25">
      <c r="A752">
        <v>63</v>
      </c>
      <c r="B752" t="s">
        <v>244</v>
      </c>
      <c r="C752">
        <v>70</v>
      </c>
      <c r="D752" t="s">
        <v>186</v>
      </c>
      <c r="E752" t="s">
        <v>12</v>
      </c>
      <c r="F752">
        <v>0.11600000000000001</v>
      </c>
      <c r="G752" t="s">
        <v>13</v>
      </c>
    </row>
    <row r="753" spans="1:7" x14ac:dyDescent="0.25">
      <c r="A753">
        <v>63</v>
      </c>
      <c r="B753" t="s">
        <v>244</v>
      </c>
      <c r="C753">
        <v>80</v>
      </c>
      <c r="D753" t="s">
        <v>189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244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244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244</v>
      </c>
      <c r="C756">
        <v>110</v>
      </c>
      <c r="D756" t="s">
        <v>104</v>
      </c>
      <c r="E756" t="s">
        <v>12</v>
      </c>
      <c r="F756">
        <v>1.216</v>
      </c>
      <c r="G756" t="s">
        <v>13</v>
      </c>
    </row>
    <row r="757" spans="1:7" x14ac:dyDescent="0.25">
      <c r="A757">
        <v>63</v>
      </c>
      <c r="B757" t="s">
        <v>244</v>
      </c>
      <c r="C757">
        <v>120</v>
      </c>
      <c r="D757" t="s">
        <v>245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246</v>
      </c>
      <c r="C758">
        <v>10</v>
      </c>
      <c r="D758" t="s">
        <v>108</v>
      </c>
      <c r="E758" t="s">
        <v>14</v>
      </c>
      <c r="F758">
        <v>1.397</v>
      </c>
      <c r="G758" t="s">
        <v>15</v>
      </c>
    </row>
    <row r="759" spans="1:7" x14ac:dyDescent="0.25">
      <c r="A759">
        <v>64</v>
      </c>
      <c r="B759" t="s">
        <v>246</v>
      </c>
      <c r="C759">
        <v>20</v>
      </c>
      <c r="D759" t="s">
        <v>187</v>
      </c>
      <c r="E759" t="s">
        <v>14</v>
      </c>
      <c r="F759">
        <v>1.397</v>
      </c>
      <c r="G759" t="s">
        <v>15</v>
      </c>
    </row>
    <row r="760" spans="1:7" x14ac:dyDescent="0.25">
      <c r="A760">
        <v>64</v>
      </c>
      <c r="B760" t="s">
        <v>246</v>
      </c>
      <c r="C760">
        <v>30</v>
      </c>
      <c r="D760" t="s">
        <v>101</v>
      </c>
      <c r="E760" t="s">
        <v>102</v>
      </c>
      <c r="F760">
        <v>0.437</v>
      </c>
      <c r="G760" t="s">
        <v>13</v>
      </c>
    </row>
    <row r="761" spans="1:7" x14ac:dyDescent="0.25">
      <c r="A761">
        <v>64</v>
      </c>
      <c r="B761" t="s">
        <v>246</v>
      </c>
      <c r="C761">
        <v>40</v>
      </c>
      <c r="D761" t="s">
        <v>188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246</v>
      </c>
      <c r="C762">
        <v>50</v>
      </c>
      <c r="D762" t="s">
        <v>103</v>
      </c>
      <c r="E762" t="s">
        <v>14</v>
      </c>
      <c r="F762">
        <v>13.715999999999999</v>
      </c>
      <c r="G762" t="s">
        <v>13</v>
      </c>
    </row>
    <row r="763" spans="1:7" x14ac:dyDescent="0.25">
      <c r="A763">
        <v>64</v>
      </c>
      <c r="B763" t="s">
        <v>246</v>
      </c>
      <c r="C763">
        <v>60</v>
      </c>
      <c r="D763" t="s">
        <v>16</v>
      </c>
      <c r="E763" t="s">
        <v>14</v>
      </c>
      <c r="F763">
        <v>84.977999999999994</v>
      </c>
      <c r="G763" t="s">
        <v>13</v>
      </c>
    </row>
    <row r="764" spans="1:7" x14ac:dyDescent="0.25">
      <c r="A764">
        <v>64</v>
      </c>
      <c r="B764" t="s">
        <v>246</v>
      </c>
      <c r="C764">
        <v>70</v>
      </c>
      <c r="D764" t="s">
        <v>186</v>
      </c>
      <c r="E764" t="s">
        <v>12</v>
      </c>
      <c r="F764">
        <v>0.121</v>
      </c>
      <c r="G764" t="s">
        <v>13</v>
      </c>
    </row>
    <row r="765" spans="1:7" x14ac:dyDescent="0.25">
      <c r="A765">
        <v>64</v>
      </c>
      <c r="B765" t="s">
        <v>246</v>
      </c>
      <c r="C765">
        <v>80</v>
      </c>
      <c r="D765" t="s">
        <v>189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246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246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246</v>
      </c>
      <c r="C768">
        <v>110</v>
      </c>
      <c r="D768" t="s">
        <v>104</v>
      </c>
      <c r="E768" t="s">
        <v>12</v>
      </c>
      <c r="F768">
        <v>1.216</v>
      </c>
      <c r="G768" t="s">
        <v>13</v>
      </c>
    </row>
    <row r="769" spans="1:7" x14ac:dyDescent="0.25">
      <c r="A769">
        <v>64</v>
      </c>
      <c r="B769" t="s">
        <v>246</v>
      </c>
      <c r="C769">
        <v>120</v>
      </c>
      <c r="D769" t="s">
        <v>247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248</v>
      </c>
      <c r="C770">
        <v>10</v>
      </c>
      <c r="D770" t="s">
        <v>108</v>
      </c>
      <c r="E770" t="s">
        <v>14</v>
      </c>
      <c r="F770">
        <v>1.4730000000000001</v>
      </c>
      <c r="G770" t="s">
        <v>15</v>
      </c>
    </row>
    <row r="771" spans="1:7" x14ac:dyDescent="0.25">
      <c r="A771">
        <v>65</v>
      </c>
      <c r="B771" t="s">
        <v>248</v>
      </c>
      <c r="C771">
        <v>20</v>
      </c>
      <c r="D771" t="s">
        <v>187</v>
      </c>
      <c r="E771" t="s">
        <v>14</v>
      </c>
      <c r="F771">
        <v>1.4730000000000001</v>
      </c>
      <c r="G771" t="s">
        <v>15</v>
      </c>
    </row>
    <row r="772" spans="1:7" x14ac:dyDescent="0.25">
      <c r="A772">
        <v>65</v>
      </c>
      <c r="B772" t="s">
        <v>248</v>
      </c>
      <c r="C772">
        <v>30</v>
      </c>
      <c r="D772" t="s">
        <v>101</v>
      </c>
      <c r="E772" t="s">
        <v>102</v>
      </c>
      <c r="F772">
        <v>0.46200000000000002</v>
      </c>
      <c r="G772" t="s">
        <v>13</v>
      </c>
    </row>
    <row r="773" spans="1:7" x14ac:dyDescent="0.25">
      <c r="A773">
        <v>65</v>
      </c>
      <c r="B773" t="s">
        <v>248</v>
      </c>
      <c r="C773">
        <v>40</v>
      </c>
      <c r="D773" t="s">
        <v>188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248</v>
      </c>
      <c r="C774">
        <v>50</v>
      </c>
      <c r="D774" t="s">
        <v>103</v>
      </c>
      <c r="E774" t="s">
        <v>14</v>
      </c>
      <c r="F774">
        <v>14.021000000000001</v>
      </c>
      <c r="G774" t="s">
        <v>13</v>
      </c>
    </row>
    <row r="775" spans="1:7" x14ac:dyDescent="0.25">
      <c r="A775">
        <v>65</v>
      </c>
      <c r="B775" t="s">
        <v>248</v>
      </c>
      <c r="C775">
        <v>60</v>
      </c>
      <c r="D775" t="s">
        <v>16</v>
      </c>
      <c r="E775" t="s">
        <v>14</v>
      </c>
      <c r="F775">
        <v>86.852999999999994</v>
      </c>
      <c r="G775" t="s">
        <v>13</v>
      </c>
    </row>
    <row r="776" spans="1:7" x14ac:dyDescent="0.25">
      <c r="A776">
        <v>65</v>
      </c>
      <c r="B776" t="s">
        <v>248</v>
      </c>
      <c r="C776">
        <v>70</v>
      </c>
      <c r="D776" t="s">
        <v>186</v>
      </c>
      <c r="E776" t="s">
        <v>12</v>
      </c>
      <c r="F776">
        <v>0.126</v>
      </c>
      <c r="G776" t="s">
        <v>13</v>
      </c>
    </row>
    <row r="777" spans="1:7" x14ac:dyDescent="0.25">
      <c r="A777">
        <v>65</v>
      </c>
      <c r="B777" t="s">
        <v>248</v>
      </c>
      <c r="C777">
        <v>80</v>
      </c>
      <c r="D777" t="s">
        <v>189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248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248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248</v>
      </c>
      <c r="C780">
        <v>110</v>
      </c>
      <c r="D780" t="s">
        <v>104</v>
      </c>
      <c r="E780" t="s">
        <v>12</v>
      </c>
      <c r="F780">
        <v>1.216</v>
      </c>
      <c r="G780" t="s">
        <v>13</v>
      </c>
    </row>
    <row r="781" spans="1:7" x14ac:dyDescent="0.25">
      <c r="A781">
        <v>65</v>
      </c>
      <c r="B781" t="s">
        <v>248</v>
      </c>
      <c r="C781">
        <v>120</v>
      </c>
      <c r="D781" t="s">
        <v>249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250</v>
      </c>
      <c r="C782">
        <v>10</v>
      </c>
      <c r="D782" t="s">
        <v>108</v>
      </c>
      <c r="E782" t="s">
        <v>14</v>
      </c>
      <c r="F782">
        <v>1.6259999999999999</v>
      </c>
      <c r="G782" t="s">
        <v>15</v>
      </c>
    </row>
    <row r="783" spans="1:7" x14ac:dyDescent="0.25">
      <c r="A783">
        <v>66</v>
      </c>
      <c r="B783" t="s">
        <v>250</v>
      </c>
      <c r="C783">
        <v>20</v>
      </c>
      <c r="D783" t="s">
        <v>187</v>
      </c>
      <c r="E783" t="s">
        <v>14</v>
      </c>
      <c r="F783">
        <v>1.6259999999999999</v>
      </c>
      <c r="G783" t="s">
        <v>15</v>
      </c>
    </row>
    <row r="784" spans="1:7" x14ac:dyDescent="0.25">
      <c r="A784">
        <v>66</v>
      </c>
      <c r="B784" t="s">
        <v>250</v>
      </c>
      <c r="C784">
        <v>30</v>
      </c>
      <c r="D784" t="s">
        <v>101</v>
      </c>
      <c r="E784" t="s">
        <v>102</v>
      </c>
      <c r="F784">
        <v>0.51</v>
      </c>
      <c r="G784" t="s">
        <v>13</v>
      </c>
    </row>
    <row r="785" spans="1:7" x14ac:dyDescent="0.25">
      <c r="A785">
        <v>66</v>
      </c>
      <c r="B785" t="s">
        <v>250</v>
      </c>
      <c r="C785">
        <v>40</v>
      </c>
      <c r="D785" t="s">
        <v>188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250</v>
      </c>
      <c r="C786">
        <v>50</v>
      </c>
      <c r="D786" t="s">
        <v>103</v>
      </c>
      <c r="E786" t="s">
        <v>14</v>
      </c>
      <c r="F786">
        <v>14.63</v>
      </c>
      <c r="G786" t="s">
        <v>13</v>
      </c>
    </row>
    <row r="787" spans="1:7" x14ac:dyDescent="0.25">
      <c r="A787">
        <v>66</v>
      </c>
      <c r="B787" t="s">
        <v>250</v>
      </c>
      <c r="C787">
        <v>60</v>
      </c>
      <c r="D787" t="s">
        <v>16</v>
      </c>
      <c r="E787" t="s">
        <v>14</v>
      </c>
      <c r="F787">
        <v>90.602000000000004</v>
      </c>
      <c r="G787" t="s">
        <v>13</v>
      </c>
    </row>
    <row r="788" spans="1:7" x14ac:dyDescent="0.25">
      <c r="A788">
        <v>66</v>
      </c>
      <c r="B788" t="s">
        <v>250</v>
      </c>
      <c r="C788">
        <v>70</v>
      </c>
      <c r="D788" t="s">
        <v>186</v>
      </c>
      <c r="E788" t="s">
        <v>12</v>
      </c>
      <c r="F788">
        <v>0.13700000000000001</v>
      </c>
      <c r="G788" t="s">
        <v>13</v>
      </c>
    </row>
    <row r="789" spans="1:7" x14ac:dyDescent="0.25">
      <c r="A789">
        <v>66</v>
      </c>
      <c r="B789" t="s">
        <v>250</v>
      </c>
      <c r="C789">
        <v>80</v>
      </c>
      <c r="D789" t="s">
        <v>189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250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250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250</v>
      </c>
      <c r="C792">
        <v>110</v>
      </c>
      <c r="D792" t="s">
        <v>104</v>
      </c>
      <c r="E792" t="s">
        <v>12</v>
      </c>
      <c r="F792">
        <v>1.216</v>
      </c>
      <c r="G792" t="s">
        <v>13</v>
      </c>
    </row>
    <row r="793" spans="1:7" x14ac:dyDescent="0.25">
      <c r="A793">
        <v>66</v>
      </c>
      <c r="B793" t="s">
        <v>250</v>
      </c>
      <c r="C793">
        <v>120</v>
      </c>
      <c r="D793" t="s">
        <v>251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252</v>
      </c>
      <c r="C794">
        <v>10</v>
      </c>
      <c r="D794" t="s">
        <v>108</v>
      </c>
      <c r="E794" t="s">
        <v>14</v>
      </c>
      <c r="F794">
        <v>1.778</v>
      </c>
      <c r="G794" t="s">
        <v>15</v>
      </c>
    </row>
    <row r="795" spans="1:7" x14ac:dyDescent="0.25">
      <c r="A795">
        <v>67</v>
      </c>
      <c r="B795" t="s">
        <v>252</v>
      </c>
      <c r="C795">
        <v>20</v>
      </c>
      <c r="D795" t="s">
        <v>187</v>
      </c>
      <c r="E795" t="s">
        <v>14</v>
      </c>
      <c r="F795">
        <v>1.778</v>
      </c>
      <c r="G795" t="s">
        <v>15</v>
      </c>
    </row>
    <row r="796" spans="1:7" x14ac:dyDescent="0.25">
      <c r="A796">
        <v>67</v>
      </c>
      <c r="B796" t="s">
        <v>252</v>
      </c>
      <c r="C796">
        <v>30</v>
      </c>
      <c r="D796" t="s">
        <v>101</v>
      </c>
      <c r="E796" t="s">
        <v>102</v>
      </c>
      <c r="F796">
        <v>0.55900000000000005</v>
      </c>
      <c r="G796" t="s">
        <v>13</v>
      </c>
    </row>
    <row r="797" spans="1:7" x14ac:dyDescent="0.25">
      <c r="A797">
        <v>67</v>
      </c>
      <c r="B797" t="s">
        <v>252</v>
      </c>
      <c r="C797">
        <v>40</v>
      </c>
      <c r="D797" t="s">
        <v>188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252</v>
      </c>
      <c r="C798">
        <v>50</v>
      </c>
      <c r="D798" t="s">
        <v>103</v>
      </c>
      <c r="E798" t="s">
        <v>14</v>
      </c>
      <c r="F798">
        <v>15.24</v>
      </c>
      <c r="G798" t="s">
        <v>13</v>
      </c>
    </row>
    <row r="799" spans="1:7" x14ac:dyDescent="0.25">
      <c r="A799">
        <v>67</v>
      </c>
      <c r="B799" t="s">
        <v>252</v>
      </c>
      <c r="C799">
        <v>60</v>
      </c>
      <c r="D799" t="s">
        <v>16</v>
      </c>
      <c r="E799" t="s">
        <v>14</v>
      </c>
      <c r="F799">
        <v>94.350999999999999</v>
      </c>
      <c r="G799" t="s">
        <v>13</v>
      </c>
    </row>
    <row r="800" spans="1:7" x14ac:dyDescent="0.25">
      <c r="A800">
        <v>67</v>
      </c>
      <c r="B800" t="s">
        <v>252</v>
      </c>
      <c r="C800">
        <v>70</v>
      </c>
      <c r="D800" t="s">
        <v>186</v>
      </c>
      <c r="E800" t="s">
        <v>12</v>
      </c>
      <c r="F800">
        <v>0.14799999999999999</v>
      </c>
      <c r="G800" t="s">
        <v>13</v>
      </c>
    </row>
    <row r="801" spans="1:7" x14ac:dyDescent="0.25">
      <c r="A801">
        <v>67</v>
      </c>
      <c r="B801" t="s">
        <v>252</v>
      </c>
      <c r="C801">
        <v>80</v>
      </c>
      <c r="D801" t="s">
        <v>189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252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252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252</v>
      </c>
      <c r="C804">
        <v>110</v>
      </c>
      <c r="D804" t="s">
        <v>104</v>
      </c>
      <c r="E804" t="s">
        <v>12</v>
      </c>
      <c r="F804">
        <v>1.216</v>
      </c>
      <c r="G804" t="s">
        <v>13</v>
      </c>
    </row>
    <row r="805" spans="1:7" x14ac:dyDescent="0.25">
      <c r="A805">
        <v>67</v>
      </c>
      <c r="B805" t="s">
        <v>252</v>
      </c>
      <c r="C805">
        <v>120</v>
      </c>
      <c r="D805" t="s">
        <v>253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254</v>
      </c>
      <c r="C806">
        <v>10</v>
      </c>
      <c r="D806" t="s">
        <v>108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254</v>
      </c>
      <c r="C807">
        <v>20</v>
      </c>
      <c r="D807" t="s">
        <v>187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254</v>
      </c>
      <c r="C808">
        <v>30</v>
      </c>
      <c r="D808" t="s">
        <v>101</v>
      </c>
      <c r="E808" t="s">
        <v>102</v>
      </c>
      <c r="F808">
        <v>0.28100000000000003</v>
      </c>
      <c r="G808" t="s">
        <v>13</v>
      </c>
    </row>
    <row r="809" spans="1:7" x14ac:dyDescent="0.25">
      <c r="A809">
        <v>68</v>
      </c>
      <c r="B809" t="s">
        <v>254</v>
      </c>
      <c r="C809">
        <v>40</v>
      </c>
      <c r="D809" t="s">
        <v>188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254</v>
      </c>
      <c r="C810">
        <v>50</v>
      </c>
      <c r="D810" t="s">
        <v>103</v>
      </c>
      <c r="E810" t="s">
        <v>14</v>
      </c>
      <c r="F810">
        <v>11.989000000000001</v>
      </c>
      <c r="G810" t="s">
        <v>13</v>
      </c>
    </row>
    <row r="811" spans="1:7" x14ac:dyDescent="0.25">
      <c r="A811">
        <v>68</v>
      </c>
      <c r="B811" t="s">
        <v>254</v>
      </c>
      <c r="C811">
        <v>60</v>
      </c>
      <c r="D811" t="s">
        <v>16</v>
      </c>
      <c r="E811" t="s">
        <v>14</v>
      </c>
      <c r="F811">
        <v>74.355999999999995</v>
      </c>
      <c r="G811" t="s">
        <v>13</v>
      </c>
    </row>
    <row r="812" spans="1:7" x14ac:dyDescent="0.25">
      <c r="A812">
        <v>68</v>
      </c>
      <c r="B812" t="s">
        <v>254</v>
      </c>
      <c r="C812">
        <v>70</v>
      </c>
      <c r="D812" t="s">
        <v>186</v>
      </c>
      <c r="E812" t="s">
        <v>12</v>
      </c>
      <c r="F812">
        <v>8.4000000000000005E-2</v>
      </c>
      <c r="G812" t="s">
        <v>13</v>
      </c>
    </row>
    <row r="813" spans="1:7" x14ac:dyDescent="0.25">
      <c r="A813">
        <v>68</v>
      </c>
      <c r="B813" t="s">
        <v>254</v>
      </c>
      <c r="C813">
        <v>80</v>
      </c>
      <c r="D813" t="s">
        <v>189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254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254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254</v>
      </c>
      <c r="C816">
        <v>110</v>
      </c>
      <c r="D816" t="s">
        <v>104</v>
      </c>
      <c r="E816" t="s">
        <v>12</v>
      </c>
      <c r="F816">
        <v>1.27</v>
      </c>
      <c r="G816" t="s">
        <v>13</v>
      </c>
    </row>
    <row r="817" spans="1:7" x14ac:dyDescent="0.25">
      <c r="A817">
        <v>68</v>
      </c>
      <c r="B817" t="s">
        <v>254</v>
      </c>
      <c r="C817">
        <v>120</v>
      </c>
      <c r="D817" t="s">
        <v>255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256</v>
      </c>
      <c r="C818">
        <v>10</v>
      </c>
      <c r="D818" t="s">
        <v>108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256</v>
      </c>
      <c r="C819">
        <v>20</v>
      </c>
      <c r="D819" t="s">
        <v>187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256</v>
      </c>
      <c r="C820">
        <v>30</v>
      </c>
      <c r="D820" t="s">
        <v>101</v>
      </c>
      <c r="E820" t="s">
        <v>102</v>
      </c>
      <c r="F820">
        <v>0.33200000000000002</v>
      </c>
      <c r="G820" t="s">
        <v>13</v>
      </c>
    </row>
    <row r="821" spans="1:7" x14ac:dyDescent="0.25">
      <c r="A821">
        <v>69</v>
      </c>
      <c r="B821" t="s">
        <v>256</v>
      </c>
      <c r="C821">
        <v>40</v>
      </c>
      <c r="D821" t="s">
        <v>188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256</v>
      </c>
      <c r="C822">
        <v>50</v>
      </c>
      <c r="D822" t="s">
        <v>103</v>
      </c>
      <c r="E822" t="s">
        <v>14</v>
      </c>
      <c r="F822">
        <v>12.598000000000001</v>
      </c>
      <c r="G822" t="s">
        <v>13</v>
      </c>
    </row>
    <row r="823" spans="1:7" x14ac:dyDescent="0.25">
      <c r="A823">
        <v>69</v>
      </c>
      <c r="B823" t="s">
        <v>256</v>
      </c>
      <c r="C823">
        <v>60</v>
      </c>
      <c r="D823" t="s">
        <v>16</v>
      </c>
      <c r="E823" t="s">
        <v>14</v>
      </c>
      <c r="F823">
        <v>78.105000000000004</v>
      </c>
      <c r="G823" t="s">
        <v>13</v>
      </c>
    </row>
    <row r="824" spans="1:7" x14ac:dyDescent="0.25">
      <c r="A824">
        <v>69</v>
      </c>
      <c r="B824" t="s">
        <v>256</v>
      </c>
      <c r="C824">
        <v>70</v>
      </c>
      <c r="D824" t="s">
        <v>186</v>
      </c>
      <c r="E824" t="s">
        <v>12</v>
      </c>
      <c r="F824">
        <v>9.4E-2</v>
      </c>
      <c r="G824" t="s">
        <v>13</v>
      </c>
    </row>
    <row r="825" spans="1:7" x14ac:dyDescent="0.25">
      <c r="A825">
        <v>69</v>
      </c>
      <c r="B825" t="s">
        <v>256</v>
      </c>
      <c r="C825">
        <v>80</v>
      </c>
      <c r="D825" t="s">
        <v>189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256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256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256</v>
      </c>
      <c r="C828">
        <v>110</v>
      </c>
      <c r="D828" t="s">
        <v>104</v>
      </c>
      <c r="E828" t="s">
        <v>12</v>
      </c>
      <c r="F828">
        <v>1.27</v>
      </c>
      <c r="G828" t="s">
        <v>13</v>
      </c>
    </row>
    <row r="829" spans="1:7" x14ac:dyDescent="0.25">
      <c r="A829">
        <v>69</v>
      </c>
      <c r="B829" t="s">
        <v>256</v>
      </c>
      <c r="C829">
        <v>120</v>
      </c>
      <c r="D829" t="s">
        <v>257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258</v>
      </c>
      <c r="C830">
        <v>10</v>
      </c>
      <c r="D830" t="s">
        <v>108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258</v>
      </c>
      <c r="C831">
        <v>20</v>
      </c>
      <c r="D831" t="s">
        <v>187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258</v>
      </c>
      <c r="C832">
        <v>30</v>
      </c>
      <c r="D832" t="s">
        <v>101</v>
      </c>
      <c r="E832" t="s">
        <v>102</v>
      </c>
      <c r="F832">
        <v>0.38300000000000001</v>
      </c>
      <c r="G832" t="s">
        <v>13</v>
      </c>
    </row>
    <row r="833" spans="1:7" x14ac:dyDescent="0.25">
      <c r="A833">
        <v>70</v>
      </c>
      <c r="B833" t="s">
        <v>258</v>
      </c>
      <c r="C833">
        <v>40</v>
      </c>
      <c r="D833" t="s">
        <v>188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258</v>
      </c>
      <c r="C834">
        <v>50</v>
      </c>
      <c r="D834" t="s">
        <v>103</v>
      </c>
      <c r="E834" t="s">
        <v>14</v>
      </c>
      <c r="F834">
        <v>13.208</v>
      </c>
      <c r="G834" t="s">
        <v>13</v>
      </c>
    </row>
    <row r="835" spans="1:7" x14ac:dyDescent="0.25">
      <c r="A835">
        <v>70</v>
      </c>
      <c r="B835" t="s">
        <v>258</v>
      </c>
      <c r="C835">
        <v>60</v>
      </c>
      <c r="D835" t="s">
        <v>16</v>
      </c>
      <c r="E835" t="s">
        <v>14</v>
      </c>
      <c r="F835">
        <v>81.853999999999999</v>
      </c>
      <c r="G835" t="s">
        <v>13</v>
      </c>
    </row>
    <row r="836" spans="1:7" x14ac:dyDescent="0.25">
      <c r="A836">
        <v>70</v>
      </c>
      <c r="B836" t="s">
        <v>258</v>
      </c>
      <c r="C836">
        <v>70</v>
      </c>
      <c r="D836" t="s">
        <v>186</v>
      </c>
      <c r="E836" t="s">
        <v>12</v>
      </c>
      <c r="F836">
        <v>0.105</v>
      </c>
      <c r="G836" t="s">
        <v>13</v>
      </c>
    </row>
    <row r="837" spans="1:7" x14ac:dyDescent="0.25">
      <c r="A837">
        <v>70</v>
      </c>
      <c r="B837" t="s">
        <v>258</v>
      </c>
      <c r="C837">
        <v>80</v>
      </c>
      <c r="D837" t="s">
        <v>189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258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258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258</v>
      </c>
      <c r="C840">
        <v>110</v>
      </c>
      <c r="D840" t="s">
        <v>104</v>
      </c>
      <c r="E840" t="s">
        <v>12</v>
      </c>
      <c r="F840">
        <v>1.27</v>
      </c>
      <c r="G840" t="s">
        <v>13</v>
      </c>
    </row>
    <row r="841" spans="1:7" x14ac:dyDescent="0.25">
      <c r="A841">
        <v>70</v>
      </c>
      <c r="B841" t="s">
        <v>258</v>
      </c>
      <c r="C841">
        <v>120</v>
      </c>
      <c r="D841" t="s">
        <v>259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260</v>
      </c>
      <c r="C842">
        <v>10</v>
      </c>
      <c r="D842" t="s">
        <v>108</v>
      </c>
      <c r="E842" t="s">
        <v>14</v>
      </c>
      <c r="F842">
        <v>2.1589999999999998</v>
      </c>
      <c r="G842" t="s">
        <v>15</v>
      </c>
    </row>
    <row r="843" spans="1:7" x14ac:dyDescent="0.25">
      <c r="A843">
        <v>71</v>
      </c>
      <c r="B843" t="s">
        <v>260</v>
      </c>
      <c r="C843">
        <v>20</v>
      </c>
      <c r="D843" t="s">
        <v>187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260</v>
      </c>
      <c r="C844">
        <v>30</v>
      </c>
      <c r="D844" t="s">
        <v>101</v>
      </c>
      <c r="E844" t="s">
        <v>102</v>
      </c>
      <c r="F844">
        <v>0.434</v>
      </c>
      <c r="G844" t="s">
        <v>13</v>
      </c>
    </row>
    <row r="845" spans="1:7" x14ac:dyDescent="0.25">
      <c r="A845">
        <v>71</v>
      </c>
      <c r="B845" t="s">
        <v>260</v>
      </c>
      <c r="C845">
        <v>40</v>
      </c>
      <c r="D845" t="s">
        <v>188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260</v>
      </c>
      <c r="C846">
        <v>50</v>
      </c>
      <c r="D846" t="s">
        <v>103</v>
      </c>
      <c r="E846" t="s">
        <v>14</v>
      </c>
      <c r="F846">
        <v>13.818</v>
      </c>
      <c r="G846" t="s">
        <v>13</v>
      </c>
    </row>
    <row r="847" spans="1:7" x14ac:dyDescent="0.25">
      <c r="A847">
        <v>71</v>
      </c>
      <c r="B847" t="s">
        <v>260</v>
      </c>
      <c r="C847">
        <v>60</v>
      </c>
      <c r="D847" t="s">
        <v>16</v>
      </c>
      <c r="E847" t="s">
        <v>14</v>
      </c>
      <c r="F847">
        <v>85.602999999999994</v>
      </c>
      <c r="G847" t="s">
        <v>13</v>
      </c>
    </row>
    <row r="848" spans="1:7" x14ac:dyDescent="0.25">
      <c r="A848">
        <v>71</v>
      </c>
      <c r="B848" t="s">
        <v>260</v>
      </c>
      <c r="C848">
        <v>70</v>
      </c>
      <c r="D848" t="s">
        <v>186</v>
      </c>
      <c r="E848" t="s">
        <v>12</v>
      </c>
      <c r="F848">
        <v>0.11600000000000001</v>
      </c>
      <c r="G848" t="s">
        <v>13</v>
      </c>
    </row>
    <row r="849" spans="1:7" x14ac:dyDescent="0.25">
      <c r="A849">
        <v>71</v>
      </c>
      <c r="B849" t="s">
        <v>260</v>
      </c>
      <c r="C849">
        <v>80</v>
      </c>
      <c r="D849" t="s">
        <v>189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260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260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260</v>
      </c>
      <c r="C852">
        <v>110</v>
      </c>
      <c r="D852" t="s">
        <v>104</v>
      </c>
      <c r="E852" t="s">
        <v>12</v>
      </c>
      <c r="F852">
        <v>1.27</v>
      </c>
      <c r="G852" t="s">
        <v>13</v>
      </c>
    </row>
    <row r="853" spans="1:7" x14ac:dyDescent="0.25">
      <c r="A853">
        <v>71</v>
      </c>
      <c r="B853" t="s">
        <v>260</v>
      </c>
      <c r="C853">
        <v>120</v>
      </c>
      <c r="D853" t="s">
        <v>261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262</v>
      </c>
      <c r="C854">
        <v>10</v>
      </c>
      <c r="D854" t="s">
        <v>108</v>
      </c>
      <c r="E854" t="s">
        <v>14</v>
      </c>
      <c r="F854">
        <v>2.1589999999999998</v>
      </c>
      <c r="G854" t="s">
        <v>15</v>
      </c>
    </row>
    <row r="855" spans="1:7" x14ac:dyDescent="0.25">
      <c r="A855">
        <v>72</v>
      </c>
      <c r="B855" t="s">
        <v>262</v>
      </c>
      <c r="C855">
        <v>20</v>
      </c>
      <c r="D855" t="s">
        <v>187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262</v>
      </c>
      <c r="C856">
        <v>30</v>
      </c>
      <c r="D856" t="s">
        <v>101</v>
      </c>
      <c r="E856" t="s">
        <v>102</v>
      </c>
      <c r="F856">
        <v>0.45900000000000002</v>
      </c>
      <c r="G856" t="s">
        <v>13</v>
      </c>
    </row>
    <row r="857" spans="1:7" x14ac:dyDescent="0.25">
      <c r="A857">
        <v>72</v>
      </c>
      <c r="B857" t="s">
        <v>262</v>
      </c>
      <c r="C857">
        <v>40</v>
      </c>
      <c r="D857" t="s">
        <v>188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262</v>
      </c>
      <c r="C858">
        <v>50</v>
      </c>
      <c r="D858" t="s">
        <v>103</v>
      </c>
      <c r="E858" t="s">
        <v>14</v>
      </c>
      <c r="F858">
        <v>14.122</v>
      </c>
      <c r="G858" t="s">
        <v>13</v>
      </c>
    </row>
    <row r="859" spans="1:7" x14ac:dyDescent="0.25">
      <c r="A859">
        <v>72</v>
      </c>
      <c r="B859" t="s">
        <v>262</v>
      </c>
      <c r="C859">
        <v>60</v>
      </c>
      <c r="D859" t="s">
        <v>16</v>
      </c>
      <c r="E859" t="s">
        <v>14</v>
      </c>
      <c r="F859">
        <v>87.477999999999994</v>
      </c>
      <c r="G859" t="s">
        <v>13</v>
      </c>
    </row>
    <row r="860" spans="1:7" x14ac:dyDescent="0.25">
      <c r="A860">
        <v>72</v>
      </c>
      <c r="B860" t="s">
        <v>262</v>
      </c>
      <c r="C860">
        <v>70</v>
      </c>
      <c r="D860" t="s">
        <v>186</v>
      </c>
      <c r="E860" t="s">
        <v>12</v>
      </c>
      <c r="F860">
        <v>0.121</v>
      </c>
      <c r="G860" t="s">
        <v>13</v>
      </c>
    </row>
    <row r="861" spans="1:7" x14ac:dyDescent="0.25">
      <c r="A861">
        <v>72</v>
      </c>
      <c r="B861" t="s">
        <v>262</v>
      </c>
      <c r="C861">
        <v>80</v>
      </c>
      <c r="D861" t="s">
        <v>189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262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262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262</v>
      </c>
      <c r="C864">
        <v>110</v>
      </c>
      <c r="D864" t="s">
        <v>104</v>
      </c>
      <c r="E864" t="s">
        <v>12</v>
      </c>
      <c r="F864">
        <v>1.27</v>
      </c>
      <c r="G864" t="s">
        <v>13</v>
      </c>
    </row>
    <row r="865" spans="1:7" x14ac:dyDescent="0.25">
      <c r="A865">
        <v>72</v>
      </c>
      <c r="B865" t="s">
        <v>262</v>
      </c>
      <c r="C865">
        <v>120</v>
      </c>
      <c r="D865" t="s">
        <v>263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264</v>
      </c>
      <c r="C866">
        <v>10</v>
      </c>
      <c r="D866" t="s">
        <v>108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264</v>
      </c>
      <c r="C867">
        <v>20</v>
      </c>
      <c r="D867" t="s">
        <v>187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264</v>
      </c>
      <c r="C868">
        <v>30</v>
      </c>
      <c r="D868" t="s">
        <v>101</v>
      </c>
      <c r="E868" t="s">
        <v>102</v>
      </c>
      <c r="F868">
        <v>0.48499999999999999</v>
      </c>
      <c r="G868" t="s">
        <v>13</v>
      </c>
    </row>
    <row r="869" spans="1:7" x14ac:dyDescent="0.25">
      <c r="A869">
        <v>73</v>
      </c>
      <c r="B869" t="s">
        <v>264</v>
      </c>
      <c r="C869">
        <v>40</v>
      </c>
      <c r="D869" t="s">
        <v>188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264</v>
      </c>
      <c r="C870">
        <v>50</v>
      </c>
      <c r="D870" t="s">
        <v>103</v>
      </c>
      <c r="E870" t="s">
        <v>14</v>
      </c>
      <c r="F870">
        <v>14.427</v>
      </c>
      <c r="G870" t="s">
        <v>13</v>
      </c>
    </row>
    <row r="871" spans="1:7" x14ac:dyDescent="0.25">
      <c r="A871">
        <v>73</v>
      </c>
      <c r="B871" t="s">
        <v>264</v>
      </c>
      <c r="C871">
        <v>60</v>
      </c>
      <c r="D871" t="s">
        <v>16</v>
      </c>
      <c r="E871" t="s">
        <v>14</v>
      </c>
      <c r="F871">
        <v>89.352000000000004</v>
      </c>
      <c r="G871" t="s">
        <v>13</v>
      </c>
    </row>
    <row r="872" spans="1:7" x14ac:dyDescent="0.25">
      <c r="A872">
        <v>73</v>
      </c>
      <c r="B872" t="s">
        <v>264</v>
      </c>
      <c r="C872">
        <v>70</v>
      </c>
      <c r="D872" t="s">
        <v>186</v>
      </c>
      <c r="E872" t="s">
        <v>12</v>
      </c>
      <c r="F872">
        <v>0.126</v>
      </c>
      <c r="G872" t="s">
        <v>13</v>
      </c>
    </row>
    <row r="873" spans="1:7" x14ac:dyDescent="0.25">
      <c r="A873">
        <v>73</v>
      </c>
      <c r="B873" t="s">
        <v>264</v>
      </c>
      <c r="C873">
        <v>80</v>
      </c>
      <c r="D873" t="s">
        <v>189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264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264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264</v>
      </c>
      <c r="C876">
        <v>110</v>
      </c>
      <c r="D876" t="s">
        <v>104</v>
      </c>
      <c r="E876" t="s">
        <v>12</v>
      </c>
      <c r="F876">
        <v>1.27</v>
      </c>
      <c r="G876" t="s">
        <v>13</v>
      </c>
    </row>
    <row r="877" spans="1:7" x14ac:dyDescent="0.25">
      <c r="A877">
        <v>73</v>
      </c>
      <c r="B877" t="s">
        <v>264</v>
      </c>
      <c r="C877">
        <v>120</v>
      </c>
      <c r="D877" t="s">
        <v>265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266</v>
      </c>
      <c r="C878">
        <v>10</v>
      </c>
      <c r="D878" t="s">
        <v>108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266</v>
      </c>
      <c r="C879">
        <v>20</v>
      </c>
      <c r="D879" t="s">
        <v>187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266</v>
      </c>
      <c r="C880">
        <v>30</v>
      </c>
      <c r="D880" t="s">
        <v>101</v>
      </c>
      <c r="E880" t="s">
        <v>102</v>
      </c>
      <c r="F880">
        <v>0.53600000000000003</v>
      </c>
      <c r="G880" t="s">
        <v>13</v>
      </c>
    </row>
    <row r="881" spans="1:7" x14ac:dyDescent="0.25">
      <c r="A881">
        <v>74</v>
      </c>
      <c r="B881" t="s">
        <v>266</v>
      </c>
      <c r="C881">
        <v>40</v>
      </c>
      <c r="D881" t="s">
        <v>188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266</v>
      </c>
      <c r="C882">
        <v>50</v>
      </c>
      <c r="D882" t="s">
        <v>103</v>
      </c>
      <c r="E882" t="s">
        <v>14</v>
      </c>
      <c r="F882">
        <v>15.037000000000001</v>
      </c>
      <c r="G882" t="s">
        <v>13</v>
      </c>
    </row>
    <row r="883" spans="1:7" x14ac:dyDescent="0.25">
      <c r="A883">
        <v>74</v>
      </c>
      <c r="B883" t="s">
        <v>266</v>
      </c>
      <c r="C883">
        <v>60</v>
      </c>
      <c r="D883" t="s">
        <v>16</v>
      </c>
      <c r="E883" t="s">
        <v>14</v>
      </c>
      <c r="F883">
        <v>93.100999999999999</v>
      </c>
      <c r="G883" t="s">
        <v>13</v>
      </c>
    </row>
    <row r="884" spans="1:7" x14ac:dyDescent="0.25">
      <c r="A884">
        <v>74</v>
      </c>
      <c r="B884" t="s">
        <v>266</v>
      </c>
      <c r="C884">
        <v>70</v>
      </c>
      <c r="D884" t="s">
        <v>186</v>
      </c>
      <c r="E884" t="s">
        <v>12</v>
      </c>
      <c r="F884">
        <v>0.13700000000000001</v>
      </c>
      <c r="G884" t="s">
        <v>13</v>
      </c>
    </row>
    <row r="885" spans="1:7" x14ac:dyDescent="0.25">
      <c r="A885">
        <v>74</v>
      </c>
      <c r="B885" t="s">
        <v>266</v>
      </c>
      <c r="C885">
        <v>80</v>
      </c>
      <c r="D885" t="s">
        <v>189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266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266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266</v>
      </c>
      <c r="C888">
        <v>110</v>
      </c>
      <c r="D888" t="s">
        <v>104</v>
      </c>
      <c r="E888" t="s">
        <v>12</v>
      </c>
      <c r="F888">
        <v>1.27</v>
      </c>
      <c r="G888" t="s">
        <v>13</v>
      </c>
    </row>
    <row r="889" spans="1:7" x14ac:dyDescent="0.25">
      <c r="A889">
        <v>74</v>
      </c>
      <c r="B889" t="s">
        <v>266</v>
      </c>
      <c r="C889">
        <v>120</v>
      </c>
      <c r="D889" t="s">
        <v>267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268</v>
      </c>
      <c r="C890">
        <v>10</v>
      </c>
      <c r="D890" t="s">
        <v>108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268</v>
      </c>
      <c r="C891">
        <v>20</v>
      </c>
      <c r="D891" t="s">
        <v>187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268</v>
      </c>
      <c r="C892">
        <v>30</v>
      </c>
      <c r="D892" t="s">
        <v>101</v>
      </c>
      <c r="E892" t="s">
        <v>102</v>
      </c>
      <c r="F892">
        <v>0.58699999999999997</v>
      </c>
      <c r="G892" t="s">
        <v>13</v>
      </c>
    </row>
    <row r="893" spans="1:7" x14ac:dyDescent="0.25">
      <c r="A893">
        <v>75</v>
      </c>
      <c r="B893" t="s">
        <v>268</v>
      </c>
      <c r="C893">
        <v>40</v>
      </c>
      <c r="D893" t="s">
        <v>188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268</v>
      </c>
      <c r="C894">
        <v>50</v>
      </c>
      <c r="D894" t="s">
        <v>103</v>
      </c>
      <c r="E894" t="s">
        <v>14</v>
      </c>
      <c r="F894">
        <v>15.646000000000001</v>
      </c>
      <c r="G894" t="s">
        <v>13</v>
      </c>
    </row>
    <row r="895" spans="1:7" x14ac:dyDescent="0.25">
      <c r="A895">
        <v>75</v>
      </c>
      <c r="B895" t="s">
        <v>268</v>
      </c>
      <c r="C895">
        <v>60</v>
      </c>
      <c r="D895" t="s">
        <v>16</v>
      </c>
      <c r="E895" t="s">
        <v>14</v>
      </c>
      <c r="F895">
        <v>96.85</v>
      </c>
      <c r="G895" t="s">
        <v>13</v>
      </c>
    </row>
    <row r="896" spans="1:7" x14ac:dyDescent="0.25">
      <c r="A896">
        <v>75</v>
      </c>
      <c r="B896" t="s">
        <v>268</v>
      </c>
      <c r="C896">
        <v>70</v>
      </c>
      <c r="D896" t="s">
        <v>186</v>
      </c>
      <c r="E896" t="s">
        <v>12</v>
      </c>
      <c r="F896">
        <v>0.14799999999999999</v>
      </c>
      <c r="G896" t="s">
        <v>13</v>
      </c>
    </row>
    <row r="897" spans="1:7" x14ac:dyDescent="0.25">
      <c r="A897">
        <v>75</v>
      </c>
      <c r="B897" t="s">
        <v>268</v>
      </c>
      <c r="C897">
        <v>80</v>
      </c>
      <c r="D897" t="s">
        <v>189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268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268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268</v>
      </c>
      <c r="C900">
        <v>110</v>
      </c>
      <c r="D900" t="s">
        <v>104</v>
      </c>
      <c r="E900" t="s">
        <v>12</v>
      </c>
      <c r="F900">
        <v>1.27</v>
      </c>
      <c r="G900" t="s">
        <v>13</v>
      </c>
    </row>
    <row r="901" spans="1:7" x14ac:dyDescent="0.25">
      <c r="A901">
        <v>75</v>
      </c>
      <c r="B901" t="s">
        <v>268</v>
      </c>
      <c r="C901">
        <v>120</v>
      </c>
      <c r="D901" t="s">
        <v>269</v>
      </c>
      <c r="E901" t="s">
        <v>11</v>
      </c>
      <c r="F901">
        <v>1</v>
      </c>
      <c r="G9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R13" sqref="R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4" t="s">
        <v>26</v>
      </c>
      <c r="C2" s="44" t="s">
        <v>27</v>
      </c>
      <c r="D2" s="44" t="s">
        <v>28</v>
      </c>
      <c r="E2" s="44" t="s">
        <v>27</v>
      </c>
      <c r="F2" s="44" t="s">
        <v>28</v>
      </c>
      <c r="G2" s="44" t="s">
        <v>26</v>
      </c>
      <c r="H2" s="44" t="s">
        <v>28</v>
      </c>
      <c r="I2" s="44" t="s">
        <v>28</v>
      </c>
      <c r="J2" s="44" t="s">
        <v>28</v>
      </c>
      <c r="K2" s="44" t="s">
        <v>28</v>
      </c>
      <c r="L2" s="44" t="s">
        <v>26</v>
      </c>
      <c r="M2" s="45" t="s">
        <v>29</v>
      </c>
      <c r="N2" s="21" t="s">
        <v>29</v>
      </c>
      <c r="O2" s="45" t="s">
        <v>29</v>
      </c>
      <c r="P2" s="45" t="s">
        <v>30</v>
      </c>
      <c r="Q2" s="45" t="s">
        <v>29</v>
      </c>
      <c r="R2" s="45" t="s">
        <v>30</v>
      </c>
      <c r="S2" s="45" t="s">
        <v>29</v>
      </c>
      <c r="T2" s="45" t="s">
        <v>29</v>
      </c>
      <c r="U2" s="45" t="s">
        <v>30</v>
      </c>
      <c r="V2" s="45" t="s">
        <v>29</v>
      </c>
      <c r="W2" s="45" t="s">
        <v>29</v>
      </c>
      <c r="X2" s="45" t="s">
        <v>29</v>
      </c>
      <c r="Y2" s="45" t="s">
        <v>30</v>
      </c>
      <c r="Z2" s="45" t="s">
        <v>31</v>
      </c>
      <c r="AA2" s="45" t="s">
        <v>29</v>
      </c>
      <c r="AB2" s="45" t="s">
        <v>29</v>
      </c>
      <c r="AC2" s="45" t="s">
        <v>29</v>
      </c>
      <c r="AD2" s="45" t="s">
        <v>29</v>
      </c>
      <c r="AE2" s="45" t="s">
        <v>29</v>
      </c>
      <c r="AF2" s="45" t="s">
        <v>29</v>
      </c>
      <c r="AG2" s="45" t="s">
        <v>31</v>
      </c>
      <c r="AH2" s="45" t="s">
        <v>31</v>
      </c>
      <c r="AI2" s="45" t="s">
        <v>31</v>
      </c>
      <c r="AJ2" s="45" t="s">
        <v>29</v>
      </c>
      <c r="AK2" s="45" t="s">
        <v>29</v>
      </c>
      <c r="AL2" s="45" t="s">
        <v>29</v>
      </c>
    </row>
    <row r="3" spans="1:38" x14ac:dyDescent="0.25">
      <c r="A3" s="48"/>
      <c r="B3" s="44" t="s">
        <v>32</v>
      </c>
      <c r="C3" s="44" t="s">
        <v>33</v>
      </c>
      <c r="D3" s="44" t="s">
        <v>34</v>
      </c>
      <c r="E3" s="44" t="s">
        <v>33</v>
      </c>
      <c r="F3" s="44" t="s">
        <v>35</v>
      </c>
      <c r="G3" s="44" t="s">
        <v>36</v>
      </c>
      <c r="H3" s="44" t="s">
        <v>37</v>
      </c>
      <c r="I3" s="44" t="s">
        <v>38</v>
      </c>
      <c r="J3" s="44" t="s">
        <v>33</v>
      </c>
      <c r="K3" s="44" t="s">
        <v>33</v>
      </c>
      <c r="L3" s="44" t="s">
        <v>39</v>
      </c>
      <c r="M3" s="45" t="s">
        <v>40</v>
      </c>
      <c r="N3" s="21" t="s">
        <v>33</v>
      </c>
      <c r="O3" s="45" t="s">
        <v>35</v>
      </c>
      <c r="P3" s="45" t="s">
        <v>41</v>
      </c>
      <c r="Q3" s="45" t="s">
        <v>38</v>
      </c>
      <c r="R3" s="45" t="s">
        <v>37</v>
      </c>
      <c r="S3" s="45" t="s">
        <v>42</v>
      </c>
      <c r="T3" s="45" t="s">
        <v>40</v>
      </c>
      <c r="U3" s="45" t="s">
        <v>43</v>
      </c>
      <c r="V3" s="45" t="s">
        <v>37</v>
      </c>
      <c r="W3" s="45" t="s">
        <v>38</v>
      </c>
      <c r="X3" s="45" t="s">
        <v>38</v>
      </c>
      <c r="Y3" s="45" t="s">
        <v>32</v>
      </c>
      <c r="Z3" s="45" t="s">
        <v>39</v>
      </c>
      <c r="AA3" s="45" t="s">
        <v>44</v>
      </c>
      <c r="AB3" s="45" t="s">
        <v>44</v>
      </c>
      <c r="AC3" s="45" t="s">
        <v>38</v>
      </c>
      <c r="AD3" s="45" t="s">
        <v>38</v>
      </c>
      <c r="AE3" s="45" t="s">
        <v>43</v>
      </c>
      <c r="AF3" s="45" t="s">
        <v>42</v>
      </c>
      <c r="AG3" s="45" t="s">
        <v>32</v>
      </c>
      <c r="AH3" s="45" t="s">
        <v>39</v>
      </c>
      <c r="AI3" s="45" t="s">
        <v>39</v>
      </c>
      <c r="AJ3" s="45" t="s">
        <v>33</v>
      </c>
      <c r="AK3" s="45" t="s">
        <v>35</v>
      </c>
      <c r="AL3" s="45" t="s">
        <v>45</v>
      </c>
    </row>
    <row r="4" spans="1:38" x14ac:dyDescent="0.25">
      <c r="A4" s="48"/>
      <c r="B4" s="22" t="s">
        <v>46</v>
      </c>
      <c r="C4" s="22" t="s">
        <v>47</v>
      </c>
      <c r="D4" s="44" t="s">
        <v>48</v>
      </c>
      <c r="E4" s="22" t="s">
        <v>3</v>
      </c>
      <c r="F4" s="44" t="s">
        <v>49</v>
      </c>
      <c r="G4" s="22" t="s">
        <v>50</v>
      </c>
      <c r="H4" s="22" t="s">
        <v>6</v>
      </c>
      <c r="I4" s="22" t="s">
        <v>51</v>
      </c>
      <c r="J4" s="44" t="s">
        <v>52</v>
      </c>
      <c r="K4" s="44" t="s">
        <v>53</v>
      </c>
      <c r="L4" s="44" t="s">
        <v>54</v>
      </c>
      <c r="M4" s="23" t="s">
        <v>55</v>
      </c>
      <c r="N4" s="24" t="s">
        <v>3</v>
      </c>
      <c r="O4" s="45" t="s">
        <v>49</v>
      </c>
      <c r="P4" s="45" t="s">
        <v>56</v>
      </c>
      <c r="Q4" s="45" t="s">
        <v>57</v>
      </c>
      <c r="R4" s="45" t="s">
        <v>4</v>
      </c>
      <c r="S4" s="45" t="s">
        <v>58</v>
      </c>
      <c r="T4" s="45" t="s">
        <v>59</v>
      </c>
      <c r="U4" s="45" t="s">
        <v>60</v>
      </c>
      <c r="V4" s="45" t="s">
        <v>6</v>
      </c>
      <c r="W4" s="45" t="s">
        <v>61</v>
      </c>
      <c r="X4" s="45" t="s">
        <v>62</v>
      </c>
      <c r="Y4" s="45" t="s">
        <v>63</v>
      </c>
      <c r="Z4" s="45" t="s">
        <v>64</v>
      </c>
      <c r="AA4" s="45" t="s">
        <v>65</v>
      </c>
      <c r="AB4" s="45" t="s">
        <v>66</v>
      </c>
      <c r="AC4" s="45" t="s">
        <v>67</v>
      </c>
      <c r="AD4" s="45" t="s">
        <v>68</v>
      </c>
      <c r="AE4" s="45" t="s">
        <v>69</v>
      </c>
      <c r="AF4" s="45" t="s">
        <v>70</v>
      </c>
      <c r="AG4" s="45" t="s">
        <v>71</v>
      </c>
      <c r="AH4" s="45" t="s">
        <v>72</v>
      </c>
      <c r="AI4" s="45" t="s">
        <v>73</v>
      </c>
      <c r="AJ4" s="45" t="s">
        <v>74</v>
      </c>
      <c r="AK4" s="45" t="s">
        <v>75</v>
      </c>
      <c r="AL4" s="45" t="s">
        <v>76</v>
      </c>
    </row>
    <row r="5" spans="1:38" x14ac:dyDescent="0.25">
      <c r="A5" s="3">
        <v>1</v>
      </c>
      <c r="B5" s="3" t="s">
        <v>86</v>
      </c>
      <c r="C5" s="3" t="s">
        <v>107</v>
      </c>
      <c r="D5" s="3"/>
      <c r="E5" s="3" t="s">
        <v>107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107</v>
      </c>
      <c r="D6" s="3"/>
      <c r="E6" s="3" t="s">
        <v>107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187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107</v>
      </c>
      <c r="D7" s="3"/>
      <c r="E7" s="3" t="s">
        <v>107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101</v>
      </c>
      <c r="O7" s="3"/>
      <c r="P7" s="3"/>
      <c r="Q7" s="3">
        <v>0.219</v>
      </c>
      <c r="R7" s="3" t="s">
        <v>102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107</v>
      </c>
      <c r="D8" s="3"/>
      <c r="E8" s="3" t="s">
        <v>107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188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107</v>
      </c>
      <c r="D9" s="3"/>
      <c r="E9" s="3" t="s">
        <v>107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103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107</v>
      </c>
      <c r="D10" s="3"/>
      <c r="E10" s="3" t="s">
        <v>107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107</v>
      </c>
      <c r="D11" s="3"/>
      <c r="E11" s="3" t="s">
        <v>107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186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107</v>
      </c>
      <c r="D12" s="3"/>
      <c r="E12" s="3" t="s">
        <v>107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189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107</v>
      </c>
      <c r="D13" s="3"/>
      <c r="E13" s="3" t="s">
        <v>107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107</v>
      </c>
      <c r="D14" s="3"/>
      <c r="E14" s="3" t="s">
        <v>107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107</v>
      </c>
      <c r="D15" s="3"/>
      <c r="E15" s="3" t="s">
        <v>107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104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107</v>
      </c>
      <c r="D16" s="3"/>
      <c r="E16" s="3" t="s">
        <v>107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108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187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101</v>
      </c>
      <c r="O19" s="3"/>
      <c r="P19" s="3"/>
      <c r="Q19" s="3">
        <v>0.26200000000000001</v>
      </c>
      <c r="R19" s="3" t="s">
        <v>102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188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103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186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189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104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108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187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112</v>
      </c>
      <c r="D31" s="3"/>
      <c r="E31" s="3" t="s">
        <v>112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101</v>
      </c>
      <c r="O31" s="3"/>
      <c r="P31" s="3"/>
      <c r="Q31" s="3">
        <v>0.30599999999999999</v>
      </c>
      <c r="R31" s="3" t="s">
        <v>102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112</v>
      </c>
      <c r="D32" s="3"/>
      <c r="E32" s="3" t="s">
        <v>112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188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112</v>
      </c>
      <c r="D33" s="3"/>
      <c r="E33" s="3" t="s">
        <v>112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103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112</v>
      </c>
      <c r="D34" s="3"/>
      <c r="E34" s="3" t="s">
        <v>112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112</v>
      </c>
      <c r="D35" s="3"/>
      <c r="E35" s="3" t="s">
        <v>112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186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112</v>
      </c>
      <c r="D36" s="3"/>
      <c r="E36" s="3" t="s">
        <v>112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189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112</v>
      </c>
      <c r="D37" s="3"/>
      <c r="E37" s="3" t="s">
        <v>112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112</v>
      </c>
      <c r="D38" s="3"/>
      <c r="E38" s="3" t="s">
        <v>112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112</v>
      </c>
      <c r="D39" s="3"/>
      <c r="E39" s="3" t="s">
        <v>112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104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112</v>
      </c>
      <c r="D40" s="3"/>
      <c r="E40" s="3" t="s">
        <v>112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108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187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101</v>
      </c>
      <c r="O43" s="3"/>
      <c r="P43" s="3"/>
      <c r="Q43" s="3">
        <v>0.35</v>
      </c>
      <c r="R43" s="3" t="s">
        <v>102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188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103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186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189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104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108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187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101</v>
      </c>
      <c r="O55" s="3"/>
      <c r="P55" s="3"/>
      <c r="Q55" s="3">
        <v>0.437</v>
      </c>
      <c r="R55" s="3" t="s">
        <v>102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188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103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186</v>
      </c>
      <c r="O59" s="3"/>
      <c r="P59" s="3"/>
      <c r="Q59" s="3">
        <v>0.13200000000000001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189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104</v>
      </c>
      <c r="O63" s="3"/>
      <c r="P63" s="3"/>
      <c r="Q63" s="3">
        <v>0.94599999999999995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108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187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101</v>
      </c>
      <c r="O67" s="3"/>
      <c r="P67" s="3"/>
      <c r="Q67" s="3">
        <v>0.48099999999999998</v>
      </c>
      <c r="R67" s="3" t="s">
        <v>102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188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103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186</v>
      </c>
      <c r="O71" s="3"/>
      <c r="P71" s="3"/>
      <c r="Q71" s="3">
        <v>0.14199999999999999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189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104</v>
      </c>
      <c r="O75" s="3"/>
      <c r="P75" s="3"/>
      <c r="Q75" s="3">
        <v>1.0269999999999999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120</v>
      </c>
      <c r="D77" s="3"/>
      <c r="E77" s="3" t="s">
        <v>120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108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120</v>
      </c>
      <c r="D78" s="3"/>
      <c r="E78" s="3" t="s">
        <v>120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187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120</v>
      </c>
      <c r="D79" s="3"/>
      <c r="E79" s="3" t="s">
        <v>120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101</v>
      </c>
      <c r="O79" s="3"/>
      <c r="P79" s="3"/>
      <c r="Q79" s="3">
        <v>0.52500000000000002</v>
      </c>
      <c r="R79" s="3" t="s">
        <v>102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120</v>
      </c>
      <c r="D80" s="3"/>
      <c r="E80" s="3" t="s">
        <v>120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188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120</v>
      </c>
      <c r="D81" s="3"/>
      <c r="E81" s="3" t="s">
        <v>120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103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120</v>
      </c>
      <c r="D82" s="3"/>
      <c r="E82" s="3" t="s">
        <v>120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120</v>
      </c>
      <c r="D83" s="3"/>
      <c r="E83" s="3" t="s">
        <v>120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186</v>
      </c>
      <c r="O83" s="3"/>
      <c r="P83" s="3"/>
      <c r="Q83" s="3">
        <v>0.153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120</v>
      </c>
      <c r="D84" s="3"/>
      <c r="E84" s="3" t="s">
        <v>120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189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120</v>
      </c>
      <c r="D85" s="3"/>
      <c r="E85" s="3" t="s">
        <v>120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120</v>
      </c>
      <c r="D86" s="3"/>
      <c r="E86" s="3" t="s">
        <v>120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120</v>
      </c>
      <c r="D87" s="3"/>
      <c r="E87" s="3" t="s">
        <v>120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104</v>
      </c>
      <c r="O87" s="3"/>
      <c r="P87" s="3"/>
      <c r="Q87" s="3">
        <v>1.1080000000000001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120</v>
      </c>
      <c r="D88" s="3"/>
      <c r="E88" s="3" t="s">
        <v>120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122</v>
      </c>
      <c r="D89" s="3"/>
      <c r="E89" s="3" t="s">
        <v>122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108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122</v>
      </c>
      <c r="D90" s="3"/>
      <c r="E90" s="3" t="s">
        <v>122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187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122</v>
      </c>
      <c r="D91" s="3"/>
      <c r="E91" s="3" t="s">
        <v>122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101</v>
      </c>
      <c r="O91" s="3"/>
      <c r="P91" s="3"/>
      <c r="Q91" s="3">
        <v>0.22800000000000001</v>
      </c>
      <c r="R91" s="3" t="s">
        <v>102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122</v>
      </c>
      <c r="D92" s="3"/>
      <c r="E92" s="3" t="s">
        <v>122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188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122</v>
      </c>
      <c r="D93" s="3"/>
      <c r="E93" s="3" t="s">
        <v>122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103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122</v>
      </c>
      <c r="D94" s="3"/>
      <c r="E94" s="3" t="s">
        <v>122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122</v>
      </c>
      <c r="D95" s="3"/>
      <c r="E95" s="3" t="s">
        <v>122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186</v>
      </c>
      <c r="O95" s="3"/>
      <c r="P95" s="3"/>
      <c r="Q95" s="3">
        <v>7.8E-2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122</v>
      </c>
      <c r="D96" s="3"/>
      <c r="E96" s="3" t="s">
        <v>122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189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122</v>
      </c>
      <c r="D97" s="3"/>
      <c r="E97" s="3" t="s">
        <v>122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122</v>
      </c>
      <c r="D98" s="3"/>
      <c r="E98" s="3" t="s">
        <v>122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122</v>
      </c>
      <c r="D99" s="3"/>
      <c r="E99" s="3" t="s">
        <v>122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104</v>
      </c>
      <c r="O99" s="3"/>
      <c r="P99" s="3"/>
      <c r="Q99" s="3">
        <v>0.54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122</v>
      </c>
      <c r="D100" s="3"/>
      <c r="E100" s="3" t="s">
        <v>122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124</v>
      </c>
      <c r="D101" s="3"/>
      <c r="E101" s="3" t="s">
        <v>124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108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124</v>
      </c>
      <c r="D102" s="3"/>
      <c r="E102" s="3" t="s">
        <v>124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187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124</v>
      </c>
      <c r="D103" s="3"/>
      <c r="E103" s="3" t="s">
        <v>124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101</v>
      </c>
      <c r="O103" s="3"/>
      <c r="P103" s="3"/>
      <c r="Q103" s="3">
        <v>0.27300000000000002</v>
      </c>
      <c r="R103" s="3" t="s">
        <v>102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124</v>
      </c>
      <c r="D104" s="3"/>
      <c r="E104" s="3" t="s">
        <v>124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188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124</v>
      </c>
      <c r="D105" s="3"/>
      <c r="E105" s="3" t="s">
        <v>124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103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124</v>
      </c>
      <c r="D106" s="3"/>
      <c r="E106" s="3" t="s">
        <v>124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124</v>
      </c>
      <c r="D107" s="3"/>
      <c r="E107" s="3" t="s">
        <v>124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186</v>
      </c>
      <c r="O107" s="3"/>
      <c r="P107" s="3"/>
      <c r="Q107" s="3">
        <v>8.8999999999999996E-2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124</v>
      </c>
      <c r="D108" s="3"/>
      <c r="E108" s="3" t="s">
        <v>124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189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124</v>
      </c>
      <c r="D109" s="3"/>
      <c r="E109" s="3" t="s">
        <v>124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124</v>
      </c>
      <c r="D110" s="3"/>
      <c r="E110" s="3" t="s">
        <v>124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124</v>
      </c>
      <c r="D111" s="3"/>
      <c r="E111" s="3" t="s">
        <v>124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104</v>
      </c>
      <c r="O111" s="3"/>
      <c r="P111" s="3"/>
      <c r="Q111" s="3">
        <v>0.622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124</v>
      </c>
      <c r="D112" s="3"/>
      <c r="E112" s="3" t="s">
        <v>124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126</v>
      </c>
      <c r="D113" s="3"/>
      <c r="E113" s="3" t="s">
        <v>126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108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126</v>
      </c>
      <c r="D114" s="3"/>
      <c r="E114" s="3" t="s">
        <v>126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187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126</v>
      </c>
      <c r="D115" s="3"/>
      <c r="E115" s="3" t="s">
        <v>126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101</v>
      </c>
      <c r="O115" s="3"/>
      <c r="P115" s="3"/>
      <c r="Q115" s="3">
        <v>0.31900000000000001</v>
      </c>
      <c r="R115" s="3" t="s">
        <v>102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126</v>
      </c>
      <c r="D116" s="3"/>
      <c r="E116" s="3" t="s">
        <v>126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188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126</v>
      </c>
      <c r="D117" s="3"/>
      <c r="E117" s="3" t="s">
        <v>126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103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126</v>
      </c>
      <c r="D118" s="3"/>
      <c r="E118" s="3" t="s">
        <v>126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126</v>
      </c>
      <c r="D119" s="3"/>
      <c r="E119" s="3" t="s">
        <v>126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186</v>
      </c>
      <c r="O119" s="3"/>
      <c r="P119" s="3"/>
      <c r="Q119" s="3">
        <v>0.1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126</v>
      </c>
      <c r="D120" s="3"/>
      <c r="E120" s="3" t="s">
        <v>126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189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126</v>
      </c>
      <c r="D121" s="3"/>
      <c r="E121" s="3" t="s">
        <v>126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126</v>
      </c>
      <c r="D122" s="3"/>
      <c r="E122" s="3" t="s">
        <v>126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126</v>
      </c>
      <c r="D123" s="3"/>
      <c r="E123" s="3" t="s">
        <v>126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104</v>
      </c>
      <c r="O123" s="3"/>
      <c r="P123" s="3"/>
      <c r="Q123" s="3">
        <v>0.70299999999999996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126</v>
      </c>
      <c r="D124" s="3"/>
      <c r="E124" s="3" t="s">
        <v>126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128</v>
      </c>
      <c r="D125" s="3"/>
      <c r="E125" s="3" t="s">
        <v>128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108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128</v>
      </c>
      <c r="D126" s="3"/>
      <c r="E126" s="3" t="s">
        <v>128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187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128</v>
      </c>
      <c r="D127" s="3"/>
      <c r="E127" s="3" t="s">
        <v>128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101</v>
      </c>
      <c r="O127" s="3"/>
      <c r="P127" s="3"/>
      <c r="Q127" s="3">
        <v>0.36499999999999999</v>
      </c>
      <c r="R127" s="3" t="s">
        <v>102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128</v>
      </c>
      <c r="D128" s="3"/>
      <c r="E128" s="3" t="s">
        <v>128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188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128</v>
      </c>
      <c r="D129" s="3"/>
      <c r="E129" s="3" t="s">
        <v>128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103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128</v>
      </c>
      <c r="D130" s="3"/>
      <c r="E130" s="3" t="s">
        <v>128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128</v>
      </c>
      <c r="D131" s="3"/>
      <c r="E131" s="3" t="s">
        <v>128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186</v>
      </c>
      <c r="O131" s="3"/>
      <c r="P131" s="3"/>
      <c r="Q131" s="3">
        <v>0.11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128</v>
      </c>
      <c r="D132" s="3"/>
      <c r="E132" s="3" t="s">
        <v>128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189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128</v>
      </c>
      <c r="D133" s="3"/>
      <c r="E133" s="3" t="s">
        <v>128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128</v>
      </c>
      <c r="D134" s="3"/>
      <c r="E134" s="3" t="s">
        <v>128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128</v>
      </c>
      <c r="D135" s="3"/>
      <c r="E135" s="3" t="s">
        <v>128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104</v>
      </c>
      <c r="O135" s="3"/>
      <c r="P135" s="3"/>
      <c r="Q135" s="3">
        <v>0.78400000000000003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128</v>
      </c>
      <c r="D136" s="3"/>
      <c r="E136" s="3" t="s">
        <v>128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129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130</v>
      </c>
      <c r="D137" s="3"/>
      <c r="E137" s="3" t="s">
        <v>130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108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130</v>
      </c>
      <c r="D138" s="3"/>
      <c r="E138" s="3" t="s">
        <v>130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187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130</v>
      </c>
      <c r="D139" s="3"/>
      <c r="E139" s="3" t="s">
        <v>130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101</v>
      </c>
      <c r="O139" s="3"/>
      <c r="P139" s="3"/>
      <c r="Q139" s="3">
        <v>0.45600000000000002</v>
      </c>
      <c r="R139" s="3" t="s">
        <v>102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130</v>
      </c>
      <c r="D140" s="3"/>
      <c r="E140" s="3" t="s">
        <v>130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188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130</v>
      </c>
      <c r="D141" s="3"/>
      <c r="E141" s="3" t="s">
        <v>130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103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130</v>
      </c>
      <c r="D142" s="3"/>
      <c r="E142" s="3" t="s">
        <v>130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130</v>
      </c>
      <c r="D143" s="3"/>
      <c r="E143" s="3" t="s">
        <v>130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186</v>
      </c>
      <c r="O143" s="3"/>
      <c r="P143" s="3"/>
      <c r="Q143" s="3">
        <v>0.13200000000000001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130</v>
      </c>
      <c r="D144" s="3"/>
      <c r="E144" s="3" t="s">
        <v>130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189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130</v>
      </c>
      <c r="D145" s="3"/>
      <c r="E145" s="3" t="s">
        <v>130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130</v>
      </c>
      <c r="D146" s="3"/>
      <c r="E146" s="3" t="s">
        <v>130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130</v>
      </c>
      <c r="D147" s="3"/>
      <c r="E147" s="3" t="s">
        <v>130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104</v>
      </c>
      <c r="O147" s="3"/>
      <c r="P147" s="3"/>
      <c r="Q147" s="3">
        <v>0.94599999999999995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130</v>
      </c>
      <c r="D148" s="3"/>
      <c r="E148" s="3" t="s">
        <v>130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108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187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101</v>
      </c>
      <c r="O151" s="3"/>
      <c r="P151" s="3"/>
      <c r="Q151" s="3">
        <v>0.501</v>
      </c>
      <c r="R151" s="3" t="s">
        <v>102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188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103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186</v>
      </c>
      <c r="O155" s="3"/>
      <c r="P155" s="3"/>
      <c r="Q155" s="3">
        <v>0.14199999999999999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189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104</v>
      </c>
      <c r="O159" s="3"/>
      <c r="P159" s="3"/>
      <c r="Q159" s="3">
        <v>1.0269999999999999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108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187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101</v>
      </c>
      <c r="O163" s="3"/>
      <c r="P163" s="3"/>
      <c r="Q163" s="3">
        <v>0.54700000000000004</v>
      </c>
      <c r="R163" s="3" t="s">
        <v>102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188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103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186</v>
      </c>
      <c r="O167" s="3"/>
      <c r="P167" s="3"/>
      <c r="Q167" s="3">
        <v>0.153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189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134</v>
      </c>
      <c r="D170" s="3"/>
      <c r="E170" s="3" t="s">
        <v>134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134</v>
      </c>
      <c r="D171" s="3"/>
      <c r="E171" s="3" t="s">
        <v>134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104</v>
      </c>
      <c r="O171" s="3"/>
      <c r="P171" s="3"/>
      <c r="Q171" s="3">
        <v>1.1080000000000001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134</v>
      </c>
      <c r="D172" s="3"/>
      <c r="E172" s="3" t="s">
        <v>134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108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136</v>
      </c>
      <c r="D174" s="3"/>
      <c r="E174" s="3" t="s">
        <v>136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187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136</v>
      </c>
      <c r="D175" s="3"/>
      <c r="E175" s="3" t="s">
        <v>136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101</v>
      </c>
      <c r="O175" s="3"/>
      <c r="P175" s="3"/>
      <c r="Q175" s="3">
        <v>0.23699999999999999</v>
      </c>
      <c r="R175" s="3" t="s">
        <v>102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136</v>
      </c>
      <c r="D176" s="3"/>
      <c r="E176" s="3" t="s">
        <v>136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188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136</v>
      </c>
      <c r="D177" s="3"/>
      <c r="E177" s="3" t="s">
        <v>136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103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136</v>
      </c>
      <c r="D178" s="3"/>
      <c r="E178" s="3" t="s">
        <v>136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136</v>
      </c>
      <c r="D179" s="3"/>
      <c r="E179" s="3" t="s">
        <v>136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186</v>
      </c>
      <c r="O179" s="3"/>
      <c r="P179" s="3"/>
      <c r="Q179" s="3">
        <v>7.8E-2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136</v>
      </c>
      <c r="D180" s="3"/>
      <c r="E180" s="3" t="s">
        <v>136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189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136</v>
      </c>
      <c r="D181" s="3"/>
      <c r="E181" s="3" t="s">
        <v>136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136</v>
      </c>
      <c r="D182" s="3"/>
      <c r="E182" s="3" t="s">
        <v>136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136</v>
      </c>
      <c r="D183" s="3"/>
      <c r="E183" s="3" t="s">
        <v>136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104</v>
      </c>
      <c r="O183" s="3"/>
      <c r="P183" s="3"/>
      <c r="Q183" s="3">
        <v>0.54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136</v>
      </c>
      <c r="D184" s="3"/>
      <c r="E184" s="3" t="s">
        <v>136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108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187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101</v>
      </c>
      <c r="O187" s="3"/>
      <c r="P187" s="3"/>
      <c r="Q187" s="3">
        <v>0.28399999999999997</v>
      </c>
      <c r="R187" s="3" t="s">
        <v>102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188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103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186</v>
      </c>
      <c r="O191" s="3"/>
      <c r="P191" s="3"/>
      <c r="Q191" s="3">
        <v>8.8999999999999996E-2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138</v>
      </c>
      <c r="D192" s="3"/>
      <c r="E192" s="3" t="s">
        <v>138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189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138</v>
      </c>
      <c r="D193" s="3"/>
      <c r="E193" s="3" t="s">
        <v>138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138</v>
      </c>
      <c r="D194" s="3"/>
      <c r="E194" s="3" t="s">
        <v>138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138</v>
      </c>
      <c r="D195" s="3"/>
      <c r="E195" s="3" t="s">
        <v>138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104</v>
      </c>
      <c r="O195" s="3"/>
      <c r="P195" s="3"/>
      <c r="Q195" s="3">
        <v>0.622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138</v>
      </c>
      <c r="D196" s="3"/>
      <c r="E196" s="3" t="s">
        <v>138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108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187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101</v>
      </c>
      <c r="O199" s="3"/>
      <c r="P199" s="3"/>
      <c r="Q199" s="3">
        <v>0.33200000000000002</v>
      </c>
      <c r="R199" s="3" t="s">
        <v>102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140</v>
      </c>
      <c r="D200" s="3"/>
      <c r="E200" s="3" t="s">
        <v>140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188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140</v>
      </c>
      <c r="D201" s="3"/>
      <c r="E201" s="3" t="s">
        <v>140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103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140</v>
      </c>
      <c r="D202" s="3"/>
      <c r="E202" s="3" t="s">
        <v>140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140</v>
      </c>
      <c r="D203" s="3"/>
      <c r="E203" s="3" t="s">
        <v>140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186</v>
      </c>
      <c r="O203" s="3"/>
      <c r="P203" s="3"/>
      <c r="Q203" s="3">
        <v>0.1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140</v>
      </c>
      <c r="D204" s="3"/>
      <c r="E204" s="3" t="s">
        <v>140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189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140</v>
      </c>
      <c r="D205" s="3"/>
      <c r="E205" s="3" t="s">
        <v>140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140</v>
      </c>
      <c r="D206" s="3"/>
      <c r="E206" s="3" t="s">
        <v>140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140</v>
      </c>
      <c r="D207" s="3"/>
      <c r="E207" s="3" t="s">
        <v>140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104</v>
      </c>
      <c r="O207" s="3"/>
      <c r="P207" s="3"/>
      <c r="Q207" s="3">
        <v>0.70299999999999996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140</v>
      </c>
      <c r="D208" s="3"/>
      <c r="E208" s="3" t="s">
        <v>140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108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187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101</v>
      </c>
      <c r="O211" s="3"/>
      <c r="P211" s="3"/>
      <c r="Q211" s="3">
        <v>0.379</v>
      </c>
      <c r="R211" s="3" t="s">
        <v>102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188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142</v>
      </c>
      <c r="D213" s="3"/>
      <c r="E213" s="3" t="s">
        <v>142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103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142</v>
      </c>
      <c r="D214" s="3"/>
      <c r="E214" s="3" t="s">
        <v>142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142</v>
      </c>
      <c r="D215" s="3"/>
      <c r="E215" s="3" t="s">
        <v>142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186</v>
      </c>
      <c r="O215" s="3"/>
      <c r="P215" s="3"/>
      <c r="Q215" s="3">
        <v>0.11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142</v>
      </c>
      <c r="D216" s="3"/>
      <c r="E216" s="3" t="s">
        <v>142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189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142</v>
      </c>
      <c r="D217" s="3"/>
      <c r="E217" s="3" t="s">
        <v>142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142</v>
      </c>
      <c r="D218" s="3"/>
      <c r="E218" s="3" t="s">
        <v>142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142</v>
      </c>
      <c r="D219" s="3"/>
      <c r="E219" s="3" t="s">
        <v>142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104</v>
      </c>
      <c r="O219" s="3"/>
      <c r="P219" s="3"/>
      <c r="Q219" s="3">
        <v>0.78400000000000003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142</v>
      </c>
      <c r="D220" s="3"/>
      <c r="E220" s="3" t="s">
        <v>142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108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187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101</v>
      </c>
      <c r="O223" s="3"/>
      <c r="P223" s="3"/>
      <c r="Q223" s="3">
        <v>0.47399999999999998</v>
      </c>
      <c r="R223" s="3" t="s">
        <v>102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188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103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144</v>
      </c>
      <c r="D226" s="3"/>
      <c r="E226" s="3" t="s">
        <v>144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144</v>
      </c>
      <c r="D227" s="3"/>
      <c r="E227" s="3" t="s">
        <v>144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186</v>
      </c>
      <c r="O227" s="3"/>
      <c r="P227" s="3"/>
      <c r="Q227" s="3">
        <v>0.13200000000000001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144</v>
      </c>
      <c r="D228" s="3"/>
      <c r="E228" s="3" t="s">
        <v>144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189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144</v>
      </c>
      <c r="D229" s="3"/>
      <c r="E229" s="3" t="s">
        <v>144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144</v>
      </c>
      <c r="D230" s="3"/>
      <c r="E230" s="3" t="s">
        <v>144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144</v>
      </c>
      <c r="D231" s="3"/>
      <c r="E231" s="3" t="s">
        <v>144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104</v>
      </c>
      <c r="O231" s="3"/>
      <c r="P231" s="3"/>
      <c r="Q231" s="3">
        <v>0.94599999999999995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144</v>
      </c>
      <c r="D232" s="3"/>
      <c r="E232" s="3" t="s">
        <v>144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108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187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101</v>
      </c>
      <c r="O235" s="3"/>
      <c r="P235" s="3"/>
      <c r="Q235" s="3">
        <v>0.52100000000000002</v>
      </c>
      <c r="R235" s="3" t="s">
        <v>102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188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103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146</v>
      </c>
      <c r="D239" s="3"/>
      <c r="E239" s="3" t="s">
        <v>146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186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146</v>
      </c>
      <c r="D240" s="3"/>
      <c r="E240" s="3" t="s">
        <v>146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189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146</v>
      </c>
      <c r="D241" s="3"/>
      <c r="E241" s="3" t="s">
        <v>146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146</v>
      </c>
      <c r="D242" s="3"/>
      <c r="E242" s="3" t="s">
        <v>146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146</v>
      </c>
      <c r="D243" s="3"/>
      <c r="E243" s="3" t="s">
        <v>146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104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146</v>
      </c>
      <c r="D244" s="3"/>
      <c r="E244" s="3" t="s">
        <v>146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108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187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101</v>
      </c>
      <c r="O247" s="3"/>
      <c r="P247" s="3"/>
      <c r="Q247" s="3">
        <v>0.56899999999999995</v>
      </c>
      <c r="R247" s="3" t="s">
        <v>102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188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103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186</v>
      </c>
      <c r="O251" s="3"/>
      <c r="P251" s="3"/>
      <c r="Q251" s="3">
        <v>0.153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148</v>
      </c>
      <c r="D252" s="3"/>
      <c r="E252" s="3" t="s">
        <v>148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189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148</v>
      </c>
      <c r="D253" s="3"/>
      <c r="E253" s="3" t="s">
        <v>148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148</v>
      </c>
      <c r="D254" s="3"/>
      <c r="E254" s="3" t="s">
        <v>148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148</v>
      </c>
      <c r="D255" s="3"/>
      <c r="E255" s="3" t="s">
        <v>148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104</v>
      </c>
      <c r="O255" s="3"/>
      <c r="P255" s="3"/>
      <c r="Q255" s="3">
        <v>1.1080000000000001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148</v>
      </c>
      <c r="D256" s="3"/>
      <c r="E256" s="3" t="s">
        <v>148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108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187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101</v>
      </c>
      <c r="O259" s="3"/>
      <c r="P259" s="3"/>
      <c r="Q259" s="3">
        <v>0.24299999999999999</v>
      </c>
      <c r="R259" s="3" t="s">
        <v>102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188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103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186</v>
      </c>
      <c r="O263" s="3"/>
      <c r="P263" s="3"/>
      <c r="Q263" s="3">
        <v>7.8E-2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189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150</v>
      </c>
      <c r="D265" s="3"/>
      <c r="E265" s="3" t="s">
        <v>150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150</v>
      </c>
      <c r="D266" s="3"/>
      <c r="E266" s="3" t="s">
        <v>150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150</v>
      </c>
      <c r="D267" s="3"/>
      <c r="E267" s="3" t="s">
        <v>150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104</v>
      </c>
      <c r="O267" s="3"/>
      <c r="P267" s="3"/>
      <c r="Q267" s="3">
        <v>1.216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150</v>
      </c>
      <c r="D268" s="3"/>
      <c r="E268" s="3" t="s">
        <v>150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108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187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101</v>
      </c>
      <c r="O271" s="3"/>
      <c r="P271" s="3"/>
      <c r="Q271" s="3">
        <v>0.29199999999999998</v>
      </c>
      <c r="R271" s="3" t="s">
        <v>102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188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103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186</v>
      </c>
      <c r="O275" s="3"/>
      <c r="P275" s="3"/>
      <c r="Q275" s="3">
        <v>8.8999999999999996E-2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189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152</v>
      </c>
      <c r="D278" s="3"/>
      <c r="E278" s="3" t="s">
        <v>152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152</v>
      </c>
      <c r="D279" s="3"/>
      <c r="E279" s="3" t="s">
        <v>152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104</v>
      </c>
      <c r="O279" s="3"/>
      <c r="P279" s="3"/>
      <c r="Q279" s="3">
        <v>1.216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153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108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187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101</v>
      </c>
      <c r="O283" s="3"/>
      <c r="P283" s="3"/>
      <c r="Q283" s="3">
        <v>0.34</v>
      </c>
      <c r="R283" s="3" t="s">
        <v>102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188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103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186</v>
      </c>
      <c r="O287" s="3"/>
      <c r="P287" s="3"/>
      <c r="Q287" s="3">
        <v>0.1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189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104</v>
      </c>
      <c r="O291" s="3"/>
      <c r="P291" s="3"/>
      <c r="Q291" s="3">
        <v>1.216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108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187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101</v>
      </c>
      <c r="O295" s="3"/>
      <c r="P295" s="3"/>
      <c r="Q295" s="3">
        <v>0.38900000000000001</v>
      </c>
      <c r="R295" s="3" t="s">
        <v>102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188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103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186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189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104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157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108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187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101</v>
      </c>
      <c r="O307" s="3"/>
      <c r="P307" s="3"/>
      <c r="Q307" s="3">
        <v>0.48599999999999999</v>
      </c>
      <c r="R307" s="3" t="s">
        <v>102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188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103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186</v>
      </c>
      <c r="O311" s="3"/>
      <c r="P311" s="3"/>
      <c r="Q311" s="3">
        <v>0.13200000000000001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189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104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159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108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187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101</v>
      </c>
      <c r="O319" s="3"/>
      <c r="P319" s="3"/>
      <c r="Q319" s="3">
        <v>0.53500000000000003</v>
      </c>
      <c r="R319" s="3" t="s">
        <v>102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188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103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186</v>
      </c>
      <c r="O323" s="3"/>
      <c r="P323" s="3"/>
      <c r="Q323" s="3">
        <v>0.14199999999999999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189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104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108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187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101</v>
      </c>
      <c r="O331" s="3"/>
      <c r="P331" s="3"/>
      <c r="Q331" s="3">
        <v>0.58299999999999996</v>
      </c>
      <c r="R331" s="3" t="s">
        <v>102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188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103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186</v>
      </c>
      <c r="O335" s="3"/>
      <c r="P335" s="3"/>
      <c r="Q335" s="3">
        <v>0.153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189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104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164</v>
      </c>
      <c r="D341" s="3"/>
      <c r="E341" s="3" t="s">
        <v>164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108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164</v>
      </c>
      <c r="D342" s="3"/>
      <c r="E342" s="3" t="s">
        <v>164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187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101</v>
      </c>
      <c r="O343" s="3"/>
      <c r="P343" s="3"/>
      <c r="Q343" s="3">
        <v>0.255</v>
      </c>
      <c r="R343" s="3" t="s">
        <v>102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188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103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186</v>
      </c>
      <c r="O347" s="3"/>
      <c r="P347" s="3"/>
      <c r="Q347" s="3">
        <v>7.8E-2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189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104</v>
      </c>
      <c r="O351" s="3"/>
      <c r="P351" s="3"/>
      <c r="Q351" s="3">
        <v>1.27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166</v>
      </c>
      <c r="D353" s="3"/>
      <c r="E353" s="3" t="s">
        <v>166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108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166</v>
      </c>
      <c r="D354" s="3"/>
      <c r="E354" s="3" t="s">
        <v>166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187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166</v>
      </c>
      <c r="D355" s="3"/>
      <c r="E355" s="3" t="s">
        <v>166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101</v>
      </c>
      <c r="O355" s="3"/>
      <c r="P355" s="3"/>
      <c r="Q355" s="3">
        <v>0.30599999999999999</v>
      </c>
      <c r="R355" s="3" t="s">
        <v>102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188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103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186</v>
      </c>
      <c r="O359" s="3"/>
      <c r="P359" s="3"/>
      <c r="Q359" s="3">
        <v>8.8999999999999996E-2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189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104</v>
      </c>
      <c r="O363" s="3"/>
      <c r="P363" s="3"/>
      <c r="Q363" s="3">
        <v>1.27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168</v>
      </c>
      <c r="D365" s="3"/>
      <c r="E365" s="3" t="s">
        <v>168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108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168</v>
      </c>
      <c r="D366" s="3"/>
      <c r="E366" s="3" t="s">
        <v>168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187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168</v>
      </c>
      <c r="D367" s="3"/>
      <c r="E367" s="3" t="s">
        <v>168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101</v>
      </c>
      <c r="O367" s="3"/>
      <c r="P367" s="3"/>
      <c r="Q367" s="3">
        <v>0.35699999999999998</v>
      </c>
      <c r="R367" s="3" t="s">
        <v>102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188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103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186</v>
      </c>
      <c r="O371" s="3"/>
      <c r="P371" s="3"/>
      <c r="Q371" s="3">
        <v>0.1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189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104</v>
      </c>
      <c r="O375" s="3"/>
      <c r="P375" s="3"/>
      <c r="Q375" s="3">
        <v>1.27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170</v>
      </c>
      <c r="D377" s="3"/>
      <c r="E377" s="3" t="s">
        <v>170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108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170</v>
      </c>
      <c r="D378" s="3"/>
      <c r="E378" s="3" t="s">
        <v>170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187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101</v>
      </c>
      <c r="O379" s="3"/>
      <c r="P379" s="3"/>
      <c r="Q379" s="3">
        <v>0.40799999999999997</v>
      </c>
      <c r="R379" s="3" t="s">
        <v>102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188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103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186</v>
      </c>
      <c r="O383" s="3"/>
      <c r="P383" s="3"/>
      <c r="Q383" s="3">
        <v>0.11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189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104</v>
      </c>
      <c r="O387" s="3"/>
      <c r="P387" s="3"/>
      <c r="Q387" s="3">
        <v>1.27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172</v>
      </c>
      <c r="D389" s="3"/>
      <c r="E389" s="3" t="s">
        <v>172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108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187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101</v>
      </c>
      <c r="O391" s="3"/>
      <c r="P391" s="3"/>
      <c r="Q391" s="3">
        <v>0.51</v>
      </c>
      <c r="R391" s="3" t="s">
        <v>102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188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103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186</v>
      </c>
      <c r="O395" s="3"/>
      <c r="P395" s="3"/>
      <c r="Q395" s="3">
        <v>0.13200000000000001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189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104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108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187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101</v>
      </c>
      <c r="O403" s="3"/>
      <c r="P403" s="3"/>
      <c r="Q403" s="3">
        <v>0.56100000000000005</v>
      </c>
      <c r="R403" s="3" t="s">
        <v>102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188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103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186</v>
      </c>
      <c r="O407" s="3"/>
      <c r="P407" s="3"/>
      <c r="Q407" s="3">
        <v>0.14199999999999999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189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104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108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187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101</v>
      </c>
      <c r="O415" s="3"/>
      <c r="P415" s="3"/>
      <c r="Q415" s="3">
        <v>0.61199999999999999</v>
      </c>
      <c r="R415" s="3" t="s">
        <v>102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188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103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186</v>
      </c>
      <c r="O419" s="3"/>
      <c r="P419" s="3"/>
      <c r="Q419" s="3">
        <v>0.153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189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104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190</v>
      </c>
      <c r="D425" s="3"/>
      <c r="E425" s="3" t="s">
        <v>190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108</v>
      </c>
      <c r="O425" s="3"/>
      <c r="P425" s="3"/>
      <c r="Q425" s="3">
        <v>0.86399999999999999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190</v>
      </c>
      <c r="D426" s="3"/>
      <c r="E426" s="3" t="s">
        <v>190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187</v>
      </c>
      <c r="O426" s="3"/>
      <c r="P426" s="3"/>
      <c r="Q426" s="3">
        <v>0.86399999999999999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190</v>
      </c>
      <c r="D427" s="3"/>
      <c r="E427" s="3" t="s">
        <v>190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101</v>
      </c>
      <c r="O427" s="3"/>
      <c r="P427" s="3"/>
      <c r="Q427" s="3">
        <v>0.24099999999999999</v>
      </c>
      <c r="R427" s="3" t="s">
        <v>102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190</v>
      </c>
      <c r="D428" s="3"/>
      <c r="E428" s="3" t="s">
        <v>190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188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190</v>
      </c>
      <c r="D429" s="3"/>
      <c r="E429" s="3" t="s">
        <v>190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103</v>
      </c>
      <c r="O429" s="3"/>
      <c r="P429" s="3"/>
      <c r="Q429" s="3">
        <v>10.77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190</v>
      </c>
      <c r="D430" s="3"/>
      <c r="E430" s="3" t="s">
        <v>190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66.858000000000004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190</v>
      </c>
      <c r="D431" s="3"/>
      <c r="E431" s="3" t="s">
        <v>190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186</v>
      </c>
      <c r="O431" s="3"/>
      <c r="P431" s="3"/>
      <c r="Q431" s="3">
        <v>8.4000000000000005E-2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190</v>
      </c>
      <c r="D432" s="3"/>
      <c r="E432" s="3" t="s">
        <v>190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189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190</v>
      </c>
      <c r="D433" s="3"/>
      <c r="E433" s="3" t="s">
        <v>190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104</v>
      </c>
      <c r="O435" s="3"/>
      <c r="P435" s="3"/>
      <c r="Q435" s="3">
        <v>0.58099999999999996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192</v>
      </c>
      <c r="D437" s="3"/>
      <c r="E437" s="3" t="s">
        <v>192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108</v>
      </c>
      <c r="O437" s="3"/>
      <c r="P437" s="3"/>
      <c r="Q437" s="3">
        <v>1.016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192</v>
      </c>
      <c r="D438" s="3"/>
      <c r="E438" s="3" t="s">
        <v>192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187</v>
      </c>
      <c r="O438" s="3"/>
      <c r="P438" s="3"/>
      <c r="Q438" s="3">
        <v>1.016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192</v>
      </c>
      <c r="D439" s="3"/>
      <c r="E439" s="3" t="s">
        <v>192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101</v>
      </c>
      <c r="O439" s="3"/>
      <c r="P439" s="3"/>
      <c r="Q439" s="3">
        <v>0.28399999999999997</v>
      </c>
      <c r="R439" s="3" t="s">
        <v>102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192</v>
      </c>
      <c r="D440" s="3"/>
      <c r="E440" s="3" t="s">
        <v>192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188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192</v>
      </c>
      <c r="D441" s="3"/>
      <c r="E441" s="3" t="s">
        <v>192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103</v>
      </c>
      <c r="O441" s="3"/>
      <c r="P441" s="3"/>
      <c r="Q441" s="3">
        <v>11.379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192</v>
      </c>
      <c r="D442" s="3"/>
      <c r="E442" s="3" t="s">
        <v>192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70.606999999999999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192</v>
      </c>
      <c r="D443" s="3"/>
      <c r="E443" s="3" t="s">
        <v>192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186</v>
      </c>
      <c r="O443" s="3"/>
      <c r="P443" s="3"/>
      <c r="Q443" s="3">
        <v>9.4E-2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192</v>
      </c>
      <c r="D444" s="3"/>
      <c r="E444" s="3" t="s">
        <v>192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189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192</v>
      </c>
      <c r="D445" s="3"/>
      <c r="E445" s="3" t="s">
        <v>192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192</v>
      </c>
      <c r="D446" s="3"/>
      <c r="E446" s="3" t="s">
        <v>192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192</v>
      </c>
      <c r="D447" s="3"/>
      <c r="E447" s="3" t="s">
        <v>192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104</v>
      </c>
      <c r="O447" s="3"/>
      <c r="P447" s="3"/>
      <c r="Q447" s="3">
        <v>0.66200000000000003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192</v>
      </c>
      <c r="D448" s="3"/>
      <c r="E448" s="3" t="s">
        <v>192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194</v>
      </c>
      <c r="D449" s="3"/>
      <c r="E449" s="3" t="s">
        <v>194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108</v>
      </c>
      <c r="O449" s="3"/>
      <c r="P449" s="3"/>
      <c r="Q449" s="3">
        <v>1.1679999999999999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194</v>
      </c>
      <c r="D450" s="3"/>
      <c r="E450" s="3" t="s">
        <v>194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187</v>
      </c>
      <c r="O450" s="3"/>
      <c r="P450" s="3"/>
      <c r="Q450" s="3">
        <v>1.1679999999999999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194</v>
      </c>
      <c r="D451" s="3"/>
      <c r="E451" s="3" t="s">
        <v>194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101</v>
      </c>
      <c r="O451" s="3"/>
      <c r="P451" s="3"/>
      <c r="Q451" s="3">
        <v>0.32800000000000001</v>
      </c>
      <c r="R451" s="3" t="s">
        <v>102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194</v>
      </c>
      <c r="D452" s="3"/>
      <c r="E452" s="3" t="s">
        <v>194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188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194</v>
      </c>
      <c r="D453" s="3"/>
      <c r="E453" s="3" t="s">
        <v>194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103</v>
      </c>
      <c r="O453" s="3"/>
      <c r="P453" s="3"/>
      <c r="Q453" s="3">
        <v>11.989000000000001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194</v>
      </c>
      <c r="D454" s="3"/>
      <c r="E454" s="3" t="s">
        <v>194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74.355999999999995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194</v>
      </c>
      <c r="D455" s="3"/>
      <c r="E455" s="3" t="s">
        <v>194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186</v>
      </c>
      <c r="O455" s="3"/>
      <c r="P455" s="3"/>
      <c r="Q455" s="3">
        <v>0.105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189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104</v>
      </c>
      <c r="O459" s="3"/>
      <c r="P459" s="3"/>
      <c r="Q459" s="3">
        <v>0.74299999999999999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196</v>
      </c>
      <c r="D461" s="3"/>
      <c r="E461" s="3" t="s">
        <v>196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108</v>
      </c>
      <c r="O461" s="3"/>
      <c r="P461" s="3"/>
      <c r="Q461" s="3">
        <v>1.321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196</v>
      </c>
      <c r="D462" s="3"/>
      <c r="E462" s="3" t="s">
        <v>196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187</v>
      </c>
      <c r="O462" s="3"/>
      <c r="P462" s="3"/>
      <c r="Q462" s="3">
        <v>1.321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196</v>
      </c>
      <c r="D463" s="3"/>
      <c r="E463" s="3" t="s">
        <v>196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101</v>
      </c>
      <c r="O463" s="3"/>
      <c r="P463" s="3"/>
      <c r="Q463" s="3">
        <v>0.372</v>
      </c>
      <c r="R463" s="3" t="s">
        <v>102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196</v>
      </c>
      <c r="D464" s="3"/>
      <c r="E464" s="3" t="s">
        <v>196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188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196</v>
      </c>
      <c r="D465" s="3"/>
      <c r="E465" s="3" t="s">
        <v>196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103</v>
      </c>
      <c r="O465" s="3"/>
      <c r="P465" s="3"/>
      <c r="Q465" s="3">
        <v>12.598000000000001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196</v>
      </c>
      <c r="D466" s="3"/>
      <c r="E466" s="3" t="s">
        <v>196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78.105000000000004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186</v>
      </c>
      <c r="O467" s="3"/>
      <c r="P467" s="3"/>
      <c r="Q467" s="3">
        <v>0.11600000000000001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189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104</v>
      </c>
      <c r="O471" s="3"/>
      <c r="P471" s="3"/>
      <c r="Q471" s="3">
        <v>0.82399999999999995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198</v>
      </c>
      <c r="D473" s="3"/>
      <c r="E473" s="3" t="s">
        <v>198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108</v>
      </c>
      <c r="O473" s="3"/>
      <c r="P473" s="3"/>
      <c r="Q473" s="3">
        <v>1.397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198</v>
      </c>
      <c r="D474" s="3"/>
      <c r="E474" s="3" t="s">
        <v>198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187</v>
      </c>
      <c r="O474" s="3"/>
      <c r="P474" s="3"/>
      <c r="Q474" s="3">
        <v>1.397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198</v>
      </c>
      <c r="D475" s="3"/>
      <c r="E475" s="3" t="s">
        <v>198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101</v>
      </c>
      <c r="O475" s="3"/>
      <c r="P475" s="3"/>
      <c r="Q475" s="3">
        <v>0.39400000000000002</v>
      </c>
      <c r="R475" s="3" t="s">
        <v>102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198</v>
      </c>
      <c r="D476" s="3"/>
      <c r="E476" s="3" t="s">
        <v>198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188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198</v>
      </c>
      <c r="D477" s="3"/>
      <c r="E477" s="3" t="s">
        <v>198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103</v>
      </c>
      <c r="O477" s="3"/>
      <c r="P477" s="3"/>
      <c r="Q477" s="3">
        <v>12.903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198</v>
      </c>
      <c r="D478" s="3"/>
      <c r="E478" s="3" t="s">
        <v>198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79.98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198</v>
      </c>
      <c r="D479" s="3"/>
      <c r="E479" s="3" t="s">
        <v>198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186</v>
      </c>
      <c r="O479" s="3"/>
      <c r="P479" s="3"/>
      <c r="Q479" s="3">
        <v>0.121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198</v>
      </c>
      <c r="D480" s="3"/>
      <c r="E480" s="3" t="s">
        <v>198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189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198</v>
      </c>
      <c r="D481" s="3"/>
      <c r="E481" s="3" t="s">
        <v>198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198</v>
      </c>
      <c r="D482" s="3"/>
      <c r="E482" s="3" t="s">
        <v>198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198</v>
      </c>
      <c r="D483" s="3"/>
      <c r="E483" s="3" t="s">
        <v>198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104</v>
      </c>
      <c r="O483" s="3"/>
      <c r="P483" s="3"/>
      <c r="Q483" s="3">
        <v>0.86499999999999999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198</v>
      </c>
      <c r="D484" s="3"/>
      <c r="E484" s="3" t="s">
        <v>198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200</v>
      </c>
      <c r="D485" s="3"/>
      <c r="E485" s="3" t="s">
        <v>200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108</v>
      </c>
      <c r="O485" s="3"/>
      <c r="P485" s="3"/>
      <c r="Q485" s="3">
        <v>1.4730000000000001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200</v>
      </c>
      <c r="D486" s="3"/>
      <c r="E486" s="3" t="s">
        <v>200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187</v>
      </c>
      <c r="O486" s="3"/>
      <c r="P486" s="3"/>
      <c r="Q486" s="3">
        <v>1.4730000000000001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200</v>
      </c>
      <c r="D487" s="3"/>
      <c r="E487" s="3" t="s">
        <v>200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101</v>
      </c>
      <c r="O487" s="3"/>
      <c r="P487" s="3"/>
      <c r="Q487" s="3">
        <v>0.41599999999999998</v>
      </c>
      <c r="R487" s="3" t="s">
        <v>102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200</v>
      </c>
      <c r="D488" s="3"/>
      <c r="E488" s="3" t="s">
        <v>200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188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103</v>
      </c>
      <c r="O489" s="3"/>
      <c r="P489" s="3"/>
      <c r="Q489" s="3">
        <v>13.208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81.853999999999999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186</v>
      </c>
      <c r="O491" s="3"/>
      <c r="P491" s="3"/>
      <c r="Q491" s="3">
        <v>0.126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189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104</v>
      </c>
      <c r="O495" s="3"/>
      <c r="P495" s="3"/>
      <c r="Q495" s="3">
        <v>0.90500000000000003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201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202</v>
      </c>
      <c r="D497" s="3"/>
      <c r="E497" s="3" t="s">
        <v>202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108</v>
      </c>
      <c r="O497" s="3"/>
      <c r="P497" s="3"/>
      <c r="Q497" s="3">
        <v>1.6259999999999999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202</v>
      </c>
      <c r="D498" s="3"/>
      <c r="E498" s="3" t="s">
        <v>202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187</v>
      </c>
      <c r="O498" s="3"/>
      <c r="P498" s="3"/>
      <c r="Q498" s="3">
        <v>1.6259999999999999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202</v>
      </c>
      <c r="D499" s="3"/>
      <c r="E499" s="3" t="s">
        <v>202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101</v>
      </c>
      <c r="O499" s="3"/>
      <c r="P499" s="3"/>
      <c r="Q499" s="3">
        <v>0.45900000000000002</v>
      </c>
      <c r="R499" s="3" t="s">
        <v>102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202</v>
      </c>
      <c r="D500" s="3"/>
      <c r="E500" s="3" t="s">
        <v>202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188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202</v>
      </c>
      <c r="D501" s="3"/>
      <c r="E501" s="3" t="s">
        <v>202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103</v>
      </c>
      <c r="O501" s="3"/>
      <c r="P501" s="3"/>
      <c r="Q501" s="3">
        <v>13.818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202</v>
      </c>
      <c r="D502" s="3"/>
      <c r="E502" s="3" t="s">
        <v>202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85.602999999999994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202</v>
      </c>
      <c r="D503" s="3"/>
      <c r="E503" s="3" t="s">
        <v>202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186</v>
      </c>
      <c r="O503" s="3"/>
      <c r="P503" s="3"/>
      <c r="Q503" s="3">
        <v>0.13700000000000001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202</v>
      </c>
      <c r="D504" s="3"/>
      <c r="E504" s="3" t="s">
        <v>202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189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202</v>
      </c>
      <c r="D505" s="3"/>
      <c r="E505" s="3" t="s">
        <v>202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202</v>
      </c>
      <c r="D506" s="3"/>
      <c r="E506" s="3" t="s">
        <v>202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202</v>
      </c>
      <c r="D507" s="3"/>
      <c r="E507" s="3" t="s">
        <v>202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104</v>
      </c>
      <c r="O507" s="3"/>
      <c r="P507" s="3"/>
      <c r="Q507" s="3">
        <v>0.98599999999999999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202</v>
      </c>
      <c r="D508" s="3"/>
      <c r="E508" s="3" t="s">
        <v>202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203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204</v>
      </c>
      <c r="D509" s="3"/>
      <c r="E509" s="3" t="s">
        <v>204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108</v>
      </c>
      <c r="O509" s="3"/>
      <c r="P509" s="3"/>
      <c r="Q509" s="3">
        <v>1.778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204</v>
      </c>
      <c r="D510" s="3"/>
      <c r="E510" s="3" t="s">
        <v>204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187</v>
      </c>
      <c r="O510" s="3"/>
      <c r="P510" s="3"/>
      <c r="Q510" s="3">
        <v>1.778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204</v>
      </c>
      <c r="D511" s="3"/>
      <c r="E511" s="3" t="s">
        <v>204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101</v>
      </c>
      <c r="O511" s="3"/>
      <c r="P511" s="3"/>
      <c r="Q511" s="3">
        <v>0.503</v>
      </c>
      <c r="R511" s="3" t="s">
        <v>102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204</v>
      </c>
      <c r="D512" s="3"/>
      <c r="E512" s="3" t="s">
        <v>204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188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204</v>
      </c>
      <c r="D513" s="3"/>
      <c r="E513" s="3" t="s">
        <v>204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103</v>
      </c>
      <c r="O513" s="3"/>
      <c r="P513" s="3"/>
      <c r="Q513" s="3">
        <v>14.427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204</v>
      </c>
      <c r="D514" s="3"/>
      <c r="E514" s="3" t="s">
        <v>204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89.352000000000004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204</v>
      </c>
      <c r="D515" s="3"/>
      <c r="E515" s="3" t="s">
        <v>204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186</v>
      </c>
      <c r="O515" s="3"/>
      <c r="P515" s="3"/>
      <c r="Q515" s="3">
        <v>0.14799999999999999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204</v>
      </c>
      <c r="D516" s="3"/>
      <c r="E516" s="3" t="s">
        <v>204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189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204</v>
      </c>
      <c r="D517" s="3"/>
      <c r="E517" s="3" t="s">
        <v>204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204</v>
      </c>
      <c r="D518" s="3"/>
      <c r="E518" s="3" t="s">
        <v>204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204</v>
      </c>
      <c r="D519" s="3"/>
      <c r="E519" s="3" t="s">
        <v>204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104</v>
      </c>
      <c r="O519" s="3"/>
      <c r="P519" s="3"/>
      <c r="Q519" s="3">
        <v>1.0669999999999999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204</v>
      </c>
      <c r="D520" s="3"/>
      <c r="E520" s="3" t="s">
        <v>204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205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206</v>
      </c>
      <c r="D521" s="3"/>
      <c r="E521" s="3" t="s">
        <v>206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108</v>
      </c>
      <c r="O521" s="3"/>
      <c r="P521" s="3"/>
      <c r="Q521" s="3">
        <v>0.86399999999999999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187</v>
      </c>
      <c r="O522" s="3"/>
      <c r="P522" s="3"/>
      <c r="Q522" s="3">
        <v>0.86399999999999999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101</v>
      </c>
      <c r="O523" s="3"/>
      <c r="P523" s="3"/>
      <c r="Q523" s="3">
        <v>0.251</v>
      </c>
      <c r="R523" s="3" t="s">
        <v>102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188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103</v>
      </c>
      <c r="O525" s="3"/>
      <c r="P525" s="3"/>
      <c r="Q525" s="3">
        <v>11.074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68.731999999999999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186</v>
      </c>
      <c r="O527" s="3"/>
      <c r="P527" s="3"/>
      <c r="Q527" s="3">
        <v>8.4000000000000005E-2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189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104</v>
      </c>
      <c r="O531" s="3"/>
      <c r="P531" s="3"/>
      <c r="Q531" s="3">
        <v>0.58099999999999996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208</v>
      </c>
      <c r="D533" s="3"/>
      <c r="E533" s="3" t="s">
        <v>208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108</v>
      </c>
      <c r="O533" s="3"/>
      <c r="P533" s="3"/>
      <c r="Q533" s="3">
        <v>1.016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208</v>
      </c>
      <c r="D534" s="3"/>
      <c r="E534" s="3" t="s">
        <v>208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187</v>
      </c>
      <c r="O534" s="3"/>
      <c r="P534" s="3"/>
      <c r="Q534" s="3">
        <v>1.016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208</v>
      </c>
      <c r="D535" s="3"/>
      <c r="E535" s="3" t="s">
        <v>208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101</v>
      </c>
      <c r="O535" s="3"/>
      <c r="P535" s="3"/>
      <c r="Q535" s="3">
        <v>0.29599999999999999</v>
      </c>
      <c r="R535" s="3" t="s">
        <v>102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208</v>
      </c>
      <c r="D536" s="3"/>
      <c r="E536" s="3" t="s">
        <v>208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188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208</v>
      </c>
      <c r="D537" s="3"/>
      <c r="E537" s="3" t="s">
        <v>208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103</v>
      </c>
      <c r="O537" s="3"/>
      <c r="P537" s="3"/>
      <c r="Q537" s="3">
        <v>11.683999999999999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208</v>
      </c>
      <c r="D538" s="3"/>
      <c r="E538" s="3" t="s">
        <v>208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72.480999999999995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208</v>
      </c>
      <c r="D539" s="3"/>
      <c r="E539" s="3" t="s">
        <v>208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186</v>
      </c>
      <c r="O539" s="3"/>
      <c r="P539" s="3"/>
      <c r="Q539" s="3">
        <v>9.4E-2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208</v>
      </c>
      <c r="D540" s="3"/>
      <c r="E540" s="3" t="s">
        <v>208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189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208</v>
      </c>
      <c r="D541" s="3"/>
      <c r="E541" s="3" t="s">
        <v>208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208</v>
      </c>
      <c r="D542" s="3"/>
      <c r="E542" s="3" t="s">
        <v>208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208</v>
      </c>
      <c r="D543" s="3"/>
      <c r="E543" s="3" t="s">
        <v>208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104</v>
      </c>
      <c r="O543" s="3"/>
      <c r="P543" s="3"/>
      <c r="Q543" s="3">
        <v>0.66200000000000003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208</v>
      </c>
      <c r="D544" s="3"/>
      <c r="E544" s="3" t="s">
        <v>208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108</v>
      </c>
      <c r="O545" s="3"/>
      <c r="P545" s="3"/>
      <c r="Q545" s="3">
        <v>1.1679999999999999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187</v>
      </c>
      <c r="O546" s="3"/>
      <c r="P546" s="3"/>
      <c r="Q546" s="3">
        <v>1.1679999999999999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101</v>
      </c>
      <c r="O547" s="3"/>
      <c r="P547" s="3"/>
      <c r="Q547" s="3">
        <v>0.34200000000000003</v>
      </c>
      <c r="R547" s="3" t="s">
        <v>102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188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103</v>
      </c>
      <c r="O549" s="3"/>
      <c r="P549" s="3"/>
      <c r="Q549" s="3">
        <v>12.294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76.23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186</v>
      </c>
      <c r="O551" s="3"/>
      <c r="P551" s="3"/>
      <c r="Q551" s="3">
        <v>0.105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189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210</v>
      </c>
      <c r="D555" s="3"/>
      <c r="E555" s="3" t="s">
        <v>210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104</v>
      </c>
      <c r="O555" s="3"/>
      <c r="P555" s="3"/>
      <c r="Q555" s="3">
        <v>0.74299999999999999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210</v>
      </c>
      <c r="D556" s="3"/>
      <c r="E556" s="3" t="s">
        <v>210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211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108</v>
      </c>
      <c r="O557" s="3"/>
      <c r="P557" s="3"/>
      <c r="Q557" s="3">
        <v>1.321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187</v>
      </c>
      <c r="O558" s="3"/>
      <c r="P558" s="3"/>
      <c r="Q558" s="3">
        <v>1.321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101</v>
      </c>
      <c r="O559" s="3"/>
      <c r="P559" s="3"/>
      <c r="Q559" s="3">
        <v>0.38700000000000001</v>
      </c>
      <c r="R559" s="3" t="s">
        <v>102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188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103</v>
      </c>
      <c r="O561" s="3"/>
      <c r="P561" s="3"/>
      <c r="Q561" s="3">
        <v>12.903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79.98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186</v>
      </c>
      <c r="O563" s="3"/>
      <c r="P563" s="3"/>
      <c r="Q563" s="3">
        <v>0.11600000000000001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189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212</v>
      </c>
      <c r="D566" s="3"/>
      <c r="E566" s="3" t="s">
        <v>212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212</v>
      </c>
      <c r="D567" s="3"/>
      <c r="E567" s="3" t="s">
        <v>212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104</v>
      </c>
      <c r="O567" s="3"/>
      <c r="P567" s="3"/>
      <c r="Q567" s="3">
        <v>0.82399999999999995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212</v>
      </c>
      <c r="D568" s="3"/>
      <c r="E568" s="3" t="s">
        <v>212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214</v>
      </c>
      <c r="D569" s="3"/>
      <c r="E569" s="3" t="s">
        <v>214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108</v>
      </c>
      <c r="O569" s="3"/>
      <c r="P569" s="3"/>
      <c r="Q569" s="3">
        <v>1.397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214</v>
      </c>
      <c r="D570" s="3"/>
      <c r="E570" s="3" t="s">
        <v>214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187</v>
      </c>
      <c r="O570" s="3"/>
      <c r="P570" s="3"/>
      <c r="Q570" s="3">
        <v>1.397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214</v>
      </c>
      <c r="D571" s="3"/>
      <c r="E571" s="3" t="s">
        <v>214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101</v>
      </c>
      <c r="O571" s="3"/>
      <c r="P571" s="3"/>
      <c r="Q571" s="3">
        <v>0.41</v>
      </c>
      <c r="R571" s="3" t="s">
        <v>102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214</v>
      </c>
      <c r="D572" s="3"/>
      <c r="E572" s="3" t="s">
        <v>214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188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214</v>
      </c>
      <c r="D573" s="3"/>
      <c r="E573" s="3" t="s">
        <v>214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103</v>
      </c>
      <c r="O573" s="3"/>
      <c r="P573" s="3"/>
      <c r="Q573" s="3">
        <v>13.208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214</v>
      </c>
      <c r="D574" s="3"/>
      <c r="E574" s="3" t="s">
        <v>214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81.853999999999999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214</v>
      </c>
      <c r="D575" s="3"/>
      <c r="E575" s="3" t="s">
        <v>214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186</v>
      </c>
      <c r="O575" s="3"/>
      <c r="P575" s="3"/>
      <c r="Q575" s="3">
        <v>0.121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214</v>
      </c>
      <c r="D576" s="3"/>
      <c r="E576" s="3" t="s">
        <v>214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189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214</v>
      </c>
      <c r="D577" s="3"/>
      <c r="E577" s="3" t="s">
        <v>214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214</v>
      </c>
      <c r="D578" s="3"/>
      <c r="E578" s="3" t="s">
        <v>214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214</v>
      </c>
      <c r="D579" s="3"/>
      <c r="E579" s="3" t="s">
        <v>214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104</v>
      </c>
      <c r="O579" s="3"/>
      <c r="P579" s="3"/>
      <c r="Q579" s="3">
        <v>0.86499999999999999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214</v>
      </c>
      <c r="D580" s="3"/>
      <c r="E580" s="3" t="s">
        <v>214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215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216</v>
      </c>
      <c r="D581" s="3"/>
      <c r="E581" s="3" t="s">
        <v>216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108</v>
      </c>
      <c r="O581" s="3"/>
      <c r="P581" s="3"/>
      <c r="Q581" s="3">
        <v>1.4730000000000001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216</v>
      </c>
      <c r="D582" s="3"/>
      <c r="E582" s="3" t="s">
        <v>216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187</v>
      </c>
      <c r="O582" s="3"/>
      <c r="P582" s="3"/>
      <c r="Q582" s="3">
        <v>1.4730000000000001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216</v>
      </c>
      <c r="D583" s="3"/>
      <c r="E583" s="3" t="s">
        <v>216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101</v>
      </c>
      <c r="O583" s="3"/>
      <c r="P583" s="3"/>
      <c r="Q583" s="3">
        <v>0.433</v>
      </c>
      <c r="R583" s="3" t="s">
        <v>102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216</v>
      </c>
      <c r="D584" s="3"/>
      <c r="E584" s="3" t="s">
        <v>216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188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216</v>
      </c>
      <c r="D585" s="3"/>
      <c r="E585" s="3" t="s">
        <v>216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103</v>
      </c>
      <c r="O585" s="3"/>
      <c r="P585" s="3"/>
      <c r="Q585" s="3">
        <v>13.513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216</v>
      </c>
      <c r="D586" s="3"/>
      <c r="E586" s="3" t="s">
        <v>216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83.728999999999999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216</v>
      </c>
      <c r="D587" s="3"/>
      <c r="E587" s="3" t="s">
        <v>216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186</v>
      </c>
      <c r="O587" s="3"/>
      <c r="P587" s="3"/>
      <c r="Q587" s="3">
        <v>0.126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216</v>
      </c>
      <c r="D588" s="3"/>
      <c r="E588" s="3" t="s">
        <v>216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189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216</v>
      </c>
      <c r="D589" s="3"/>
      <c r="E589" s="3" t="s">
        <v>216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216</v>
      </c>
      <c r="D590" s="3"/>
      <c r="E590" s="3" t="s">
        <v>216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216</v>
      </c>
      <c r="D591" s="3"/>
      <c r="E591" s="3" t="s">
        <v>216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104</v>
      </c>
      <c r="O591" s="3"/>
      <c r="P591" s="3"/>
      <c r="Q591" s="3">
        <v>0.90500000000000003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216</v>
      </c>
      <c r="D592" s="3"/>
      <c r="E592" s="3" t="s">
        <v>216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217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218</v>
      </c>
      <c r="D593" s="3"/>
      <c r="E593" s="3" t="s">
        <v>218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108</v>
      </c>
      <c r="O593" s="3"/>
      <c r="P593" s="3"/>
      <c r="Q593" s="3">
        <v>1.6259999999999999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187</v>
      </c>
      <c r="O594" s="3"/>
      <c r="P594" s="3"/>
      <c r="Q594" s="3">
        <v>1.6259999999999999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101</v>
      </c>
      <c r="O595" s="3"/>
      <c r="P595" s="3"/>
      <c r="Q595" s="3">
        <v>0.47799999999999998</v>
      </c>
      <c r="R595" s="3" t="s">
        <v>102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188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103</v>
      </c>
      <c r="O597" s="3"/>
      <c r="P597" s="3"/>
      <c r="Q597" s="3">
        <v>14.122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87.477999999999994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218</v>
      </c>
      <c r="D599" s="3"/>
      <c r="E599" s="3" t="s">
        <v>218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186</v>
      </c>
      <c r="O599" s="3"/>
      <c r="P599" s="3"/>
      <c r="Q599" s="3">
        <v>0.13700000000000001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218</v>
      </c>
      <c r="D600" s="3"/>
      <c r="E600" s="3" t="s">
        <v>218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189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218</v>
      </c>
      <c r="D601" s="3"/>
      <c r="E601" s="3" t="s">
        <v>218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218</v>
      </c>
      <c r="D602" s="3"/>
      <c r="E602" s="3" t="s">
        <v>218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218</v>
      </c>
      <c r="D603" s="3"/>
      <c r="E603" s="3" t="s">
        <v>218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104</v>
      </c>
      <c r="O603" s="3"/>
      <c r="P603" s="3"/>
      <c r="Q603" s="3">
        <v>0.98599999999999999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218</v>
      </c>
      <c r="D604" s="3"/>
      <c r="E604" s="3" t="s">
        <v>218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219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220</v>
      </c>
      <c r="D605" s="3"/>
      <c r="E605" s="3" t="s">
        <v>220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108</v>
      </c>
      <c r="O605" s="3"/>
      <c r="P605" s="3"/>
      <c r="Q605" s="3">
        <v>1.778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220</v>
      </c>
      <c r="D606" s="3"/>
      <c r="E606" s="3" t="s">
        <v>220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187</v>
      </c>
      <c r="O606" s="3"/>
      <c r="P606" s="3"/>
      <c r="Q606" s="3">
        <v>1.778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220</v>
      </c>
      <c r="D607" s="3"/>
      <c r="E607" s="3" t="s">
        <v>220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101</v>
      </c>
      <c r="O607" s="3"/>
      <c r="P607" s="3"/>
      <c r="Q607" s="3">
        <v>0.52400000000000002</v>
      </c>
      <c r="R607" s="3" t="s">
        <v>102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220</v>
      </c>
      <c r="D608" s="3"/>
      <c r="E608" s="3" t="s">
        <v>220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188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220</v>
      </c>
      <c r="D609" s="3"/>
      <c r="E609" s="3" t="s">
        <v>220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103</v>
      </c>
      <c r="O609" s="3"/>
      <c r="P609" s="3"/>
      <c r="Q609" s="3">
        <v>14.731999999999999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220</v>
      </c>
      <c r="D610" s="3"/>
      <c r="E610" s="3" t="s">
        <v>220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91.227000000000004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220</v>
      </c>
      <c r="D611" s="3"/>
      <c r="E611" s="3" t="s">
        <v>220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186</v>
      </c>
      <c r="O611" s="3"/>
      <c r="P611" s="3"/>
      <c r="Q611" s="3">
        <v>0.14799999999999999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220</v>
      </c>
      <c r="D612" s="3"/>
      <c r="E612" s="3" t="s">
        <v>220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189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220</v>
      </c>
      <c r="D613" s="3"/>
      <c r="E613" s="3" t="s">
        <v>220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220</v>
      </c>
      <c r="D614" s="3"/>
      <c r="E614" s="3" t="s">
        <v>220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220</v>
      </c>
      <c r="D615" s="3"/>
      <c r="E615" s="3" t="s">
        <v>220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104</v>
      </c>
      <c r="O615" s="3"/>
      <c r="P615" s="3"/>
      <c r="Q615" s="3">
        <v>1.0669999999999999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220</v>
      </c>
      <c r="D616" s="3"/>
      <c r="E616" s="3" t="s">
        <v>220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222</v>
      </c>
      <c r="D617" s="3"/>
      <c r="E617" s="3" t="s">
        <v>222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108</v>
      </c>
      <c r="O617" s="3"/>
      <c r="P617" s="3"/>
      <c r="Q617" s="3">
        <v>0.86399999999999999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222</v>
      </c>
      <c r="D618" s="3"/>
      <c r="E618" s="3" t="s">
        <v>222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187</v>
      </c>
      <c r="O618" s="3"/>
      <c r="P618" s="3"/>
      <c r="Q618" s="3">
        <v>0.86399999999999999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222</v>
      </c>
      <c r="D619" s="3"/>
      <c r="E619" s="3" t="s">
        <v>222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101</v>
      </c>
      <c r="O619" s="3"/>
      <c r="P619" s="3"/>
      <c r="Q619" s="3">
        <v>0.26100000000000001</v>
      </c>
      <c r="R619" s="3" t="s">
        <v>102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222</v>
      </c>
      <c r="D620" s="3"/>
      <c r="E620" s="3" t="s">
        <v>222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188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222</v>
      </c>
      <c r="D621" s="3"/>
      <c r="E621" s="3" t="s">
        <v>222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103</v>
      </c>
      <c r="O621" s="3"/>
      <c r="P621" s="3"/>
      <c r="Q621" s="3">
        <v>11.379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222</v>
      </c>
      <c r="D622" s="3"/>
      <c r="E622" s="3" t="s">
        <v>222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70.606999999999999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222</v>
      </c>
      <c r="D623" s="3"/>
      <c r="E623" s="3" t="s">
        <v>222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186</v>
      </c>
      <c r="O623" s="3"/>
      <c r="P623" s="3"/>
      <c r="Q623" s="3">
        <v>8.4000000000000005E-2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222</v>
      </c>
      <c r="D624" s="3"/>
      <c r="E624" s="3" t="s">
        <v>222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189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222</v>
      </c>
      <c r="D625" s="3"/>
      <c r="E625" s="3" t="s">
        <v>222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222</v>
      </c>
      <c r="D626" s="3"/>
      <c r="E626" s="3" t="s">
        <v>222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222</v>
      </c>
      <c r="D627" s="3"/>
      <c r="E627" s="3" t="s">
        <v>222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104</v>
      </c>
      <c r="O627" s="3"/>
      <c r="P627" s="3"/>
      <c r="Q627" s="3">
        <v>0.58099999999999996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222</v>
      </c>
      <c r="D628" s="3"/>
      <c r="E628" s="3" t="s">
        <v>222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223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224</v>
      </c>
      <c r="D629" s="3"/>
      <c r="E629" s="3" t="s">
        <v>224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108</v>
      </c>
      <c r="O629" s="3"/>
      <c r="P629" s="3"/>
      <c r="Q629" s="3">
        <v>1.016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224</v>
      </c>
      <c r="D630" s="3"/>
      <c r="E630" s="3" t="s">
        <v>224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187</v>
      </c>
      <c r="O630" s="3"/>
      <c r="P630" s="3"/>
      <c r="Q630" s="3">
        <v>1.016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224</v>
      </c>
      <c r="D631" s="3"/>
      <c r="E631" s="3" t="s">
        <v>224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101</v>
      </c>
      <c r="O631" s="3"/>
      <c r="P631" s="3"/>
      <c r="Q631" s="3">
        <v>0.308</v>
      </c>
      <c r="R631" s="3" t="s">
        <v>102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224</v>
      </c>
      <c r="D632" s="3"/>
      <c r="E632" s="3" t="s">
        <v>224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188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224</v>
      </c>
      <c r="D633" s="3"/>
      <c r="E633" s="3" t="s">
        <v>224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103</v>
      </c>
      <c r="O633" s="3"/>
      <c r="P633" s="3"/>
      <c r="Q633" s="3">
        <v>11.989000000000001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224</v>
      </c>
      <c r="D634" s="3"/>
      <c r="E634" s="3" t="s">
        <v>224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74.355999999999995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224</v>
      </c>
      <c r="D635" s="3"/>
      <c r="E635" s="3" t="s">
        <v>224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186</v>
      </c>
      <c r="O635" s="3"/>
      <c r="P635" s="3"/>
      <c r="Q635" s="3">
        <v>9.4E-2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224</v>
      </c>
      <c r="D636" s="3"/>
      <c r="E636" s="3" t="s">
        <v>224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189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224</v>
      </c>
      <c r="D637" s="3"/>
      <c r="E637" s="3" t="s">
        <v>224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224</v>
      </c>
      <c r="D638" s="3"/>
      <c r="E638" s="3" t="s">
        <v>224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224</v>
      </c>
      <c r="D639" s="3"/>
      <c r="E639" s="3" t="s">
        <v>224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104</v>
      </c>
      <c r="O639" s="3"/>
      <c r="P639" s="3"/>
      <c r="Q639" s="3">
        <v>0.66200000000000003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224</v>
      </c>
      <c r="D640" s="3"/>
      <c r="E640" s="3" t="s">
        <v>224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226</v>
      </c>
      <c r="D641" s="3"/>
      <c r="E641" s="3" t="s">
        <v>226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108</v>
      </c>
      <c r="O641" s="3"/>
      <c r="P641" s="3"/>
      <c r="Q641" s="3">
        <v>1.1679999999999999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226</v>
      </c>
      <c r="D642" s="3"/>
      <c r="E642" s="3" t="s">
        <v>226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187</v>
      </c>
      <c r="O642" s="3"/>
      <c r="P642" s="3"/>
      <c r="Q642" s="3">
        <v>1.1679999999999999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226</v>
      </c>
      <c r="D643" s="3"/>
      <c r="E643" s="3" t="s">
        <v>226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101</v>
      </c>
      <c r="O643" s="3"/>
      <c r="P643" s="3"/>
      <c r="Q643" s="3">
        <v>0.35499999999999998</v>
      </c>
      <c r="R643" s="3" t="s">
        <v>102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226</v>
      </c>
      <c r="D644" s="3"/>
      <c r="E644" s="3" t="s">
        <v>226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188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226</v>
      </c>
      <c r="D645" s="3"/>
      <c r="E645" s="3" t="s">
        <v>226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103</v>
      </c>
      <c r="O645" s="3"/>
      <c r="P645" s="3"/>
      <c r="Q645" s="3">
        <v>12.598000000000001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226</v>
      </c>
      <c r="D646" s="3"/>
      <c r="E646" s="3" t="s">
        <v>226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78.105000000000004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226</v>
      </c>
      <c r="D647" s="3"/>
      <c r="E647" s="3" t="s">
        <v>226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186</v>
      </c>
      <c r="O647" s="3"/>
      <c r="P647" s="3"/>
      <c r="Q647" s="3">
        <v>0.105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226</v>
      </c>
      <c r="D648" s="3"/>
      <c r="E648" s="3" t="s">
        <v>226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189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226</v>
      </c>
      <c r="D649" s="3"/>
      <c r="E649" s="3" t="s">
        <v>226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226</v>
      </c>
      <c r="D650" s="3"/>
      <c r="E650" s="3" t="s">
        <v>226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226</v>
      </c>
      <c r="D651" s="3"/>
      <c r="E651" s="3" t="s">
        <v>226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104</v>
      </c>
      <c r="O651" s="3"/>
      <c r="P651" s="3"/>
      <c r="Q651" s="3">
        <v>0.74299999999999999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226</v>
      </c>
      <c r="D652" s="3"/>
      <c r="E652" s="3" t="s">
        <v>226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108</v>
      </c>
      <c r="O653" s="3"/>
      <c r="P653" s="3"/>
      <c r="Q653" s="3">
        <v>1.321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228</v>
      </c>
      <c r="D654" s="3"/>
      <c r="E654" s="3" t="s">
        <v>228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187</v>
      </c>
      <c r="O654" s="3"/>
      <c r="P654" s="3"/>
      <c r="Q654" s="3">
        <v>1.321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228</v>
      </c>
      <c r="D655" s="3"/>
      <c r="E655" s="3" t="s">
        <v>228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101</v>
      </c>
      <c r="O655" s="3"/>
      <c r="P655" s="3"/>
      <c r="Q655" s="3">
        <v>0.40300000000000002</v>
      </c>
      <c r="R655" s="3" t="s">
        <v>102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228</v>
      </c>
      <c r="D656" s="3"/>
      <c r="E656" s="3" t="s">
        <v>228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188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228</v>
      </c>
      <c r="D657" s="3"/>
      <c r="E657" s="3" t="s">
        <v>228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103</v>
      </c>
      <c r="O657" s="3"/>
      <c r="P657" s="3"/>
      <c r="Q657" s="3">
        <v>13.208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228</v>
      </c>
      <c r="D658" s="3"/>
      <c r="E658" s="3" t="s">
        <v>228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81.853999999999999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228</v>
      </c>
      <c r="D659" s="3"/>
      <c r="E659" s="3" t="s">
        <v>228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186</v>
      </c>
      <c r="O659" s="3"/>
      <c r="P659" s="3"/>
      <c r="Q659" s="3">
        <v>0.11600000000000001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228</v>
      </c>
      <c r="D660" s="3"/>
      <c r="E660" s="3" t="s">
        <v>228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189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228</v>
      </c>
      <c r="D661" s="3"/>
      <c r="E661" s="3" t="s">
        <v>228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228</v>
      </c>
      <c r="D662" s="3"/>
      <c r="E662" s="3" t="s">
        <v>228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228</v>
      </c>
      <c r="D663" s="3"/>
      <c r="E663" s="3" t="s">
        <v>228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104</v>
      </c>
      <c r="O663" s="3"/>
      <c r="P663" s="3"/>
      <c r="Q663" s="3">
        <v>0.82399999999999995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228</v>
      </c>
      <c r="D664" s="3"/>
      <c r="E664" s="3" t="s">
        <v>228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229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230</v>
      </c>
      <c r="D665" s="3"/>
      <c r="E665" s="3" t="s">
        <v>230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108</v>
      </c>
      <c r="O665" s="3"/>
      <c r="P665" s="3"/>
      <c r="Q665" s="3">
        <v>1.397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230</v>
      </c>
      <c r="D666" s="3"/>
      <c r="E666" s="3" t="s">
        <v>230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187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230</v>
      </c>
      <c r="D667" s="3"/>
      <c r="E667" s="3" t="s">
        <v>230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101</v>
      </c>
      <c r="O667" s="3"/>
      <c r="P667" s="3"/>
      <c r="Q667" s="3">
        <v>0.42599999999999999</v>
      </c>
      <c r="R667" s="3" t="s">
        <v>102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230</v>
      </c>
      <c r="D668" s="3"/>
      <c r="E668" s="3" t="s">
        <v>230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188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230</v>
      </c>
      <c r="D669" s="3"/>
      <c r="E669" s="3" t="s">
        <v>230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103</v>
      </c>
      <c r="O669" s="3"/>
      <c r="P669" s="3"/>
      <c r="Q669" s="3">
        <v>13.513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230</v>
      </c>
      <c r="D670" s="3"/>
      <c r="E670" s="3" t="s">
        <v>230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83.728999999999999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230</v>
      </c>
      <c r="D671" s="3"/>
      <c r="E671" s="3" t="s">
        <v>230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186</v>
      </c>
      <c r="O671" s="3"/>
      <c r="P671" s="3"/>
      <c r="Q671" s="3">
        <v>0.121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230</v>
      </c>
      <c r="D672" s="3"/>
      <c r="E672" s="3" t="s">
        <v>230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189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230</v>
      </c>
      <c r="D673" s="3"/>
      <c r="E673" s="3" t="s">
        <v>230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230</v>
      </c>
      <c r="D674" s="3"/>
      <c r="E674" s="3" t="s">
        <v>230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230</v>
      </c>
      <c r="D675" s="3"/>
      <c r="E675" s="3" t="s">
        <v>230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104</v>
      </c>
      <c r="O675" s="3"/>
      <c r="P675" s="3"/>
      <c r="Q675" s="3">
        <v>0.86499999999999999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230</v>
      </c>
      <c r="D676" s="3"/>
      <c r="E676" s="3" t="s">
        <v>230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231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232</v>
      </c>
      <c r="D677" s="3"/>
      <c r="E677" s="3" t="s">
        <v>232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108</v>
      </c>
      <c r="O677" s="3"/>
      <c r="P677" s="3"/>
      <c r="Q677" s="3">
        <v>1.4730000000000001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232</v>
      </c>
      <c r="D678" s="3"/>
      <c r="E678" s="3" t="s">
        <v>232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187</v>
      </c>
      <c r="O678" s="3"/>
      <c r="P678" s="3"/>
      <c r="Q678" s="3">
        <v>1.4730000000000001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232</v>
      </c>
      <c r="D679" s="3"/>
      <c r="E679" s="3" t="s">
        <v>232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101</v>
      </c>
      <c r="O679" s="3"/>
      <c r="P679" s="3"/>
      <c r="Q679" s="3">
        <v>0.45</v>
      </c>
      <c r="R679" s="3" t="s">
        <v>102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232</v>
      </c>
      <c r="D680" s="3"/>
      <c r="E680" s="3" t="s">
        <v>232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188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232</v>
      </c>
      <c r="D681" s="3"/>
      <c r="E681" s="3" t="s">
        <v>232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103</v>
      </c>
      <c r="O681" s="3"/>
      <c r="P681" s="3"/>
      <c r="Q681" s="3">
        <v>13.818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232</v>
      </c>
      <c r="D682" s="3"/>
      <c r="E682" s="3" t="s">
        <v>232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85.602999999999994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232</v>
      </c>
      <c r="D683" s="3"/>
      <c r="E683" s="3" t="s">
        <v>232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186</v>
      </c>
      <c r="O683" s="3"/>
      <c r="P683" s="3"/>
      <c r="Q683" s="3">
        <v>0.126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232</v>
      </c>
      <c r="D684" s="3"/>
      <c r="E684" s="3" t="s">
        <v>232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189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232</v>
      </c>
      <c r="D685" s="3"/>
      <c r="E685" s="3" t="s">
        <v>232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232</v>
      </c>
      <c r="D686" s="3"/>
      <c r="E686" s="3" t="s">
        <v>232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232</v>
      </c>
      <c r="D687" s="3"/>
      <c r="E687" s="3" t="s">
        <v>232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104</v>
      </c>
      <c r="O687" s="3"/>
      <c r="P687" s="3"/>
      <c r="Q687" s="3">
        <v>0.90500000000000003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232</v>
      </c>
      <c r="D688" s="3"/>
      <c r="E688" s="3" t="s">
        <v>232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233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234</v>
      </c>
      <c r="D689" s="3"/>
      <c r="E689" s="3" t="s">
        <v>234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108</v>
      </c>
      <c r="O689" s="3"/>
      <c r="P689" s="3"/>
      <c r="Q689" s="3">
        <v>1.6259999999999999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234</v>
      </c>
      <c r="D690" s="3"/>
      <c r="E690" s="3" t="s">
        <v>234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187</v>
      </c>
      <c r="O690" s="3"/>
      <c r="P690" s="3"/>
      <c r="Q690" s="3">
        <v>1.6259999999999999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234</v>
      </c>
      <c r="D691" s="3"/>
      <c r="E691" s="3" t="s">
        <v>234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101</v>
      </c>
      <c r="O691" s="3"/>
      <c r="P691" s="3"/>
      <c r="Q691" s="3">
        <v>0.498</v>
      </c>
      <c r="R691" s="3" t="s">
        <v>102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234</v>
      </c>
      <c r="D692" s="3"/>
      <c r="E692" s="3" t="s">
        <v>234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188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234</v>
      </c>
      <c r="D693" s="3"/>
      <c r="E693" s="3" t="s">
        <v>234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103</v>
      </c>
      <c r="O693" s="3"/>
      <c r="P693" s="3"/>
      <c r="Q693" s="3">
        <v>14.427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234</v>
      </c>
      <c r="D694" s="3"/>
      <c r="E694" s="3" t="s">
        <v>234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89.352000000000004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234</v>
      </c>
      <c r="D695" s="3"/>
      <c r="E695" s="3" t="s">
        <v>234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186</v>
      </c>
      <c r="O695" s="3"/>
      <c r="P695" s="3"/>
      <c r="Q695" s="3">
        <v>0.13700000000000001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234</v>
      </c>
      <c r="D696" s="3"/>
      <c r="E696" s="3" t="s">
        <v>234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189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234</v>
      </c>
      <c r="D697" s="3"/>
      <c r="E697" s="3" t="s">
        <v>234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234</v>
      </c>
      <c r="D698" s="3"/>
      <c r="E698" s="3" t="s">
        <v>234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234</v>
      </c>
      <c r="D699" s="3"/>
      <c r="E699" s="3" t="s">
        <v>234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104</v>
      </c>
      <c r="O699" s="3"/>
      <c r="P699" s="3"/>
      <c r="Q699" s="3">
        <v>0.98599999999999999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234</v>
      </c>
      <c r="D700" s="3"/>
      <c r="E700" s="3" t="s">
        <v>234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235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236</v>
      </c>
      <c r="D701" s="3"/>
      <c r="E701" s="3" t="s">
        <v>236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108</v>
      </c>
      <c r="O701" s="3"/>
      <c r="P701" s="3"/>
      <c r="Q701" s="3">
        <v>1.778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236</v>
      </c>
      <c r="D702" s="3"/>
      <c r="E702" s="3" t="s">
        <v>236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187</v>
      </c>
      <c r="O702" s="3"/>
      <c r="P702" s="3"/>
      <c r="Q702" s="3">
        <v>1.778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236</v>
      </c>
      <c r="D703" s="3"/>
      <c r="E703" s="3" t="s">
        <v>236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101</v>
      </c>
      <c r="O703" s="3"/>
      <c r="P703" s="3"/>
      <c r="Q703" s="3">
        <v>0.54500000000000004</v>
      </c>
      <c r="R703" s="3" t="s">
        <v>102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236</v>
      </c>
      <c r="D704" s="3"/>
      <c r="E704" s="3" t="s">
        <v>236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188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236</v>
      </c>
      <c r="D705" s="3"/>
      <c r="E705" s="3" t="s">
        <v>236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103</v>
      </c>
      <c r="O705" s="3"/>
      <c r="P705" s="3"/>
      <c r="Q705" s="3">
        <v>15.037000000000001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236</v>
      </c>
      <c r="D706" s="3"/>
      <c r="E706" s="3" t="s">
        <v>236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93.100999999999999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236</v>
      </c>
      <c r="D707" s="3"/>
      <c r="E707" s="3" t="s">
        <v>236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186</v>
      </c>
      <c r="O707" s="3"/>
      <c r="P707" s="3"/>
      <c r="Q707" s="3">
        <v>0.14799999999999999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236</v>
      </c>
      <c r="D708" s="3"/>
      <c r="E708" s="3" t="s">
        <v>236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189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236</v>
      </c>
      <c r="D709" s="3"/>
      <c r="E709" s="3" t="s">
        <v>236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236</v>
      </c>
      <c r="D710" s="3"/>
      <c r="E710" s="3" t="s">
        <v>236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236</v>
      </c>
      <c r="D711" s="3"/>
      <c r="E711" s="3" t="s">
        <v>236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104</v>
      </c>
      <c r="O711" s="3"/>
      <c r="P711" s="3"/>
      <c r="Q711" s="3">
        <v>1.0669999999999999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236</v>
      </c>
      <c r="D712" s="3"/>
      <c r="E712" s="3" t="s">
        <v>236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237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238</v>
      </c>
      <c r="D713" s="3"/>
      <c r="E713" s="3" t="s">
        <v>238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108</v>
      </c>
      <c r="O713" s="3"/>
      <c r="P713" s="3"/>
      <c r="Q713" s="3">
        <v>0.86399999999999999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238</v>
      </c>
      <c r="D714" s="3"/>
      <c r="E714" s="3" t="s">
        <v>238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187</v>
      </c>
      <c r="O714" s="3"/>
      <c r="P714" s="3"/>
      <c r="Q714" s="3">
        <v>0.86399999999999999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238</v>
      </c>
      <c r="D715" s="3"/>
      <c r="E715" s="3" t="s">
        <v>238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101</v>
      </c>
      <c r="O715" s="3"/>
      <c r="P715" s="3"/>
      <c r="Q715" s="3">
        <v>0.26700000000000002</v>
      </c>
      <c r="R715" s="3" t="s">
        <v>102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238</v>
      </c>
      <c r="D716" s="3"/>
      <c r="E716" s="3" t="s">
        <v>238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188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238</v>
      </c>
      <c r="D717" s="3"/>
      <c r="E717" s="3" t="s">
        <v>238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103</v>
      </c>
      <c r="O717" s="3"/>
      <c r="P717" s="3"/>
      <c r="Q717" s="3">
        <v>11.582000000000001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238</v>
      </c>
      <c r="D718" s="3"/>
      <c r="E718" s="3" t="s">
        <v>238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71.856999999999999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238</v>
      </c>
      <c r="D719" s="3"/>
      <c r="E719" s="3" t="s">
        <v>238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186</v>
      </c>
      <c r="O719" s="3"/>
      <c r="P719" s="3"/>
      <c r="Q719" s="3">
        <v>8.4000000000000005E-2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238</v>
      </c>
      <c r="D720" s="3"/>
      <c r="E720" s="3" t="s">
        <v>238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189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238</v>
      </c>
      <c r="D721" s="3"/>
      <c r="E721" s="3" t="s">
        <v>238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238</v>
      </c>
      <c r="D722" s="3"/>
      <c r="E722" s="3" t="s">
        <v>238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238</v>
      </c>
      <c r="D723" s="3"/>
      <c r="E723" s="3" t="s">
        <v>238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104</v>
      </c>
      <c r="O723" s="3"/>
      <c r="P723" s="3"/>
      <c r="Q723" s="3">
        <v>1.216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238</v>
      </c>
      <c r="D724" s="3"/>
      <c r="E724" s="3" t="s">
        <v>238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239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240</v>
      </c>
      <c r="D725" s="3"/>
      <c r="E725" s="3" t="s">
        <v>240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108</v>
      </c>
      <c r="O725" s="3"/>
      <c r="P725" s="3"/>
      <c r="Q725" s="3">
        <v>1.016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240</v>
      </c>
      <c r="D726" s="3"/>
      <c r="E726" s="3" t="s">
        <v>240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187</v>
      </c>
      <c r="O726" s="3"/>
      <c r="P726" s="3"/>
      <c r="Q726" s="3">
        <v>1.016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240</v>
      </c>
      <c r="D727" s="3"/>
      <c r="E727" s="3" t="s">
        <v>240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101</v>
      </c>
      <c r="O727" s="3"/>
      <c r="P727" s="3"/>
      <c r="Q727" s="3">
        <v>0.316</v>
      </c>
      <c r="R727" s="3" t="s">
        <v>102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240</v>
      </c>
      <c r="D728" s="3"/>
      <c r="E728" s="3" t="s">
        <v>240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188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240</v>
      </c>
      <c r="D729" s="3"/>
      <c r="E729" s="3" t="s">
        <v>240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103</v>
      </c>
      <c r="O729" s="3"/>
      <c r="P729" s="3"/>
      <c r="Q729" s="3">
        <v>12.192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240</v>
      </c>
      <c r="D730" s="3"/>
      <c r="E730" s="3" t="s">
        <v>240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75.605999999999995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240</v>
      </c>
      <c r="D731" s="3"/>
      <c r="E731" s="3" t="s">
        <v>240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186</v>
      </c>
      <c r="O731" s="3"/>
      <c r="P731" s="3"/>
      <c r="Q731" s="3">
        <v>9.4E-2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240</v>
      </c>
      <c r="D732" s="3"/>
      <c r="E732" s="3" t="s">
        <v>240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189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240</v>
      </c>
      <c r="D733" s="3"/>
      <c r="E733" s="3" t="s">
        <v>240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240</v>
      </c>
      <c r="D734" s="3"/>
      <c r="E734" s="3" t="s">
        <v>240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240</v>
      </c>
      <c r="D735" s="3"/>
      <c r="E735" s="3" t="s">
        <v>240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104</v>
      </c>
      <c r="O735" s="3"/>
      <c r="P735" s="3"/>
      <c r="Q735" s="3">
        <v>1.216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240</v>
      </c>
      <c r="D736" s="3"/>
      <c r="E736" s="3" t="s">
        <v>240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241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242</v>
      </c>
      <c r="D737" s="3"/>
      <c r="E737" s="3" t="s">
        <v>242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108</v>
      </c>
      <c r="O737" s="3"/>
      <c r="P737" s="3"/>
      <c r="Q737" s="3">
        <v>1.1679999999999999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242</v>
      </c>
      <c r="D738" s="3"/>
      <c r="E738" s="3" t="s">
        <v>242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187</v>
      </c>
      <c r="O738" s="3"/>
      <c r="P738" s="3"/>
      <c r="Q738" s="3">
        <v>1.1679999999999999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242</v>
      </c>
      <c r="D739" s="3"/>
      <c r="E739" s="3" t="s">
        <v>242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101</v>
      </c>
      <c r="O739" s="3"/>
      <c r="P739" s="3"/>
      <c r="Q739" s="3">
        <v>0.36499999999999999</v>
      </c>
      <c r="R739" s="3" t="s">
        <v>102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242</v>
      </c>
      <c r="D740" s="3"/>
      <c r="E740" s="3" t="s">
        <v>242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188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242</v>
      </c>
      <c r="D741" s="3"/>
      <c r="E741" s="3" t="s">
        <v>242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103</v>
      </c>
      <c r="O741" s="3"/>
      <c r="P741" s="3"/>
      <c r="Q741" s="3">
        <v>12.802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242</v>
      </c>
      <c r="D742" s="3"/>
      <c r="E742" s="3" t="s">
        <v>242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79.355000000000004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242</v>
      </c>
      <c r="D743" s="3"/>
      <c r="E743" s="3" t="s">
        <v>242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186</v>
      </c>
      <c r="O743" s="3"/>
      <c r="P743" s="3"/>
      <c r="Q743" s="3">
        <v>0.105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242</v>
      </c>
      <c r="D744" s="3"/>
      <c r="E744" s="3" t="s">
        <v>242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189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242</v>
      </c>
      <c r="D745" s="3"/>
      <c r="E745" s="3" t="s">
        <v>242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242</v>
      </c>
      <c r="D746" s="3"/>
      <c r="E746" s="3" t="s">
        <v>242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242</v>
      </c>
      <c r="D747" s="3"/>
      <c r="E747" s="3" t="s">
        <v>242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104</v>
      </c>
      <c r="O747" s="3"/>
      <c r="P747" s="3"/>
      <c r="Q747" s="3">
        <v>1.216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242</v>
      </c>
      <c r="D748" s="3"/>
      <c r="E748" s="3" t="s">
        <v>242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243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244</v>
      </c>
      <c r="D749" s="3"/>
      <c r="E749" s="3" t="s">
        <v>244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108</v>
      </c>
      <c r="O749" s="3"/>
      <c r="P749" s="3"/>
      <c r="Q749" s="3">
        <v>1.321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244</v>
      </c>
      <c r="D750" s="3"/>
      <c r="E750" s="3" t="s">
        <v>244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187</v>
      </c>
      <c r="O750" s="3"/>
      <c r="P750" s="3"/>
      <c r="Q750" s="3">
        <v>1.321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244</v>
      </c>
      <c r="D751" s="3"/>
      <c r="E751" s="3" t="s">
        <v>244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101</v>
      </c>
      <c r="O751" s="3"/>
      <c r="P751" s="3"/>
      <c r="Q751" s="3">
        <v>0.41299999999999998</v>
      </c>
      <c r="R751" s="3" t="s">
        <v>102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244</v>
      </c>
      <c r="D752" s="3"/>
      <c r="E752" s="3" t="s">
        <v>244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188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244</v>
      </c>
      <c r="D753" s="3"/>
      <c r="E753" s="3" t="s">
        <v>244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103</v>
      </c>
      <c r="O753" s="3"/>
      <c r="P753" s="3"/>
      <c r="Q753" s="3">
        <v>13.411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244</v>
      </c>
      <c r="D754" s="3"/>
      <c r="E754" s="3" t="s">
        <v>244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83.103999999999999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244</v>
      </c>
      <c r="D755" s="3"/>
      <c r="E755" s="3" t="s">
        <v>244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186</v>
      </c>
      <c r="O755" s="3"/>
      <c r="P755" s="3"/>
      <c r="Q755" s="3">
        <v>0.11600000000000001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244</v>
      </c>
      <c r="D756" s="3"/>
      <c r="E756" s="3" t="s">
        <v>244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189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244</v>
      </c>
      <c r="D757" s="3"/>
      <c r="E757" s="3" t="s">
        <v>244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244</v>
      </c>
      <c r="D758" s="3"/>
      <c r="E758" s="3" t="s">
        <v>244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244</v>
      </c>
      <c r="D759" s="3"/>
      <c r="E759" s="3" t="s">
        <v>244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104</v>
      </c>
      <c r="O759" s="3"/>
      <c r="P759" s="3"/>
      <c r="Q759" s="3">
        <v>1.216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244</v>
      </c>
      <c r="D760" s="3"/>
      <c r="E760" s="3" t="s">
        <v>244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245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246</v>
      </c>
      <c r="D761" s="3"/>
      <c r="E761" s="3" t="s">
        <v>246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108</v>
      </c>
      <c r="O761" s="3"/>
      <c r="P761" s="3"/>
      <c r="Q761" s="3">
        <v>1.397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246</v>
      </c>
      <c r="D762" s="3"/>
      <c r="E762" s="3" t="s">
        <v>246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187</v>
      </c>
      <c r="O762" s="3"/>
      <c r="P762" s="3"/>
      <c r="Q762" s="3">
        <v>1.397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246</v>
      </c>
      <c r="D763" s="3"/>
      <c r="E763" s="3" t="s">
        <v>246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101</v>
      </c>
      <c r="O763" s="3"/>
      <c r="P763" s="3"/>
      <c r="Q763" s="3">
        <v>0.437</v>
      </c>
      <c r="R763" s="3" t="s">
        <v>102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246</v>
      </c>
      <c r="D764" s="3"/>
      <c r="E764" s="3" t="s">
        <v>246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188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246</v>
      </c>
      <c r="D765" s="3"/>
      <c r="E765" s="3" t="s">
        <v>246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103</v>
      </c>
      <c r="O765" s="3"/>
      <c r="P765" s="3"/>
      <c r="Q765" s="3">
        <v>13.715999999999999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246</v>
      </c>
      <c r="D766" s="3"/>
      <c r="E766" s="3" t="s">
        <v>246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84.977999999999994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246</v>
      </c>
      <c r="D767" s="3"/>
      <c r="E767" s="3" t="s">
        <v>246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186</v>
      </c>
      <c r="O767" s="3"/>
      <c r="P767" s="3"/>
      <c r="Q767" s="3">
        <v>0.121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246</v>
      </c>
      <c r="D768" s="3"/>
      <c r="E768" s="3" t="s">
        <v>246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189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246</v>
      </c>
      <c r="D769" s="3"/>
      <c r="E769" s="3" t="s">
        <v>246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246</v>
      </c>
      <c r="D770" s="3"/>
      <c r="E770" s="3" t="s">
        <v>246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246</v>
      </c>
      <c r="D771" s="3"/>
      <c r="E771" s="3" t="s">
        <v>246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104</v>
      </c>
      <c r="O771" s="3"/>
      <c r="P771" s="3"/>
      <c r="Q771" s="3">
        <v>1.216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246</v>
      </c>
      <c r="D772" s="3"/>
      <c r="E772" s="3" t="s">
        <v>246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247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248</v>
      </c>
      <c r="D773" s="3"/>
      <c r="E773" s="3" t="s">
        <v>248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108</v>
      </c>
      <c r="O773" s="3"/>
      <c r="P773" s="3"/>
      <c r="Q773" s="3">
        <v>1.4730000000000001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248</v>
      </c>
      <c r="D774" s="3"/>
      <c r="E774" s="3" t="s">
        <v>248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187</v>
      </c>
      <c r="O774" s="3"/>
      <c r="P774" s="3"/>
      <c r="Q774" s="3">
        <v>1.4730000000000001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248</v>
      </c>
      <c r="D775" s="3"/>
      <c r="E775" s="3" t="s">
        <v>248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101</v>
      </c>
      <c r="O775" s="3"/>
      <c r="P775" s="3"/>
      <c r="Q775" s="3">
        <v>0.46200000000000002</v>
      </c>
      <c r="R775" s="3" t="s">
        <v>102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248</v>
      </c>
      <c r="D776" s="3"/>
      <c r="E776" s="3" t="s">
        <v>248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188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248</v>
      </c>
      <c r="D777" s="3"/>
      <c r="E777" s="3" t="s">
        <v>248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103</v>
      </c>
      <c r="O777" s="3"/>
      <c r="P777" s="3"/>
      <c r="Q777" s="3">
        <v>14.021000000000001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248</v>
      </c>
      <c r="D778" s="3"/>
      <c r="E778" s="3" t="s">
        <v>248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86.852999999999994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248</v>
      </c>
      <c r="D779" s="3"/>
      <c r="E779" s="3" t="s">
        <v>248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186</v>
      </c>
      <c r="O779" s="3"/>
      <c r="P779" s="3"/>
      <c r="Q779" s="3">
        <v>0.126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248</v>
      </c>
      <c r="D780" s="3"/>
      <c r="E780" s="3" t="s">
        <v>248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189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248</v>
      </c>
      <c r="D781" s="3"/>
      <c r="E781" s="3" t="s">
        <v>248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248</v>
      </c>
      <c r="D782" s="3"/>
      <c r="E782" s="3" t="s">
        <v>248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248</v>
      </c>
      <c r="D783" s="3"/>
      <c r="E783" s="3" t="s">
        <v>248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104</v>
      </c>
      <c r="O783" s="3"/>
      <c r="P783" s="3"/>
      <c r="Q783" s="3">
        <v>1.216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248</v>
      </c>
      <c r="D784" s="3"/>
      <c r="E784" s="3" t="s">
        <v>248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249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250</v>
      </c>
      <c r="D785" s="3"/>
      <c r="E785" s="3" t="s">
        <v>250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108</v>
      </c>
      <c r="O785" s="3"/>
      <c r="P785" s="3"/>
      <c r="Q785" s="3">
        <v>1.6259999999999999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250</v>
      </c>
      <c r="D786" s="3"/>
      <c r="E786" s="3" t="s">
        <v>250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187</v>
      </c>
      <c r="O786" s="3"/>
      <c r="P786" s="3"/>
      <c r="Q786" s="3">
        <v>1.6259999999999999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250</v>
      </c>
      <c r="D787" s="3"/>
      <c r="E787" s="3" t="s">
        <v>250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101</v>
      </c>
      <c r="O787" s="3"/>
      <c r="P787" s="3"/>
      <c r="Q787" s="3">
        <v>0.51</v>
      </c>
      <c r="R787" s="3" t="s">
        <v>102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250</v>
      </c>
      <c r="D788" s="3"/>
      <c r="E788" s="3" t="s">
        <v>250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188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250</v>
      </c>
      <c r="D789" s="3"/>
      <c r="E789" s="3" t="s">
        <v>250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103</v>
      </c>
      <c r="O789" s="3"/>
      <c r="P789" s="3"/>
      <c r="Q789" s="3">
        <v>14.63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250</v>
      </c>
      <c r="D790" s="3"/>
      <c r="E790" s="3" t="s">
        <v>250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90.602000000000004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250</v>
      </c>
      <c r="D791" s="3"/>
      <c r="E791" s="3" t="s">
        <v>250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186</v>
      </c>
      <c r="O791" s="3"/>
      <c r="P791" s="3"/>
      <c r="Q791" s="3">
        <v>0.13700000000000001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250</v>
      </c>
      <c r="D792" s="3"/>
      <c r="E792" s="3" t="s">
        <v>250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189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250</v>
      </c>
      <c r="D793" s="3"/>
      <c r="E793" s="3" t="s">
        <v>250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250</v>
      </c>
      <c r="D794" s="3"/>
      <c r="E794" s="3" t="s">
        <v>250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250</v>
      </c>
      <c r="D795" s="3"/>
      <c r="E795" s="3" t="s">
        <v>250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104</v>
      </c>
      <c r="O795" s="3"/>
      <c r="P795" s="3"/>
      <c r="Q795" s="3">
        <v>1.216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250</v>
      </c>
      <c r="D796" s="3"/>
      <c r="E796" s="3" t="s">
        <v>250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251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252</v>
      </c>
      <c r="D797" s="3"/>
      <c r="E797" s="3" t="s">
        <v>252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108</v>
      </c>
      <c r="O797" s="3"/>
      <c r="P797" s="3"/>
      <c r="Q797" s="3">
        <v>1.778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252</v>
      </c>
      <c r="D798" s="3"/>
      <c r="E798" s="3" t="s">
        <v>252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187</v>
      </c>
      <c r="O798" s="3"/>
      <c r="P798" s="3"/>
      <c r="Q798" s="3">
        <v>1.778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252</v>
      </c>
      <c r="D799" s="3"/>
      <c r="E799" s="3" t="s">
        <v>252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101</v>
      </c>
      <c r="O799" s="3"/>
      <c r="P799" s="3"/>
      <c r="Q799" s="3">
        <v>0.55900000000000005</v>
      </c>
      <c r="R799" s="3" t="s">
        <v>102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252</v>
      </c>
      <c r="D800" s="3"/>
      <c r="E800" s="3" t="s">
        <v>252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188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252</v>
      </c>
      <c r="D801" s="3"/>
      <c r="E801" s="3" t="s">
        <v>252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103</v>
      </c>
      <c r="O801" s="3"/>
      <c r="P801" s="3"/>
      <c r="Q801" s="3">
        <v>15.24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252</v>
      </c>
      <c r="D802" s="3"/>
      <c r="E802" s="3" t="s">
        <v>252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94.350999999999999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252</v>
      </c>
      <c r="D803" s="3"/>
      <c r="E803" s="3" t="s">
        <v>252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186</v>
      </c>
      <c r="O803" s="3"/>
      <c r="P803" s="3"/>
      <c r="Q803" s="3">
        <v>0.14799999999999999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252</v>
      </c>
      <c r="D804" s="3"/>
      <c r="E804" s="3" t="s">
        <v>252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189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252</v>
      </c>
      <c r="D805" s="3"/>
      <c r="E805" s="3" t="s">
        <v>252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252</v>
      </c>
      <c r="D806" s="3"/>
      <c r="E806" s="3" t="s">
        <v>252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252</v>
      </c>
      <c r="D807" s="3"/>
      <c r="E807" s="3" t="s">
        <v>252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104</v>
      </c>
      <c r="O807" s="3"/>
      <c r="P807" s="3"/>
      <c r="Q807" s="3">
        <v>1.216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252</v>
      </c>
      <c r="D808" s="3"/>
      <c r="E808" s="3" t="s">
        <v>252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253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254</v>
      </c>
      <c r="D809" s="3"/>
      <c r="E809" s="3" t="s">
        <v>254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108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254</v>
      </c>
      <c r="D810" s="3"/>
      <c r="E810" s="3" t="s">
        <v>254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187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254</v>
      </c>
      <c r="D811" s="3"/>
      <c r="E811" s="3" t="s">
        <v>254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101</v>
      </c>
      <c r="O811" s="3"/>
      <c r="P811" s="3"/>
      <c r="Q811" s="3">
        <v>0.28100000000000003</v>
      </c>
      <c r="R811" s="3" t="s">
        <v>102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254</v>
      </c>
      <c r="D812" s="3"/>
      <c r="E812" s="3" t="s">
        <v>254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188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254</v>
      </c>
      <c r="D813" s="3"/>
      <c r="E813" s="3" t="s">
        <v>254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103</v>
      </c>
      <c r="O813" s="3"/>
      <c r="P813" s="3"/>
      <c r="Q813" s="3">
        <v>11.989000000000001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254</v>
      </c>
      <c r="D814" s="3"/>
      <c r="E814" s="3" t="s">
        <v>254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74.355999999999995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254</v>
      </c>
      <c r="D815" s="3"/>
      <c r="E815" s="3" t="s">
        <v>254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186</v>
      </c>
      <c r="O815" s="3"/>
      <c r="P815" s="3"/>
      <c r="Q815" s="3">
        <v>8.4000000000000005E-2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254</v>
      </c>
      <c r="D816" s="3"/>
      <c r="E816" s="3" t="s">
        <v>254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189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254</v>
      </c>
      <c r="D817" s="3"/>
      <c r="E817" s="3" t="s">
        <v>254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254</v>
      </c>
      <c r="D818" s="3"/>
      <c r="E818" s="3" t="s">
        <v>254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254</v>
      </c>
      <c r="D819" s="3"/>
      <c r="E819" s="3" t="s">
        <v>254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104</v>
      </c>
      <c r="O819" s="3"/>
      <c r="P819" s="3"/>
      <c r="Q819" s="3">
        <v>1.27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254</v>
      </c>
      <c r="D820" s="3"/>
      <c r="E820" s="3" t="s">
        <v>254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255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256</v>
      </c>
      <c r="D821" s="3"/>
      <c r="E821" s="3" t="s">
        <v>256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108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256</v>
      </c>
      <c r="D822" s="3"/>
      <c r="E822" s="3" t="s">
        <v>256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187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256</v>
      </c>
      <c r="D823" s="3"/>
      <c r="E823" s="3" t="s">
        <v>256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101</v>
      </c>
      <c r="O823" s="3"/>
      <c r="P823" s="3"/>
      <c r="Q823" s="3">
        <v>0.33200000000000002</v>
      </c>
      <c r="R823" s="3" t="s">
        <v>102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256</v>
      </c>
      <c r="D824" s="3"/>
      <c r="E824" s="3" t="s">
        <v>256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256</v>
      </c>
      <c r="D825" s="3"/>
      <c r="E825" s="3" t="s">
        <v>256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103</v>
      </c>
      <c r="O825" s="3"/>
      <c r="P825" s="3"/>
      <c r="Q825" s="3">
        <v>12.598000000000001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256</v>
      </c>
      <c r="D826" s="3"/>
      <c r="E826" s="3" t="s">
        <v>256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78.105000000000004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256</v>
      </c>
      <c r="D827" s="3"/>
      <c r="E827" s="3" t="s">
        <v>256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186</v>
      </c>
      <c r="O827" s="3"/>
      <c r="P827" s="3"/>
      <c r="Q827" s="3">
        <v>9.4E-2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256</v>
      </c>
      <c r="D828" s="3"/>
      <c r="E828" s="3" t="s">
        <v>256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189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256</v>
      </c>
      <c r="D829" s="3"/>
      <c r="E829" s="3" t="s">
        <v>256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256</v>
      </c>
      <c r="D830" s="3"/>
      <c r="E830" s="3" t="s">
        <v>256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256</v>
      </c>
      <c r="D831" s="3"/>
      <c r="E831" s="3" t="s">
        <v>256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104</v>
      </c>
      <c r="O831" s="3"/>
      <c r="P831" s="3"/>
      <c r="Q831" s="3">
        <v>1.27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256</v>
      </c>
      <c r="D832" s="3"/>
      <c r="E832" s="3" t="s">
        <v>256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257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258</v>
      </c>
      <c r="D833" s="3"/>
      <c r="E833" s="3" t="s">
        <v>258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108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258</v>
      </c>
      <c r="D834" s="3"/>
      <c r="E834" s="3" t="s">
        <v>258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187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258</v>
      </c>
      <c r="D835" s="3"/>
      <c r="E835" s="3" t="s">
        <v>258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101</v>
      </c>
      <c r="O835" s="3"/>
      <c r="P835" s="3"/>
      <c r="Q835" s="3">
        <v>0.38300000000000001</v>
      </c>
      <c r="R835" s="3" t="s">
        <v>102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258</v>
      </c>
      <c r="D836" s="3"/>
      <c r="E836" s="3" t="s">
        <v>258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188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258</v>
      </c>
      <c r="D837" s="3"/>
      <c r="E837" s="3" t="s">
        <v>258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103</v>
      </c>
      <c r="O837" s="3"/>
      <c r="P837" s="3"/>
      <c r="Q837" s="3">
        <v>13.208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258</v>
      </c>
      <c r="D838" s="3"/>
      <c r="E838" s="3" t="s">
        <v>258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81.853999999999999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258</v>
      </c>
      <c r="D839" s="3"/>
      <c r="E839" s="3" t="s">
        <v>258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186</v>
      </c>
      <c r="O839" s="3"/>
      <c r="P839" s="3"/>
      <c r="Q839" s="3">
        <v>0.105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258</v>
      </c>
      <c r="D840" s="3"/>
      <c r="E840" s="3" t="s">
        <v>258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189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258</v>
      </c>
      <c r="D841" s="3"/>
      <c r="E841" s="3" t="s">
        <v>258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258</v>
      </c>
      <c r="D842" s="3"/>
      <c r="E842" s="3" t="s">
        <v>258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258</v>
      </c>
      <c r="D843" s="3"/>
      <c r="E843" s="3" t="s">
        <v>258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104</v>
      </c>
      <c r="O843" s="3"/>
      <c r="P843" s="3"/>
      <c r="Q843" s="3">
        <v>1.27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258</v>
      </c>
      <c r="D844" s="3"/>
      <c r="E844" s="3" t="s">
        <v>258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259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260</v>
      </c>
      <c r="D845" s="3"/>
      <c r="E845" s="3" t="s">
        <v>260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108</v>
      </c>
      <c r="O845" s="3"/>
      <c r="P845" s="3"/>
      <c r="Q845" s="3">
        <v>2.1589999999999998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260</v>
      </c>
      <c r="D846" s="3"/>
      <c r="E846" s="3" t="s">
        <v>260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187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260</v>
      </c>
      <c r="D847" s="3"/>
      <c r="E847" s="3" t="s">
        <v>260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101</v>
      </c>
      <c r="O847" s="3"/>
      <c r="P847" s="3"/>
      <c r="Q847" s="3">
        <v>0.434</v>
      </c>
      <c r="R847" s="3" t="s">
        <v>102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260</v>
      </c>
      <c r="D848" s="3"/>
      <c r="E848" s="3" t="s">
        <v>260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188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260</v>
      </c>
      <c r="D849" s="3"/>
      <c r="E849" s="3" t="s">
        <v>260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103</v>
      </c>
      <c r="O849" s="3"/>
      <c r="P849" s="3"/>
      <c r="Q849" s="3">
        <v>13.818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260</v>
      </c>
      <c r="D850" s="3"/>
      <c r="E850" s="3" t="s">
        <v>260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85.602999999999994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260</v>
      </c>
      <c r="D851" s="3"/>
      <c r="E851" s="3" t="s">
        <v>260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186</v>
      </c>
      <c r="O851" s="3"/>
      <c r="P851" s="3"/>
      <c r="Q851" s="3">
        <v>0.11600000000000001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260</v>
      </c>
      <c r="D852" s="3"/>
      <c r="E852" s="3" t="s">
        <v>260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189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260</v>
      </c>
      <c r="D853" s="3"/>
      <c r="E853" s="3" t="s">
        <v>260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260</v>
      </c>
      <c r="D854" s="3"/>
      <c r="E854" s="3" t="s">
        <v>260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260</v>
      </c>
      <c r="D855" s="3"/>
      <c r="E855" s="3" t="s">
        <v>260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104</v>
      </c>
      <c r="O855" s="3"/>
      <c r="P855" s="3"/>
      <c r="Q855" s="3">
        <v>1.27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260</v>
      </c>
      <c r="D856" s="3"/>
      <c r="E856" s="3" t="s">
        <v>260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261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262</v>
      </c>
      <c r="D857" s="3"/>
      <c r="E857" s="3" t="s">
        <v>262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108</v>
      </c>
      <c r="O857" s="3"/>
      <c r="P857" s="3"/>
      <c r="Q857" s="3">
        <v>2.1589999999999998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262</v>
      </c>
      <c r="D858" s="3"/>
      <c r="E858" s="3" t="s">
        <v>262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187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262</v>
      </c>
      <c r="D859" s="3"/>
      <c r="E859" s="3" t="s">
        <v>262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101</v>
      </c>
      <c r="O859" s="3"/>
      <c r="P859" s="3"/>
      <c r="Q859" s="3">
        <v>0.45900000000000002</v>
      </c>
      <c r="R859" s="3" t="s">
        <v>102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262</v>
      </c>
      <c r="D860" s="3"/>
      <c r="E860" s="3" t="s">
        <v>262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188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262</v>
      </c>
      <c r="D861" s="3"/>
      <c r="E861" s="3" t="s">
        <v>262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103</v>
      </c>
      <c r="O861" s="3"/>
      <c r="P861" s="3"/>
      <c r="Q861" s="3">
        <v>14.122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262</v>
      </c>
      <c r="D862" s="3"/>
      <c r="E862" s="3" t="s">
        <v>262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87.477999999999994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262</v>
      </c>
      <c r="D863" s="3"/>
      <c r="E863" s="3" t="s">
        <v>262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186</v>
      </c>
      <c r="O863" s="3"/>
      <c r="P863" s="3"/>
      <c r="Q863" s="3">
        <v>0.121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262</v>
      </c>
      <c r="D864" s="3"/>
      <c r="E864" s="3" t="s">
        <v>262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189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262</v>
      </c>
      <c r="D865" s="3"/>
      <c r="E865" s="3" t="s">
        <v>262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262</v>
      </c>
      <c r="D866" s="3"/>
      <c r="E866" s="3" t="s">
        <v>262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262</v>
      </c>
      <c r="D867" s="3"/>
      <c r="E867" s="3" t="s">
        <v>262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104</v>
      </c>
      <c r="O867" s="3"/>
      <c r="P867" s="3"/>
      <c r="Q867" s="3">
        <v>1.27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262</v>
      </c>
      <c r="D868" s="3"/>
      <c r="E868" s="3" t="s">
        <v>262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263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264</v>
      </c>
      <c r="D869" s="3"/>
      <c r="E869" s="3" t="s">
        <v>264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108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264</v>
      </c>
      <c r="D870" s="3"/>
      <c r="E870" s="3" t="s">
        <v>264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187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264</v>
      </c>
      <c r="D871" s="3"/>
      <c r="E871" s="3" t="s">
        <v>264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101</v>
      </c>
      <c r="O871" s="3"/>
      <c r="P871" s="3"/>
      <c r="Q871" s="3">
        <v>0.48499999999999999</v>
      </c>
      <c r="R871" s="3" t="s">
        <v>102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264</v>
      </c>
      <c r="D872" s="3"/>
      <c r="E872" s="3" t="s">
        <v>264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188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264</v>
      </c>
      <c r="D873" s="3"/>
      <c r="E873" s="3" t="s">
        <v>264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103</v>
      </c>
      <c r="O873" s="3"/>
      <c r="P873" s="3"/>
      <c r="Q873" s="3">
        <v>14.427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264</v>
      </c>
      <c r="D874" s="3"/>
      <c r="E874" s="3" t="s">
        <v>264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89.352000000000004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264</v>
      </c>
      <c r="D875" s="3"/>
      <c r="E875" s="3" t="s">
        <v>264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186</v>
      </c>
      <c r="O875" s="3"/>
      <c r="P875" s="3"/>
      <c r="Q875" s="3">
        <v>0.126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264</v>
      </c>
      <c r="D876" s="3"/>
      <c r="E876" s="3" t="s">
        <v>264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189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264</v>
      </c>
      <c r="D877" s="3"/>
      <c r="E877" s="3" t="s">
        <v>264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264</v>
      </c>
      <c r="D878" s="3"/>
      <c r="E878" s="3" t="s">
        <v>264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264</v>
      </c>
      <c r="D879" s="3"/>
      <c r="E879" s="3" t="s">
        <v>264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104</v>
      </c>
      <c r="O879" s="3"/>
      <c r="P879" s="3"/>
      <c r="Q879" s="3">
        <v>1.27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264</v>
      </c>
      <c r="D880" s="3"/>
      <c r="E880" s="3" t="s">
        <v>264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265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266</v>
      </c>
      <c r="D881" s="3"/>
      <c r="E881" s="3" t="s">
        <v>266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108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266</v>
      </c>
      <c r="D882" s="3"/>
      <c r="E882" s="3" t="s">
        <v>266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187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266</v>
      </c>
      <c r="D883" s="3"/>
      <c r="E883" s="3" t="s">
        <v>266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101</v>
      </c>
      <c r="O883" s="3"/>
      <c r="P883" s="3"/>
      <c r="Q883" s="3">
        <v>0.53600000000000003</v>
      </c>
      <c r="R883" s="3" t="s">
        <v>102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266</v>
      </c>
      <c r="D884" s="3"/>
      <c r="E884" s="3" t="s">
        <v>266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188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266</v>
      </c>
      <c r="D885" s="3"/>
      <c r="E885" s="3" t="s">
        <v>266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103</v>
      </c>
      <c r="O885" s="3"/>
      <c r="P885" s="3"/>
      <c r="Q885" s="3">
        <v>15.037000000000001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266</v>
      </c>
      <c r="D886" s="3"/>
      <c r="E886" s="3" t="s">
        <v>266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93.100999999999999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266</v>
      </c>
      <c r="D887" s="3"/>
      <c r="E887" s="3" t="s">
        <v>266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186</v>
      </c>
      <c r="O887" s="3"/>
      <c r="P887" s="3"/>
      <c r="Q887" s="3">
        <v>0.13700000000000001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266</v>
      </c>
      <c r="D888" s="3"/>
      <c r="E888" s="3" t="s">
        <v>266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189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266</v>
      </c>
      <c r="D889" s="3"/>
      <c r="E889" s="3" t="s">
        <v>266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266</v>
      </c>
      <c r="D890" s="3"/>
      <c r="E890" s="3" t="s">
        <v>266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266</v>
      </c>
      <c r="D891" s="3"/>
      <c r="E891" s="3" t="s">
        <v>266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104</v>
      </c>
      <c r="O891" s="3"/>
      <c r="P891" s="3"/>
      <c r="Q891" s="3">
        <v>1.27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266</v>
      </c>
      <c r="D892" s="3"/>
      <c r="E892" s="3" t="s">
        <v>266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267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268</v>
      </c>
      <c r="D893" s="3"/>
      <c r="E893" s="3" t="s">
        <v>268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108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268</v>
      </c>
      <c r="D894" s="3"/>
      <c r="E894" s="3" t="s">
        <v>268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187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268</v>
      </c>
      <c r="D895" s="3"/>
      <c r="E895" s="3" t="s">
        <v>268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101</v>
      </c>
      <c r="O895" s="3"/>
      <c r="P895" s="3"/>
      <c r="Q895" s="3">
        <v>0.58699999999999997</v>
      </c>
      <c r="R895" s="3" t="s">
        <v>102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268</v>
      </c>
      <c r="D896" s="3"/>
      <c r="E896" s="3" t="s">
        <v>268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188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268</v>
      </c>
      <c r="D897" s="3"/>
      <c r="E897" s="3" t="s">
        <v>268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103</v>
      </c>
      <c r="O897" s="3"/>
      <c r="P897" s="3"/>
      <c r="Q897" s="3">
        <v>15.646000000000001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268</v>
      </c>
      <c r="D898" s="3"/>
      <c r="E898" s="3" t="s">
        <v>268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96.85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268</v>
      </c>
      <c r="D899" s="3"/>
      <c r="E899" s="3" t="s">
        <v>268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186</v>
      </c>
      <c r="O899" s="3"/>
      <c r="P899" s="3"/>
      <c r="Q899" s="3">
        <v>0.14799999999999999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268</v>
      </c>
      <c r="D900" s="3"/>
      <c r="E900" s="3" t="s">
        <v>268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189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268</v>
      </c>
      <c r="D901" s="3"/>
      <c r="E901" s="3" t="s">
        <v>268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268</v>
      </c>
      <c r="D902" s="3"/>
      <c r="E902" s="3" t="s">
        <v>268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268</v>
      </c>
      <c r="D903" s="3"/>
      <c r="E903" s="3" t="s">
        <v>268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104</v>
      </c>
      <c r="O903" s="3"/>
      <c r="P903" s="3"/>
      <c r="Q903" s="3">
        <v>1.27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268</v>
      </c>
      <c r="D904" s="3"/>
      <c r="E904" s="3" t="s">
        <v>268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269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2026-06-02T06:40:23Z</dcterms:modified>
</cp:coreProperties>
</file>