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Latex Foam - 5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3" i="13" l="1"/>
  <c r="G2" i="13"/>
  <c r="G12" i="13"/>
  <c r="G4" i="13"/>
  <c r="G8" i="13" l="1"/>
  <c r="G7" i="13"/>
  <c r="G6" i="13"/>
  <c r="H3" i="13"/>
  <c r="H4" i="13"/>
  <c r="E13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<sst xmlns="http://schemas.openxmlformats.org/spreadsheetml/2006/main" count="20448" uniqueCount="347">
  <si>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</si>
  <si>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</si>
  <si>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</si>
  <si>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</si>
  <si>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</si>
  <si>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</si>
  <si>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</si>
  <si>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</si>
  <si>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</si>
  <si>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</si>
  <si>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</si>
  <si>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</si>
  <si>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</si>
  <si>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</si>
  <si>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</si>
  <si>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</si>
  <si>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</si>
  <si>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</si>
  <si>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</si>
  <si>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</si>
  <si>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</si>
  <si>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</si>
  <si>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</si>
  <si>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</si>
  <si>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</si>
  <si>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</si>
  <si>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</si>
  <si>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</si>
  <si>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</si>
  <si>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</si>
  <si>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</si>
  <si>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</si>
  <si>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</si>
  <si>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</si>
  <si>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</si>
  <si>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</si>
  <si>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</si>
  <si>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</si>
  <si>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</si>
  <si>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</si>
  <si>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</si>
  <si>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</si>
  <si>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</si>
  <si>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</si>
  <si>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</si>
  <si>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</si>
  <si>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</si>
  <si>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</si>
  <si>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</si>
  <si>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</si>
  <si>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</si>
  <si>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</si>
  <si>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</si>
  <si>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</si>
  <si>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</si>
  <si>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</si>
  <si>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</si>
  <si>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</si>
  <si>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</si>
  <si>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</si>
  <si>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</si>
  <si>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</si>
  <si>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</si>
  <si>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</si>
  <si>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</si>
  <si>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</si>
  <si>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</si>
  <si>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</si>
  <si>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</si>
  <si>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</si>
  <si>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</si>
  <si>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</si>
  <si>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</si>
  <si>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</si>
  <si>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</si>
  <si>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</si>
  <si>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</si>
  <si>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</si>
  <si>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</si>
  <si>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</si>
  <si>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</si>
  <si>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</si>
  <si>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</si>
  <si>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</si>
  <si>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</si>
  <si>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</si>
  <si>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</si>
  <si>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</si>
  <si>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</si>
  <si>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</si>
  <si>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</si>
  <si>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</si>
  <si>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</si>
  <si>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</si>
  <si>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</si>
  <si>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</si>
  <si>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</si>
  <si>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</si>
  <si>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</si>
  <si>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</si>
  <si>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</si>
  <si>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</si>
  <si>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</si>
  <si>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</si>
  <si>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5,6,8</t>
  </si>
  <si>
    <t>GRN</t>
  </si>
  <si>
    <t>GRN,PNK</t>
  </si>
  <si>
    <t>PNK</t>
  </si>
  <si>
    <t>HYPINSFMLTGRN72X30X08-90D</t>
  </si>
  <si>
    <t>SFG-INSRBGRN-LTX-QUILT-90D</t>
  </si>
  <si>
    <t>90D-HYP-INSPREE-BLOCK-72X30X08</t>
  </si>
  <si>
    <t>HYPINSFMLTGRN72X36X08-90D</t>
  </si>
  <si>
    <t>90D-HYP-INSPREE-BLOCK-72X36X08</t>
  </si>
  <si>
    <t>HYPINSFMLTGRN72X42X08-90D</t>
  </si>
  <si>
    <t>90D-HYP-INSPREE-BLOCK-72X42X08</t>
  </si>
  <si>
    <t>HYPINSFMLTGRN72X48X08-90D</t>
  </si>
  <si>
    <t>90D-HYP-INSPREE-BLOCK-72X48X08</t>
  </si>
  <si>
    <t>HYPINSFMLTGRN72X60X08-90D</t>
  </si>
  <si>
    <t>90D-HYP-INSPREE-BLOCK-72X60X08</t>
  </si>
  <si>
    <t>HYPINSFMLTGRN72X66X08-90D</t>
  </si>
  <si>
    <t>90D-HYP-INSPREE-BLOCK-72X66X08</t>
  </si>
  <si>
    <t>HYPINSFMLTGRN72X72X08-90D</t>
  </si>
  <si>
    <t>90D-HYP-INSPREE-BLOCK-72X72X08</t>
  </si>
  <si>
    <t>HYPINSFMLTGRN75X30X08-90D</t>
  </si>
  <si>
    <t>90D-HYP-INSPREE-BLOCK-75X30X08</t>
  </si>
  <si>
    <t>HYPINSFMLTGRN75X36X08-90D</t>
  </si>
  <si>
    <t>90D-HYP-INSPREE-BLOCK-75X36X08</t>
  </si>
  <si>
    <t>HYPINSFMLTGRN75X42X08-90D</t>
  </si>
  <si>
    <t>90D-HYP-INSPREE-BLOCK-75X42X08</t>
  </si>
  <si>
    <t>HYPINSFMLTGRN75X48X08-90D</t>
  </si>
  <si>
    <t>90D-HYP-INSPREE-BLOCK-75X48X08</t>
  </si>
  <si>
    <t>HYPINSFMLTGRN75X60X08-90D</t>
  </si>
  <si>
    <t>90D-HYP-INSPREE-BLOCK-75X60X08</t>
  </si>
  <si>
    <t>HYPINSFMLTGRN75X66X08-90D</t>
  </si>
  <si>
    <t>90D-HYP-INSPREE-BLOCK-75X66X08</t>
  </si>
  <si>
    <t>HYPINSFMLTGRN75X72X08-90D</t>
  </si>
  <si>
    <t>90D-HYP-INSPREE-BLOCK-75X72X08</t>
  </si>
  <si>
    <t>HYPINSFMLTGRN78X30X08-90D</t>
  </si>
  <si>
    <t>90D-HYP-INSPREE-BLOCK-78X30X08</t>
  </si>
  <si>
    <t>HYPINSFMLTGRN78X36X08-90D</t>
  </si>
  <si>
    <t>90D-HYP-INSPREE-BLOCK-78X36X08</t>
  </si>
  <si>
    <t>HYPINSFMLTGRN78X42X08-90D</t>
  </si>
  <si>
    <t>90D-HYP-INSPREE-BLOCK-78X42X08</t>
  </si>
  <si>
    <t>HYPINSFMLTGRN78X48X08-90D</t>
  </si>
  <si>
    <t>90D-HYP-INSPREE-BLOCK-78X48X08</t>
  </si>
  <si>
    <t>HYPINSFMLTGRN78X60X08-90D</t>
  </si>
  <si>
    <t>90D-HYP-INSPREE-BLOCK-78X60X08</t>
  </si>
  <si>
    <t>HYPINSFMLTGRN78X66X08-90D</t>
  </si>
  <si>
    <t>90D-HYP-INSPREE-BLOCK-78X66X08</t>
  </si>
  <si>
    <t>HYPINSFMLTGRN78X72X08-90D</t>
  </si>
  <si>
    <t>90D-HYP-INSPREE-BLOCK-78X72X08</t>
  </si>
  <si>
    <t>HYPINSFMLTGRN80X30X08-90D</t>
  </si>
  <si>
    <t>90D-HYP-INSPREE-BLOCK-80X30X08</t>
  </si>
  <si>
    <t>HYPINSFMLTGRN80X36X08-90D</t>
  </si>
  <si>
    <t>90D-HYP-INSPREE-BLOCK-80X36X08</t>
  </si>
  <si>
    <t>HYPINSFMLTGRN80X42X08-90D</t>
  </si>
  <si>
    <t>90D-HYP-INSPREE-BLOCK-80X42X08</t>
  </si>
  <si>
    <t>HYPINSFMLTGRN80X48X08-90D</t>
  </si>
  <si>
    <t>90D-HYP-INSPREE-BLOCK-80X48X08</t>
  </si>
  <si>
    <t>HYPINSFMLTGRN80X60X08-90D</t>
  </si>
  <si>
    <t>90D-HYP-INSPREE-BLOCK-80X60X08</t>
  </si>
  <si>
    <t>HYPINSFMLTGRN80X66X08-90D</t>
  </si>
  <si>
    <t>90D-HYP-INSPREE-BLOCK-80X66X08</t>
  </si>
  <si>
    <t>HYPINSFMLTGRN80X72X08-90D</t>
  </si>
  <si>
    <t>90D-HYP-INSPREE-BLOCK-80X72X08</t>
  </si>
  <si>
    <t>HYPINSFMLTGRN84X30X08-90D</t>
  </si>
  <si>
    <t>90D-HYP-INSPREE-BLOCK-84X30X08</t>
  </si>
  <si>
    <t>HYPINSFMLTGRN84X36X08-90D</t>
  </si>
  <si>
    <t>90D-HYP-INSPREE-BLOCK-84X36X08</t>
  </si>
  <si>
    <t>HYPINSFMLTGRN84X42X08-90D</t>
  </si>
  <si>
    <t>90D-HYP-INSPREE-BLOCK-84X42X08</t>
  </si>
  <si>
    <t>HYPINSFMLTGRN84X48X08-90D</t>
  </si>
  <si>
    <t>90D-HYP-INSPREE-BLOCK-84X48X08</t>
  </si>
  <si>
    <t>HYPINSFMLTGRN84X60X08-90D</t>
  </si>
  <si>
    <t>90D-HYP-INSPREE-BLOCK-84X60X08</t>
  </si>
  <si>
    <t>HYPINSFMLTGRN84X66X08-90D</t>
  </si>
  <si>
    <t>90D-HYP-INSPREE-BLOCK-84X66X08</t>
  </si>
  <si>
    <t>HYPINSFMLTGRN84X72X08-90D</t>
  </si>
  <si>
    <t>90D-HYP-INSPREE-BLOCK-84X72X08</t>
  </si>
  <si>
    <t>HYPINSFMLTPNK72X30X08-90D</t>
  </si>
  <si>
    <t>SFG-INSRBPNK-LTX-QUILT-90D</t>
  </si>
  <si>
    <t>HYPINSFMLTPNK72X36X08-90D</t>
  </si>
  <si>
    <t>HYPINSFMLTPNK72X42X08-90D</t>
  </si>
  <si>
    <t>HYPINSFMLTPNK72X48X08-90D</t>
  </si>
  <si>
    <t>HYPINSFMLTPNK72X60X08-90D</t>
  </si>
  <si>
    <t>HYPINSFMLTPNK72X66X08-90D</t>
  </si>
  <si>
    <t>HYPINSFMLTPNK72X72X08-90D</t>
  </si>
  <si>
    <t>HYPINSFMLTPNK75X30X08-90D</t>
  </si>
  <si>
    <t>HYPINSFMLTPNK75X36X08-90D</t>
  </si>
  <si>
    <t>HYPINSFMLTPNK75X42X08-90D</t>
  </si>
  <si>
    <t>HYPINSFMLTPNK75X48X08-90D</t>
  </si>
  <si>
    <t>HYPINSFMLTPNK75X60X08-90D</t>
  </si>
  <si>
    <t>HYPINSFMLTPNK75X66X08-90D</t>
  </si>
  <si>
    <t>HYPINSFMLTPNK75X72X08-90D</t>
  </si>
  <si>
    <t>HYPINSFMLTPNK78X30X08-90D</t>
  </si>
  <si>
    <t>HYPINSFMLTPNK78X36X08-90D</t>
  </si>
  <si>
    <t>HYPINSFMLTPNK78X42X08-90D</t>
  </si>
  <si>
    <t>HYPINSFMLTPNK78X48X08-90D</t>
  </si>
  <si>
    <t>HYPINSFMLTPNK78X60X08-90D</t>
  </si>
  <si>
    <t>HYPINSFMLTPNK78X66X08-90D</t>
  </si>
  <si>
    <t>HYPINSFMLTPNK78X72X08-90D</t>
  </si>
  <si>
    <t>HYPINSFMLTPNK80X30X08-90D</t>
  </si>
  <si>
    <t>HYPINSFMLTPNK80X36X08-90D</t>
  </si>
  <si>
    <t>HYPINSFMLTPNK80X42X08-90D</t>
  </si>
  <si>
    <t>HYPINSFMLTPNK80X48X08-90D</t>
  </si>
  <si>
    <t>HYPINSFMLTPNK80X60X08-90D</t>
  </si>
  <si>
    <t>HYPINSFMLTPNK80X66X08-90D</t>
  </si>
  <si>
    <t>HYPINSFMLTPNK80X72X08-90D</t>
  </si>
  <si>
    <t>HYPINSFMLTPNK84X30X08-90D</t>
  </si>
  <si>
    <t>HYPINSFMLTPNK84X36X08-90D</t>
  </si>
  <si>
    <t>HYPINSFMLTPNK84X42X08-90D</t>
  </si>
  <si>
    <t>HYPINSFMLTPNK84X48X08-90D</t>
  </si>
  <si>
    <t>HYPINSFMLTPNK84X60X08-90D</t>
  </si>
  <si>
    <t>HYPINSFMLTPNK84X66X08-90D</t>
  </si>
  <si>
    <t>HYPINSFMLTPNK84X72X08-90D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</si>
  <si>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</si>
  <si>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</si>
  <si>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</si>
  <si>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</si>
  <si>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</si>
  <si>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</si>
  <si>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</si>
  <si>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</si>
  <si>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</si>
  <si>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</si>
  <si>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</si>
  <si>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RML-CS-CIR-8.5</t>
  </si>
  <si>
    <t>HYPINSFMLTGRN72X33X08-90D</t>
  </si>
  <si>
    <t>90D-HYP-INSPREE-BLOCK-72X33X08</t>
  </si>
  <si>
    <t>HYPINSFMLTGRN72X39X08-90D</t>
  </si>
  <si>
    <t>90D-HYP-INSPREE-BLOCK-72X39X08</t>
  </si>
  <si>
    <t>HYPINSFMLTGRN72X45X08-90D</t>
  </si>
  <si>
    <t>90D-HYP-INSPREE-BLOCK-72X45X08</t>
  </si>
  <si>
    <t>HYPINSFMLTGRN72X51X08-90D</t>
  </si>
  <si>
    <t>90D-HYP-INSPREE-BLOCK-72X51X08</t>
  </si>
  <si>
    <t>HYPINSFMLTGRN72X54X08-90D</t>
  </si>
  <si>
    <t>90D-HYP-INSPREE-BLOCK-72X54X08</t>
  </si>
  <si>
    <t>HYPINSFMLTGRN72X57X08-90D</t>
  </si>
  <si>
    <t>90D-HYP-INSPREE-BLOCK-72X57X08</t>
  </si>
  <si>
    <t>HYPINSFMLTGRN72X63X08-90D</t>
  </si>
  <si>
    <t>90D-HYP-INSPREE-BLOCK-72X63X08</t>
  </si>
  <si>
    <t>HYPINSFMLTGRN72X69X08-90D</t>
  </si>
  <si>
    <t>90D-HYP-INSPREE-BLOCK-72X69X08</t>
  </si>
  <si>
    <t>HYPINSFMLTGRN75X33X08-90D</t>
  </si>
  <si>
    <t>90D-HYP-INSPREE-BLOCK-75X33X08</t>
  </si>
  <si>
    <t>HYPINSFMLTGRN75X39X08-90D</t>
  </si>
  <si>
    <t>90D-HYP-INSPREE-BLOCK-75X39X08</t>
  </si>
  <si>
    <t>HYPINSFMLTGRN75X45X08-90D</t>
  </si>
  <si>
    <t>90D-HYP-INSPREE-BLOCK-75X45X08</t>
  </si>
  <si>
    <t>HYPINSFMLTGRN75X51X08-90D</t>
  </si>
  <si>
    <t>90D-HYP-INSPREE-BLOCK-75X51X08</t>
  </si>
  <si>
    <t>HYPINSFMLTGRN75X54X08-90D</t>
  </si>
  <si>
    <t>90D-HYP-INSPREE-BLOCK-75X54X08</t>
  </si>
  <si>
    <t>HYPINSFMLTGRN75X57X08-90D</t>
  </si>
  <si>
    <t>90D-HYP-INSPREE-BLOCK-75X57X08</t>
  </si>
  <si>
    <t>HYPINSFMLTGRN75X63X08-90D</t>
  </si>
  <si>
    <t>90D-HYP-INSPREE-BLOCK-75X63X08</t>
  </si>
  <si>
    <t>HYPINSFMLTGRN75X69X08-90D</t>
  </si>
  <si>
    <t>90D-HYP-INSPREE-BLOCK-75X69X08</t>
  </si>
  <si>
    <t>HYPINSFMLTGRN78X33X08-90D</t>
  </si>
  <si>
    <t>90D-HYP-INSPREE-BLOCK-78X33X08</t>
  </si>
  <si>
    <t>HYPINSFMLTGRN78X39X08-90D</t>
  </si>
  <si>
    <t>90D-HYP-INSPREE-BLOCK-78X39X08</t>
  </si>
  <si>
    <t>HYPINSFMLTGRN78X45X08-90D</t>
  </si>
  <si>
    <t>90D-HYP-INSPREE-BLOCK-78X45X08</t>
  </si>
  <si>
    <t>HYPINSFMLTGRN78X51X08-90D</t>
  </si>
  <si>
    <t>90D-HYP-INSPREE-BLOCK-78X51X08</t>
  </si>
  <si>
    <t>HYPINSFMLTGRN78X54X08-90D</t>
  </si>
  <si>
    <t>90D-HYP-INSPREE-BLOCK-78X54X08</t>
  </si>
  <si>
    <t>HYPINSFMLTGRN78X57X08-90D</t>
  </si>
  <si>
    <t>90D-HYP-INSPREE-BLOCK-78X57X08</t>
  </si>
  <si>
    <t>HYPINSFMLTGRN78X63X08-90D</t>
  </si>
  <si>
    <t>90D-HYP-INSPREE-BLOCK-78X63X08</t>
  </si>
  <si>
    <t>HYPINSFMLTGRN78X69X08-90D</t>
  </si>
  <si>
    <t>90D-HYP-INSPREE-BLOCK-78X69X08</t>
  </si>
  <si>
    <t>HYPINSFMLTGRN80X33X08-90D</t>
  </si>
  <si>
    <t>90D-HYP-INSPREE-BLOCK-80X33X08</t>
  </si>
  <si>
    <t>HYPINSFMLTGRN80X39X08-90D</t>
  </si>
  <si>
    <t>90D-HYP-INSPREE-BLOCK-80X39X08</t>
  </si>
  <si>
    <t>HYPINSFMLTGRN80X45X08-90D</t>
  </si>
  <si>
    <t>90D-HYP-INSPREE-BLOCK-80X45X08</t>
  </si>
  <si>
    <t>HYPINSFMLTGRN80X51X08-90D</t>
  </si>
  <si>
    <t>90D-HYP-INSPREE-BLOCK-80X51X08</t>
  </si>
  <si>
    <t>HYPINSFMLTGRN80X54X08-90D</t>
  </si>
  <si>
    <t>90D-HYP-INSPREE-BLOCK-80X54X08</t>
  </si>
  <si>
    <t>HYPINSFMLTGRN80X57X08-90D</t>
  </si>
  <si>
    <t>90D-HYP-INSPREE-BLOCK-80X57X08</t>
  </si>
  <si>
    <t>HYPINSFMLTGRN80X63X08-90D</t>
  </si>
  <si>
    <t>90D-HYP-INSPREE-BLOCK-80X63X08</t>
  </si>
  <si>
    <t>HYPINSFMLTGRN80X69X08-90D</t>
  </si>
  <si>
    <t>90D-HYP-INSPREE-BLOCK-80X69X08</t>
  </si>
  <si>
    <t>HYPINSFMLTGRN84X33X08-90D</t>
  </si>
  <si>
    <t>90D-HYP-INSPREE-BLOCK-84X33X08</t>
  </si>
  <si>
    <t>HYPINSFMLTGRN84X39X08-90D</t>
  </si>
  <si>
    <t>90D-HYP-INSPREE-BLOCK-84X39X08</t>
  </si>
  <si>
    <t>HYPINSFMLTGRN84X45X08-90D</t>
  </si>
  <si>
    <t>90D-HYP-INSPREE-BLOCK-84X45X08</t>
  </si>
  <si>
    <t>HYPINSFMLTGRN84X51X08-90D</t>
  </si>
  <si>
    <t>90D-HYP-INSPREE-BLOCK-84X51X08</t>
  </si>
  <si>
    <t>HYPINSFMLTGRN84X54X08-90D</t>
  </si>
  <si>
    <t>90D-HYP-INSPREE-BLOCK-84X54X08</t>
  </si>
  <si>
    <t>HYPINSFMLTGRN84X57X08-90D</t>
  </si>
  <si>
    <t>90D-HYP-INSPREE-BLOCK-84X57X08</t>
  </si>
  <si>
    <t>HYPINSFMLTGRN84X63X08-90D</t>
  </si>
  <si>
    <t>90D-HYP-INSPREE-BLOCK-84X63X08</t>
  </si>
  <si>
    <t>HYPINSFMLTGRN84X69X08-90D</t>
  </si>
  <si>
    <t>90D-HYP-INSPREE-BLOCK-84X69X08</t>
  </si>
  <si>
    <t>HYPINSFMLTPNK72X33X08-90D</t>
  </si>
  <si>
    <t>HYPINSFMLTPNK72X39X08-90D</t>
  </si>
  <si>
    <t>HYPINSFMLTPNK72X45X08-90D</t>
  </si>
  <si>
    <t>HYPINSFMLTPNK72X51X08-90D</t>
  </si>
  <si>
    <t>HYPINSFMLTPNK72X54X08-90D</t>
  </si>
  <si>
    <t>HYPINSFMLTPNK72X57X08-90D</t>
  </si>
  <si>
    <t>HYPINSFMLTPNK72X63X08-90D</t>
  </si>
  <si>
    <t>HYPINSFMLTPNK72X69X08-90D</t>
  </si>
  <si>
    <t>HYPINSFMLTPNK75X33X08-90D</t>
  </si>
  <si>
    <t>HYPINSFMLTPNK75X39X08-90D</t>
  </si>
  <si>
    <t>HYPINSFMLTPNK75X45X08-90D</t>
  </si>
  <si>
    <t>HYPINSFMLTPNK75X51X08-90D</t>
  </si>
  <si>
    <t>HYPINSFMLTPNK75X54X08-90D</t>
  </si>
  <si>
    <t>HYPINSFMLTPNK75X57X08-90D</t>
  </si>
  <si>
    <t>HYPINSFMLTPNK75X63X08-90D</t>
  </si>
  <si>
    <t>HYPINSFMLTPNK75X69X08-90D</t>
  </si>
  <si>
    <t>HYPINSFMLTPNK78X33X08-90D</t>
  </si>
  <si>
    <t>HYPINSFMLTPNK78X39X08-90D</t>
  </si>
  <si>
    <t>HYPINSFMLTPNK78X45X08-90D</t>
  </si>
  <si>
    <t>HYPINSFMLTPNK78X51X08-90D</t>
  </si>
  <si>
    <t>HYPINSFMLTPNK78X54X08-90D</t>
  </si>
  <si>
    <t>HYPINSFMLTPNK78X57X08-90D</t>
  </si>
  <si>
    <t>HYPINSFMLTPNK78X63X08-90D</t>
  </si>
  <si>
    <t>HYPINSFMLTPNK78X69X08-90D</t>
  </si>
  <si>
    <t>HYPINSFMLTPNK80X33X08-90D</t>
  </si>
  <si>
    <t>HYPINSFMLTPNK80X39X08-90D</t>
  </si>
  <si>
    <t>HYPINSFMLTPNK80X45X08-90D</t>
  </si>
  <si>
    <t>HYPINSFMLTPNK80X51X08-90D</t>
  </si>
  <si>
    <t>HYPINSFMLTPNK80X54X08-90D</t>
  </si>
  <si>
    <t>HYPINSFMLTPNK80X57X08-90D</t>
  </si>
  <si>
    <t>HYPINSFMLTPNK80X63X08-90D</t>
  </si>
  <si>
    <t>HYPINSFMLTPNK80X69X08-90D</t>
  </si>
  <si>
    <t>HYPINSFMLTPNK84X33X08-90D</t>
  </si>
  <si>
    <t>HYPINSFMLTPNK84X39X08-90D</t>
  </si>
  <si>
    <t>HYPINSFMLTPNK84X45X08-90D</t>
  </si>
  <si>
    <t>HYPINSFMLTPNK84X51X08-90D</t>
  </si>
  <si>
    <t>HYPINSFMLTPNK84X54X08-90D</t>
  </si>
  <si>
    <t>HYPINSFMLTPNK84X57X08-90D</t>
  </si>
  <si>
    <t>HYPINSFMLTPNK84X63X08-90D</t>
  </si>
  <si>
    <t>HYPINSFMLTPNK84X69X08-90D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</si>
</sst>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8.57031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"HYPINSFMLT"&amp;IF($N$2="GRN","GRN",IF($N$2="PNK","PNK","BL"))&amp;$K$2&amp;"X"&amp;$L$2&amp;"X0"&amp;$M$2&amp;"-90D"</f>
        <v>HYPINSFMLTPNK75X36X08-90D</v>
      </c>
      <c r="E2" s="37" t="str">
        <f>"SFG-INSRB"&amp;IF(N2="GRN","GRN",IF(N2="PNK","PNK",IF(N2="MR","MR",0)))&amp;"-LTX-QUILT-90D"</f>
        <v>SFG-INSRBPNK-LTX-QUILT-90D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107</v>
      </c>
      <c r="P2" s="4" t="s">
        <v>104</v>
      </c>
      <c r="R2" s="28" t="s">
        <v>88</v>
      </c>
      <c r="S2" s="28" t="s">
        <v>94</v>
      </c>
      <c r="T2" s="28">
        <v>8</v>
      </c>
      <c r="U2" s="29" t="s">
        <v>105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"HYPINSFMLT"&amp;IF($N$2="GRN","GRN",IF($N$2="PNK","PNK","BL"))&amp;$K$2&amp;"X"&amp;$L$2&amp;"X0"&amp;$M$2&amp;"-90D"</f>
        <v>HYPINSFMLTPNK75X36X08-90D</v>
      </c>
      <c r="E3" s="47" t="s">
        <v>223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8</v>
      </c>
      <c r="U3" s="29" t="s">
        <v>105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HYPINSFMLTPNK75X36X08-90D</v>
      </c>
      <c r="E4" s="40" t="s">
        <v>100</v>
      </c>
      <c r="F4" s="11" t="s">
        <v>101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96</v>
      </c>
      <c r="T4" s="28">
        <v>8</v>
      </c>
      <c r="U4" s="29" t="s">
        <v>105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HYPINSFMLTPNK75X36X08-90D</v>
      </c>
      <c r="E5" s="44" t="s">
        <v>224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8</v>
      </c>
      <c r="U5" s="29" t="s">
        <v>105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HYPINSFMLTPNK75X36X08-90D</v>
      </c>
      <c r="E6" s="42" t="s">
        <v>102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98</v>
      </c>
      <c r="T6" s="28">
        <v>8</v>
      </c>
      <c r="U6" s="29" t="s">
        <v>105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HYPINSFMLTPNK75X36X08-90D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8</v>
      </c>
      <c r="U7" s="29" t="s">
        <v>105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HYPINSFMLTPNK75X36X08-90D</v>
      </c>
      <c r="E8" s="44" t="s">
        <v>225</v>
      </c>
      <c r="F8" s="11" t="s">
        <v>12</v>
      </c>
      <c r="G8" s="39">
        <f>(L2+M2+6)*2*0.0254*0.035</f>
        <v>8.8900000000000007E-2</v>
      </c>
      <c r="H8" s="10">
        <f t="shared" si="2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8</v>
      </c>
      <c r="U8" s="29" t="s">
        <v>105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HYPINSFMLTPNK75X36X08-90D</v>
      </c>
      <c r="E9" s="17" t="str">
        <f>IF(M2=5,"RML-CS-CIR-5.5",IF(M2=6,"RML-CS-CIR-6.5","RML-CS-CIR-8.5"))</f>
        <v>RML-CS-CIR-8.5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8</v>
      </c>
      <c r="U9" s="29" t="s">
        <v>105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HYPINSFMLTPNK75X36X08-90D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8</v>
      </c>
      <c r="U10" s="29" t="s">
        <v>105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HYPINSFMLTPNK75X36X08-90D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8</v>
      </c>
      <c r="U11" s="29" t="s">
        <v>105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HYPINSFMLTPNK75X36X08-90D</v>
      </c>
      <c r="E12" s="17" t="s">
        <v>103</v>
      </c>
      <c r="F12" s="11" t="s">
        <v>12</v>
      </c>
      <c r="G12" s="39">
        <f>(IF(K2&lt;=79,(L2*2)+(M2*2),(K2*2)+(M2*2))+4)*89.5*0.0254*0.0254*0.00009*1300</f>
        <v>0.62153295048000001</v>
      </c>
      <c r="H12" s="10">
        <f>ROUND(G12,3)</f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8</v>
      </c>
      <c r="U12" s="29" t="s">
        <v>105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HYPINSFMLTPNK75X36X08-90D</v>
      </c>
      <c r="E13" s="36" t="str">
        <f>"90D-HYP-INSPREE-BLOCK-"&amp;K2&amp;"X"&amp;L2&amp;"X0"&amp;M2</f>
        <v>90D-HYP-INSPREE-BLOCK-75X36X08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8</v>
      </c>
      <c r="U13" s="29" t="s">
        <v>105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8</v>
      </c>
      <c r="U14" s="29" t="s">
        <v>105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8</v>
      </c>
      <c r="U15" s="29" t="s">
        <v>105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8</v>
      </c>
      <c r="U16" s="29" t="s">
        <v>105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8</v>
      </c>
      <c r="U17" s="29" t="s">
        <v>105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8</v>
      </c>
      <c r="U18" s="29" t="s">
        <v>105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8</v>
      </c>
      <c r="U19" s="29" t="s">
        <v>105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8</v>
      </c>
      <c r="U20" s="29" t="s">
        <v>105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8</v>
      </c>
      <c r="U21" s="29" t="s">
        <v>105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8</v>
      </c>
      <c r="U22" s="29" t="s">
        <v>105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8</v>
      </c>
      <c r="U23" s="29" t="s">
        <v>105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8</v>
      </c>
      <c r="U24" s="29" t="s">
        <v>105</v>
      </c>
    </row>
    <row r="25" spans="5:21" x14ac:dyDescent="0.25">
      <c r="N25"/>
      <c r="O25"/>
      <c r="R25" s="28" t="s">
        <v>91</v>
      </c>
      <c r="S25" s="28" t="s">
        <v>96</v>
      </c>
      <c r="T25" s="28">
        <v>8</v>
      </c>
      <c r="U25" s="29" t="s">
        <v>105</v>
      </c>
    </row>
    <row r="26" spans="5:21" x14ac:dyDescent="0.25">
      <c r="N26"/>
      <c r="O26"/>
      <c r="R26" s="28" t="s">
        <v>91</v>
      </c>
      <c r="S26" s="28" t="s">
        <v>97</v>
      </c>
      <c r="T26" s="28">
        <v>8</v>
      </c>
      <c r="U26" s="29" t="s">
        <v>105</v>
      </c>
    </row>
    <row r="27" spans="5:21" x14ac:dyDescent="0.25">
      <c r="N27"/>
      <c r="O27"/>
      <c r="R27" s="28" t="s">
        <v>91</v>
      </c>
      <c r="S27" s="28" t="s">
        <v>98</v>
      </c>
      <c r="T27" s="28">
        <v>8</v>
      </c>
      <c r="U27" s="29" t="s">
        <v>105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8</v>
      </c>
      <c r="U28" s="29" t="s">
        <v>105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8</v>
      </c>
      <c r="U29" s="29" t="s">
        <v>105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8</v>
      </c>
      <c r="U30" s="29" t="s">
        <v>105</v>
      </c>
    </row>
    <row r="31" spans="5:21" x14ac:dyDescent="0.25">
      <c r="N31"/>
      <c r="O31"/>
      <c r="R31" s="28" t="s">
        <v>92</v>
      </c>
      <c r="S31" s="28" t="s">
        <v>95</v>
      </c>
      <c r="T31" s="28">
        <v>8</v>
      </c>
      <c r="U31" s="29" t="s">
        <v>105</v>
      </c>
    </row>
    <row r="32" spans="5:21" x14ac:dyDescent="0.25">
      <c r="N32"/>
      <c r="O32"/>
      <c r="R32" s="28" t="s">
        <v>92</v>
      </c>
      <c r="S32" s="28" t="s">
        <v>96</v>
      </c>
      <c r="T32" s="28">
        <v>8</v>
      </c>
      <c r="U32" s="29" t="s">
        <v>105</v>
      </c>
    </row>
    <row r="33" spans="14:21" x14ac:dyDescent="0.25">
      <c r="N33"/>
      <c r="O33"/>
      <c r="R33" s="28" t="s">
        <v>92</v>
      </c>
      <c r="S33" s="28" t="s">
        <v>97</v>
      </c>
      <c r="T33" s="28">
        <v>8</v>
      </c>
      <c r="U33" s="29" t="s">
        <v>105</v>
      </c>
    </row>
    <row r="34" spans="14:21" x14ac:dyDescent="0.25">
      <c r="N34"/>
      <c r="O34"/>
      <c r="R34" s="28" t="s">
        <v>92</v>
      </c>
      <c r="S34" s="28" t="s">
        <v>98</v>
      </c>
      <c r="T34" s="28">
        <v>8</v>
      </c>
      <c r="U34" s="29" t="s">
        <v>105</v>
      </c>
    </row>
    <row r="35" spans="14:21" x14ac:dyDescent="0.25">
      <c r="N35"/>
      <c r="O35"/>
      <c r="R35" s="28" t="s">
        <v>92</v>
      </c>
      <c r="S35" s="28" t="s">
        <v>99</v>
      </c>
      <c r="T35" s="28">
        <v>8</v>
      </c>
      <c r="U35" s="29" t="s">
        <v>105</v>
      </c>
    </row>
    <row r="36" spans="14:21" x14ac:dyDescent="0.25">
      <c r="N36"/>
      <c r="O36"/>
      <c r="R36" s="28" t="s">
        <v>92</v>
      </c>
      <c r="S36" s="28" t="s">
        <v>88</v>
      </c>
      <c r="T36" s="28">
        <v>8</v>
      </c>
      <c r="U36" s="29" t="s">
        <v>105</v>
      </c>
    </row>
    <row r="37" spans="14:21" x14ac:dyDescent="0.25">
      <c r="N37"/>
      <c r="O37"/>
      <c r="R37" s="28" t="s">
        <v>88</v>
      </c>
      <c r="S37" s="28" t="s">
        <v>94</v>
      </c>
      <c r="T37" s="28">
        <v>8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8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8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8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8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8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8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8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8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8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8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8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8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8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8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8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8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8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8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8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8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8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8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8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8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8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8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8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8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8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8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8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8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8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8</v>
      </c>
      <c r="U71" s="29" t="s">
        <v>107</v>
      </c>
    </row>
    <row r="72" spans="18:21" x14ac:dyDescent="0.25">
      <c r="R72" s="28" t="s">
        <v>88</v>
      </c>
      <c r="S72" s="28" t="s">
        <v>215</v>
      </c>
      <c r="T72" s="28">
        <v>8</v>
      </c>
      <c r="U72" s="29" t="s">
        <v>105</v>
      </c>
    </row>
    <row r="73" spans="18:21" x14ac:dyDescent="0.25">
      <c r="R73" s="28" t="s">
        <v>88</v>
      </c>
      <c r="S73" s="28" t="s">
        <v>216</v>
      </c>
      <c r="T73" s="28">
        <v>8</v>
      </c>
      <c r="U73" s="29" t="s">
        <v>105</v>
      </c>
    </row>
    <row r="74" spans="18:21" x14ac:dyDescent="0.25">
      <c r="R74" s="28" t="s">
        <v>88</v>
      </c>
      <c r="S74" s="28" t="s">
        <v>217</v>
      </c>
      <c r="T74" s="28">
        <v>8</v>
      </c>
      <c r="U74" s="29" t="s">
        <v>105</v>
      </c>
    </row>
    <row r="75" spans="18:21" x14ac:dyDescent="0.25">
      <c r="R75" s="28" t="s">
        <v>88</v>
      </c>
      <c r="S75" s="28" t="s">
        <v>218</v>
      </c>
      <c r="T75" s="28">
        <v>8</v>
      </c>
      <c r="U75" s="29" t="s">
        <v>105</v>
      </c>
    </row>
    <row r="76" spans="18:21" x14ac:dyDescent="0.25">
      <c r="R76" s="28" t="s">
        <v>88</v>
      </c>
      <c r="S76" s="28" t="s">
        <v>219</v>
      </c>
      <c r="T76" s="28">
        <v>8</v>
      </c>
      <c r="U76" s="29" t="s">
        <v>105</v>
      </c>
    </row>
    <row r="77" spans="18:21" x14ac:dyDescent="0.25">
      <c r="R77" s="28" t="s">
        <v>88</v>
      </c>
      <c r="S77" s="28" t="s">
        <v>220</v>
      </c>
      <c r="T77" s="28">
        <v>8</v>
      </c>
      <c r="U77" s="29" t="s">
        <v>105</v>
      </c>
    </row>
    <row r="78" spans="18:21" x14ac:dyDescent="0.25">
      <c r="R78" s="28" t="s">
        <v>88</v>
      </c>
      <c r="S78" s="28" t="s">
        <v>221</v>
      </c>
      <c r="T78" s="28">
        <v>8</v>
      </c>
      <c r="U78" s="29" t="s">
        <v>105</v>
      </c>
    </row>
    <row r="79" spans="18:21" x14ac:dyDescent="0.25">
      <c r="R79" s="28" t="s">
        <v>88</v>
      </c>
      <c r="S79" s="28" t="s">
        <v>222</v>
      </c>
      <c r="T79" s="28">
        <v>8</v>
      </c>
      <c r="U79" s="29" t="s">
        <v>105</v>
      </c>
    </row>
    <row r="80" spans="18:21" x14ac:dyDescent="0.25">
      <c r="R80" s="28" t="s">
        <v>89</v>
      </c>
      <c r="S80" s="28" t="s">
        <v>215</v>
      </c>
      <c r="T80" s="28">
        <v>8</v>
      </c>
      <c r="U80" s="29" t="s">
        <v>105</v>
      </c>
    </row>
    <row r="81" spans="18:21" x14ac:dyDescent="0.25">
      <c r="R81" s="28" t="s">
        <v>89</v>
      </c>
      <c r="S81" s="28" t="s">
        <v>216</v>
      </c>
      <c r="T81" s="28">
        <v>8</v>
      </c>
      <c r="U81" s="29" t="s">
        <v>105</v>
      </c>
    </row>
    <row r="82" spans="18:21" x14ac:dyDescent="0.25">
      <c r="R82" s="28" t="s">
        <v>89</v>
      </c>
      <c r="S82" s="28" t="s">
        <v>217</v>
      </c>
      <c r="T82" s="28">
        <v>8</v>
      </c>
      <c r="U82" s="29" t="s">
        <v>105</v>
      </c>
    </row>
    <row r="83" spans="18:21" x14ac:dyDescent="0.25">
      <c r="R83" s="28" t="s">
        <v>89</v>
      </c>
      <c r="S83" s="28" t="s">
        <v>218</v>
      </c>
      <c r="T83" s="28">
        <v>8</v>
      </c>
      <c r="U83" s="29" t="s">
        <v>105</v>
      </c>
    </row>
    <row r="84" spans="18:21" x14ac:dyDescent="0.25">
      <c r="R84" s="28" t="s">
        <v>89</v>
      </c>
      <c r="S84" s="28" t="s">
        <v>219</v>
      </c>
      <c r="T84" s="28">
        <v>8</v>
      </c>
      <c r="U84" s="29" t="s">
        <v>105</v>
      </c>
    </row>
    <row r="85" spans="18:21" x14ac:dyDescent="0.25">
      <c r="R85" s="28" t="s">
        <v>89</v>
      </c>
      <c r="S85" s="28" t="s">
        <v>220</v>
      </c>
      <c r="T85" s="28">
        <v>8</v>
      </c>
      <c r="U85" s="29" t="s">
        <v>105</v>
      </c>
    </row>
    <row r="86" spans="18:21" x14ac:dyDescent="0.25">
      <c r="R86" s="28" t="s">
        <v>89</v>
      </c>
      <c r="S86" s="28" t="s">
        <v>221</v>
      </c>
      <c r="T86" s="28">
        <v>8</v>
      </c>
      <c r="U86" s="29" t="s">
        <v>105</v>
      </c>
    </row>
    <row r="87" spans="18:21" x14ac:dyDescent="0.25">
      <c r="R87" s="28" t="s">
        <v>89</v>
      </c>
      <c r="S87" s="28" t="s">
        <v>222</v>
      </c>
      <c r="T87" s="28">
        <v>8</v>
      </c>
      <c r="U87" s="29" t="s">
        <v>105</v>
      </c>
    </row>
    <row r="88" spans="18:21" x14ac:dyDescent="0.25">
      <c r="R88" s="28" t="s">
        <v>90</v>
      </c>
      <c r="S88" s="28" t="s">
        <v>215</v>
      </c>
      <c r="T88" s="28">
        <v>8</v>
      </c>
      <c r="U88" s="29" t="s">
        <v>105</v>
      </c>
    </row>
    <row r="89" spans="18:21" x14ac:dyDescent="0.25">
      <c r="R89" s="28" t="s">
        <v>90</v>
      </c>
      <c r="S89" s="28" t="s">
        <v>216</v>
      </c>
      <c r="T89" s="28">
        <v>8</v>
      </c>
      <c r="U89" s="29" t="s">
        <v>105</v>
      </c>
    </row>
    <row r="90" spans="18:21" x14ac:dyDescent="0.25">
      <c r="R90" s="28" t="s">
        <v>90</v>
      </c>
      <c r="S90" s="28" t="s">
        <v>217</v>
      </c>
      <c r="T90" s="28">
        <v>8</v>
      </c>
      <c r="U90" s="29" t="s">
        <v>105</v>
      </c>
    </row>
    <row r="91" spans="18:21" x14ac:dyDescent="0.25">
      <c r="R91" s="28" t="s">
        <v>90</v>
      </c>
      <c r="S91" s="28" t="s">
        <v>218</v>
      </c>
      <c r="T91" s="28">
        <v>8</v>
      </c>
      <c r="U91" s="29" t="s">
        <v>105</v>
      </c>
    </row>
    <row r="92" spans="18:21" x14ac:dyDescent="0.25">
      <c r="R92" s="28" t="s">
        <v>90</v>
      </c>
      <c r="S92" s="28" t="s">
        <v>219</v>
      </c>
      <c r="T92" s="28">
        <v>8</v>
      </c>
      <c r="U92" s="29" t="s">
        <v>105</v>
      </c>
    </row>
    <row r="93" spans="18:21" x14ac:dyDescent="0.25">
      <c r="R93" s="28" t="s">
        <v>90</v>
      </c>
      <c r="S93" s="28" t="s">
        <v>220</v>
      </c>
      <c r="T93" s="28">
        <v>8</v>
      </c>
      <c r="U93" s="29" t="s">
        <v>105</v>
      </c>
    </row>
    <row r="94" spans="18:21" x14ac:dyDescent="0.25">
      <c r="R94" s="28" t="s">
        <v>90</v>
      </c>
      <c r="S94" s="28" t="s">
        <v>221</v>
      </c>
      <c r="T94" s="28">
        <v>8</v>
      </c>
      <c r="U94" s="29" t="s">
        <v>105</v>
      </c>
    </row>
    <row r="95" spans="18:21" x14ac:dyDescent="0.25">
      <c r="R95" s="28" t="s">
        <v>90</v>
      </c>
      <c r="S95" s="28" t="s">
        <v>222</v>
      </c>
      <c r="T95" s="28">
        <v>8</v>
      </c>
      <c r="U95" s="29" t="s">
        <v>105</v>
      </c>
    </row>
    <row r="96" spans="18:21" x14ac:dyDescent="0.25">
      <c r="R96" s="28" t="s">
        <v>91</v>
      </c>
      <c r="S96" s="28" t="s">
        <v>215</v>
      </c>
      <c r="T96" s="28">
        <v>8</v>
      </c>
      <c r="U96" s="29" t="s">
        <v>105</v>
      </c>
    </row>
    <row r="97" spans="18:21" x14ac:dyDescent="0.25">
      <c r="R97" s="28" t="s">
        <v>91</v>
      </c>
      <c r="S97" s="28" t="s">
        <v>216</v>
      </c>
      <c r="T97" s="28">
        <v>8</v>
      </c>
      <c r="U97" s="29" t="s">
        <v>105</v>
      </c>
    </row>
    <row r="98" spans="18:21" x14ac:dyDescent="0.25">
      <c r="R98" s="28" t="s">
        <v>91</v>
      </c>
      <c r="S98" s="28" t="s">
        <v>217</v>
      </c>
      <c r="T98" s="28">
        <v>8</v>
      </c>
      <c r="U98" s="29" t="s">
        <v>105</v>
      </c>
    </row>
    <row r="99" spans="18:21" x14ac:dyDescent="0.25">
      <c r="R99" s="28" t="s">
        <v>91</v>
      </c>
      <c r="S99" s="28" t="s">
        <v>218</v>
      </c>
      <c r="T99" s="28">
        <v>8</v>
      </c>
      <c r="U99" s="29" t="s">
        <v>105</v>
      </c>
    </row>
    <row r="100" spans="18:21" x14ac:dyDescent="0.25">
      <c r="R100" s="28" t="s">
        <v>91</v>
      </c>
      <c r="S100" s="28" t="s">
        <v>219</v>
      </c>
      <c r="T100" s="28">
        <v>8</v>
      </c>
      <c r="U100" s="29" t="s">
        <v>105</v>
      </c>
    </row>
    <row r="101" spans="18:21" x14ac:dyDescent="0.25">
      <c r="R101" s="28" t="s">
        <v>91</v>
      </c>
      <c r="S101" s="28" t="s">
        <v>220</v>
      </c>
      <c r="T101" s="28">
        <v>8</v>
      </c>
      <c r="U101" s="29" t="s">
        <v>105</v>
      </c>
    </row>
    <row r="102" spans="18:21" x14ac:dyDescent="0.25">
      <c r="R102" s="28" t="s">
        <v>91</v>
      </c>
      <c r="S102" s="28" t="s">
        <v>221</v>
      </c>
      <c r="T102" s="28">
        <v>8</v>
      </c>
      <c r="U102" s="29" t="s">
        <v>105</v>
      </c>
    </row>
    <row r="103" spans="18:21" x14ac:dyDescent="0.25">
      <c r="R103" s="28" t="s">
        <v>91</v>
      </c>
      <c r="S103" s="28" t="s">
        <v>222</v>
      </c>
      <c r="T103" s="28">
        <v>8</v>
      </c>
      <c r="U103" s="29" t="s">
        <v>105</v>
      </c>
    </row>
    <row r="104" spans="18:21" x14ac:dyDescent="0.25">
      <c r="R104" s="28" t="s">
        <v>92</v>
      </c>
      <c r="S104" s="28" t="s">
        <v>215</v>
      </c>
      <c r="T104" s="28">
        <v>8</v>
      </c>
      <c r="U104" s="29" t="s">
        <v>105</v>
      </c>
    </row>
    <row r="105" spans="18:21" x14ac:dyDescent="0.25">
      <c r="R105" s="28" t="s">
        <v>92</v>
      </c>
      <c r="S105" s="28" t="s">
        <v>216</v>
      </c>
      <c r="T105" s="28">
        <v>8</v>
      </c>
      <c r="U105" s="29" t="s">
        <v>105</v>
      </c>
    </row>
    <row r="106" spans="18:21" x14ac:dyDescent="0.25">
      <c r="R106" s="28" t="s">
        <v>92</v>
      </c>
      <c r="S106" s="28" t="s">
        <v>217</v>
      </c>
      <c r="T106" s="28">
        <v>8</v>
      </c>
      <c r="U106" s="29" t="s">
        <v>105</v>
      </c>
    </row>
    <row r="107" spans="18:21" x14ac:dyDescent="0.25">
      <c r="R107" s="28" t="s">
        <v>92</v>
      </c>
      <c r="S107" s="28" t="s">
        <v>218</v>
      </c>
      <c r="T107" s="28">
        <v>8</v>
      </c>
      <c r="U107" s="29" t="s">
        <v>105</v>
      </c>
    </row>
    <row r="108" spans="18:21" x14ac:dyDescent="0.25">
      <c r="R108" s="28" t="s">
        <v>92</v>
      </c>
      <c r="S108" s="28" t="s">
        <v>219</v>
      </c>
      <c r="T108" s="28">
        <v>8</v>
      </c>
      <c r="U108" s="29" t="s">
        <v>105</v>
      </c>
    </row>
    <row r="109" spans="18:21" x14ac:dyDescent="0.25">
      <c r="R109" s="28" t="s">
        <v>92</v>
      </c>
      <c r="S109" s="28" t="s">
        <v>220</v>
      </c>
      <c r="T109" s="28">
        <v>8</v>
      </c>
      <c r="U109" s="29" t="s">
        <v>105</v>
      </c>
    </row>
    <row r="110" spans="18:21" x14ac:dyDescent="0.25">
      <c r="R110" s="28" t="s">
        <v>92</v>
      </c>
      <c r="S110" s="28" t="s">
        <v>221</v>
      </c>
      <c r="T110" s="28">
        <v>8</v>
      </c>
      <c r="U110" s="29" t="s">
        <v>105</v>
      </c>
    </row>
    <row r="111" spans="18:21" x14ac:dyDescent="0.25">
      <c r="R111" s="28" t="s">
        <v>92</v>
      </c>
      <c r="S111" s="28" t="s">
        <v>222</v>
      </c>
      <c r="T111" s="28">
        <v>8</v>
      </c>
      <c r="U111" s="29" t="s">
        <v>105</v>
      </c>
    </row>
    <row r="112" spans="18:21" x14ac:dyDescent="0.25">
      <c r="R112" s="28" t="s">
        <v>88</v>
      </c>
      <c r="S112" s="28" t="s">
        <v>215</v>
      </c>
      <c r="T112" s="28">
        <v>8</v>
      </c>
      <c r="U112" s="29" t="s">
        <v>107</v>
      </c>
    </row>
    <row r="113" spans="18:21" x14ac:dyDescent="0.25">
      <c r="R113" s="28" t="s">
        <v>88</v>
      </c>
      <c r="S113" s="28" t="s">
        <v>216</v>
      </c>
      <c r="T113" s="28">
        <v>8</v>
      </c>
      <c r="U113" s="29" t="s">
        <v>107</v>
      </c>
    </row>
    <row r="114" spans="18:21" x14ac:dyDescent="0.25">
      <c r="R114" s="28" t="s">
        <v>88</v>
      </c>
      <c r="S114" s="28" t="s">
        <v>217</v>
      </c>
      <c r="T114" s="28">
        <v>8</v>
      </c>
      <c r="U114" s="29" t="s">
        <v>107</v>
      </c>
    </row>
    <row r="115" spans="18:21" x14ac:dyDescent="0.25">
      <c r="R115" s="28" t="s">
        <v>88</v>
      </c>
      <c r="S115" s="28" t="s">
        <v>218</v>
      </c>
      <c r="T115" s="28">
        <v>8</v>
      </c>
      <c r="U115" s="29" t="s">
        <v>107</v>
      </c>
    </row>
    <row r="116" spans="18:21" x14ac:dyDescent="0.25">
      <c r="R116" s="28" t="s">
        <v>88</v>
      </c>
      <c r="S116" s="28" t="s">
        <v>219</v>
      </c>
      <c r="T116" s="28">
        <v>8</v>
      </c>
      <c r="U116" s="29" t="s">
        <v>107</v>
      </c>
    </row>
    <row r="117" spans="18:21" x14ac:dyDescent="0.25">
      <c r="R117" s="28" t="s">
        <v>88</v>
      </c>
      <c r="S117" s="28" t="s">
        <v>220</v>
      </c>
      <c r="T117" s="28">
        <v>8</v>
      </c>
      <c r="U117" s="29" t="s">
        <v>107</v>
      </c>
    </row>
    <row r="118" spans="18:21" x14ac:dyDescent="0.25">
      <c r="R118" s="28" t="s">
        <v>88</v>
      </c>
      <c r="S118" s="28" t="s">
        <v>221</v>
      </c>
      <c r="T118" s="28">
        <v>8</v>
      </c>
      <c r="U118" s="29" t="s">
        <v>107</v>
      </c>
    </row>
    <row r="119" spans="18:21" x14ac:dyDescent="0.25">
      <c r="R119" s="28" t="s">
        <v>88</v>
      </c>
      <c r="S119" s="28" t="s">
        <v>222</v>
      </c>
      <c r="T119" s="28">
        <v>8</v>
      </c>
      <c r="U119" s="29" t="s">
        <v>107</v>
      </c>
    </row>
    <row r="120" spans="18:21" x14ac:dyDescent="0.25">
      <c r="R120" s="28" t="s">
        <v>89</v>
      </c>
      <c r="S120" s="28" t="s">
        <v>215</v>
      </c>
      <c r="T120" s="28">
        <v>8</v>
      </c>
      <c r="U120" s="29" t="s">
        <v>107</v>
      </c>
    </row>
    <row r="121" spans="18:21" x14ac:dyDescent="0.25">
      <c r="R121" s="28" t="s">
        <v>89</v>
      </c>
      <c r="S121" s="28" t="s">
        <v>216</v>
      </c>
      <c r="T121" s="28">
        <v>8</v>
      </c>
      <c r="U121" s="29" t="s">
        <v>107</v>
      </c>
    </row>
    <row r="122" spans="18:21" x14ac:dyDescent="0.25">
      <c r="R122" s="28" t="s">
        <v>89</v>
      </c>
      <c r="S122" s="28" t="s">
        <v>217</v>
      </c>
      <c r="T122" s="28">
        <v>8</v>
      </c>
      <c r="U122" s="29" t="s">
        <v>107</v>
      </c>
    </row>
    <row r="123" spans="18:21" x14ac:dyDescent="0.25">
      <c r="R123" s="28" t="s">
        <v>89</v>
      </c>
      <c r="S123" s="28" t="s">
        <v>218</v>
      </c>
      <c r="T123" s="28">
        <v>8</v>
      </c>
      <c r="U123" s="29" t="s">
        <v>107</v>
      </c>
    </row>
    <row r="124" spans="18:21" x14ac:dyDescent="0.25">
      <c r="R124" s="28" t="s">
        <v>89</v>
      </c>
      <c r="S124" s="28" t="s">
        <v>219</v>
      </c>
      <c r="T124" s="28">
        <v>8</v>
      </c>
      <c r="U124" s="29" t="s">
        <v>107</v>
      </c>
    </row>
    <row r="125" spans="18:21" x14ac:dyDescent="0.25">
      <c r="R125" s="28" t="s">
        <v>89</v>
      </c>
      <c r="S125" s="28" t="s">
        <v>220</v>
      </c>
      <c r="T125" s="28">
        <v>8</v>
      </c>
      <c r="U125" s="29" t="s">
        <v>107</v>
      </c>
    </row>
    <row r="126" spans="18:21" x14ac:dyDescent="0.25">
      <c r="R126" s="28" t="s">
        <v>89</v>
      </c>
      <c r="S126" s="28" t="s">
        <v>221</v>
      </c>
      <c r="T126" s="28">
        <v>8</v>
      </c>
      <c r="U126" s="29" t="s">
        <v>107</v>
      </c>
    </row>
    <row r="127" spans="18:21" x14ac:dyDescent="0.25">
      <c r="R127" s="28" t="s">
        <v>89</v>
      </c>
      <c r="S127" s="28" t="s">
        <v>222</v>
      </c>
      <c r="T127" s="28">
        <v>8</v>
      </c>
      <c r="U127" s="29" t="s">
        <v>107</v>
      </c>
    </row>
    <row r="128" spans="18:21" x14ac:dyDescent="0.25">
      <c r="R128" s="28" t="s">
        <v>90</v>
      </c>
      <c r="S128" s="28" t="s">
        <v>215</v>
      </c>
      <c r="T128" s="28">
        <v>8</v>
      </c>
      <c r="U128" s="29" t="s">
        <v>107</v>
      </c>
    </row>
    <row r="129" spans="18:21" x14ac:dyDescent="0.25">
      <c r="R129" s="28" t="s">
        <v>90</v>
      </c>
      <c r="S129" s="28" t="s">
        <v>216</v>
      </c>
      <c r="T129" s="28">
        <v>8</v>
      </c>
      <c r="U129" s="29" t="s">
        <v>107</v>
      </c>
    </row>
    <row r="130" spans="18:21" x14ac:dyDescent="0.25">
      <c r="R130" s="28" t="s">
        <v>90</v>
      </c>
      <c r="S130" s="28" t="s">
        <v>217</v>
      </c>
      <c r="T130" s="28">
        <v>8</v>
      </c>
      <c r="U130" s="29" t="s">
        <v>107</v>
      </c>
    </row>
    <row r="131" spans="18:21" x14ac:dyDescent="0.25">
      <c r="R131" s="28" t="s">
        <v>90</v>
      </c>
      <c r="S131" s="28" t="s">
        <v>218</v>
      </c>
      <c r="T131" s="28">
        <v>8</v>
      </c>
      <c r="U131" s="29" t="s">
        <v>107</v>
      </c>
    </row>
    <row r="132" spans="18:21" x14ac:dyDescent="0.25">
      <c r="R132" s="28" t="s">
        <v>90</v>
      </c>
      <c r="S132" s="28" t="s">
        <v>219</v>
      </c>
      <c r="T132" s="28">
        <v>8</v>
      </c>
      <c r="U132" s="29" t="s">
        <v>107</v>
      </c>
    </row>
    <row r="133" spans="18:21" x14ac:dyDescent="0.25">
      <c r="R133" s="28" t="s">
        <v>90</v>
      </c>
      <c r="S133" s="28" t="s">
        <v>220</v>
      </c>
      <c r="T133" s="28">
        <v>8</v>
      </c>
      <c r="U133" s="29" t="s">
        <v>107</v>
      </c>
    </row>
    <row r="134" spans="18:21" x14ac:dyDescent="0.25">
      <c r="R134" s="28" t="s">
        <v>90</v>
      </c>
      <c r="S134" s="28" t="s">
        <v>221</v>
      </c>
      <c r="T134" s="28">
        <v>8</v>
      </c>
      <c r="U134" s="29" t="s">
        <v>107</v>
      </c>
    </row>
    <row r="135" spans="18:21" x14ac:dyDescent="0.25">
      <c r="R135" s="28" t="s">
        <v>90</v>
      </c>
      <c r="S135" s="28" t="s">
        <v>222</v>
      </c>
      <c r="T135" s="28">
        <v>8</v>
      </c>
      <c r="U135" s="29" t="s">
        <v>107</v>
      </c>
    </row>
    <row r="136" spans="18:21" x14ac:dyDescent="0.25">
      <c r="R136" s="28" t="s">
        <v>91</v>
      </c>
      <c r="S136" s="28" t="s">
        <v>215</v>
      </c>
      <c r="T136" s="28">
        <v>8</v>
      </c>
      <c r="U136" s="29" t="s">
        <v>107</v>
      </c>
    </row>
    <row r="137" spans="18:21" x14ac:dyDescent="0.25">
      <c r="R137" s="28" t="s">
        <v>91</v>
      </c>
      <c r="S137" s="28" t="s">
        <v>216</v>
      </c>
      <c r="T137" s="28">
        <v>8</v>
      </c>
      <c r="U137" s="29" t="s">
        <v>107</v>
      </c>
    </row>
    <row r="138" spans="18:21" x14ac:dyDescent="0.25">
      <c r="R138" s="28" t="s">
        <v>91</v>
      </c>
      <c r="S138" s="28" t="s">
        <v>217</v>
      </c>
      <c r="T138" s="28">
        <v>8</v>
      </c>
      <c r="U138" s="29" t="s">
        <v>107</v>
      </c>
    </row>
    <row r="139" spans="18:21" x14ac:dyDescent="0.25">
      <c r="R139" s="28" t="s">
        <v>91</v>
      </c>
      <c r="S139" s="28" t="s">
        <v>218</v>
      </c>
      <c r="T139" s="28">
        <v>8</v>
      </c>
      <c r="U139" s="29" t="s">
        <v>107</v>
      </c>
    </row>
    <row r="140" spans="18:21" x14ac:dyDescent="0.25">
      <c r="R140" s="28" t="s">
        <v>91</v>
      </c>
      <c r="S140" s="28" t="s">
        <v>219</v>
      </c>
      <c r="T140" s="28">
        <v>8</v>
      </c>
      <c r="U140" s="29" t="s">
        <v>107</v>
      </c>
    </row>
    <row r="141" spans="18:21" x14ac:dyDescent="0.25">
      <c r="R141" s="28" t="s">
        <v>91</v>
      </c>
      <c r="S141" s="28" t="s">
        <v>220</v>
      </c>
      <c r="T141" s="28">
        <v>8</v>
      </c>
      <c r="U141" s="29" t="s">
        <v>107</v>
      </c>
    </row>
    <row r="142" spans="18:21" x14ac:dyDescent="0.25">
      <c r="R142" s="28" t="s">
        <v>91</v>
      </c>
      <c r="S142" s="28" t="s">
        <v>221</v>
      </c>
      <c r="T142" s="28">
        <v>8</v>
      </c>
      <c r="U142" s="29" t="s">
        <v>107</v>
      </c>
    </row>
    <row r="143" spans="18:21" x14ac:dyDescent="0.25">
      <c r="R143" s="28" t="s">
        <v>91</v>
      </c>
      <c r="S143" s="28" t="s">
        <v>222</v>
      </c>
      <c r="T143" s="28">
        <v>8</v>
      </c>
      <c r="U143" s="29" t="s">
        <v>107</v>
      </c>
    </row>
    <row r="144" spans="18:21" x14ac:dyDescent="0.25">
      <c r="R144" s="28" t="s">
        <v>92</v>
      </c>
      <c r="S144" s="28" t="s">
        <v>215</v>
      </c>
      <c r="T144" s="28">
        <v>8</v>
      </c>
      <c r="U144" s="29" t="s">
        <v>107</v>
      </c>
    </row>
    <row r="145" spans="18:21" x14ac:dyDescent="0.25">
      <c r="R145" s="28" t="s">
        <v>92</v>
      </c>
      <c r="S145" s="28" t="s">
        <v>216</v>
      </c>
      <c r="T145" s="28">
        <v>8</v>
      </c>
      <c r="U145" s="29" t="s">
        <v>107</v>
      </c>
    </row>
    <row r="146" spans="18:21" x14ac:dyDescent="0.25">
      <c r="R146" s="28" t="s">
        <v>92</v>
      </c>
      <c r="S146" s="28" t="s">
        <v>217</v>
      </c>
      <c r="T146" s="28">
        <v>8</v>
      </c>
      <c r="U146" s="29" t="s">
        <v>107</v>
      </c>
    </row>
    <row r="147" spans="18:21" x14ac:dyDescent="0.25">
      <c r="R147" s="28" t="s">
        <v>92</v>
      </c>
      <c r="S147" s="28" t="s">
        <v>218</v>
      </c>
      <c r="T147" s="28">
        <v>8</v>
      </c>
      <c r="U147" s="29" t="s">
        <v>107</v>
      </c>
    </row>
    <row r="148" spans="18:21" x14ac:dyDescent="0.25">
      <c r="R148" s="28" t="s">
        <v>92</v>
      </c>
      <c r="S148" s="28" t="s">
        <v>219</v>
      </c>
      <c r="T148" s="28">
        <v>8</v>
      </c>
      <c r="U148" s="29" t="s">
        <v>107</v>
      </c>
    </row>
    <row r="149" spans="18:21" x14ac:dyDescent="0.25">
      <c r="R149" s="28" t="s">
        <v>92</v>
      </c>
      <c r="S149" s="28" t="s">
        <v>220</v>
      </c>
      <c r="T149" s="28">
        <v>8</v>
      </c>
      <c r="U149" s="29" t="s">
        <v>107</v>
      </c>
    </row>
    <row r="150" spans="18:21" x14ac:dyDescent="0.25">
      <c r="R150" s="28" t="s">
        <v>92</v>
      </c>
      <c r="S150" s="28" t="s">
        <v>221</v>
      </c>
      <c r="T150" s="28">
        <v>8</v>
      </c>
      <c r="U150" s="29" t="s">
        <v>107</v>
      </c>
    </row>
    <row r="151" spans="18:21" x14ac:dyDescent="0.25">
      <c r="R151" s="28" t="s">
        <v>92</v>
      </c>
      <c r="S151" s="28" t="s">
        <v>222</v>
      </c>
      <c r="T151" s="28">
        <v>8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223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0.219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224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225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226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110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111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111</v>
      </c>
      <c r="C15">
        <v>20</v>
      </c>
      <c r="D15" t="s">
        <v>223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111</v>
      </c>
      <c r="C16">
        <v>30</v>
      </c>
      <c r="D16" t="s">
        <v>100</v>
      </c>
      <c r="E16" t="s">
        <v>101</v>
      </c>
      <c r="F16">
        <v>0.26200000000000001</v>
      </c>
      <c r="G16" t="s">
        <v>13</v>
      </c>
    </row>
    <row r="17" spans="1:7" x14ac:dyDescent="0.25">
      <c r="A17">
        <v>2</v>
      </c>
      <c r="B17" t="s">
        <v>111</v>
      </c>
      <c r="C17">
        <v>40</v>
      </c>
      <c r="D17" t="s">
        <v>224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111</v>
      </c>
      <c r="C18">
        <v>50</v>
      </c>
      <c r="D18" t="s">
        <v>102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111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111</v>
      </c>
      <c r="C20">
        <v>70</v>
      </c>
      <c r="D20" t="s">
        <v>225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111</v>
      </c>
      <c r="C21">
        <v>80</v>
      </c>
      <c r="D21" t="s">
        <v>226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111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111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111</v>
      </c>
      <c r="C24">
        <v>110</v>
      </c>
      <c r="D24" t="s">
        <v>103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111</v>
      </c>
      <c r="C25">
        <v>120</v>
      </c>
      <c r="D25" t="s">
        <v>112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113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113</v>
      </c>
      <c r="C27">
        <v>20</v>
      </c>
      <c r="D27" t="s">
        <v>223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113</v>
      </c>
      <c r="C28">
        <v>30</v>
      </c>
      <c r="D28" t="s">
        <v>100</v>
      </c>
      <c r="E28" t="s">
        <v>101</v>
      </c>
      <c r="F28">
        <v>0.30599999999999999</v>
      </c>
      <c r="G28" t="s">
        <v>13</v>
      </c>
    </row>
    <row r="29" spans="1:7" x14ac:dyDescent="0.25">
      <c r="A29">
        <v>3</v>
      </c>
      <c r="B29" t="s">
        <v>113</v>
      </c>
      <c r="C29">
        <v>40</v>
      </c>
      <c r="D29" t="s">
        <v>224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113</v>
      </c>
      <c r="C30">
        <v>50</v>
      </c>
      <c r="D30" t="s">
        <v>102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113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113</v>
      </c>
      <c r="C32">
        <v>70</v>
      </c>
      <c r="D32" t="s">
        <v>225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113</v>
      </c>
      <c r="C33">
        <v>80</v>
      </c>
      <c r="D33" t="s">
        <v>226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113</v>
      </c>
      <c r="C36">
        <v>110</v>
      </c>
      <c r="D36" t="s">
        <v>103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113</v>
      </c>
      <c r="C37">
        <v>120</v>
      </c>
      <c r="D37" t="s">
        <v>114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115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115</v>
      </c>
      <c r="C39">
        <v>20</v>
      </c>
      <c r="D39" t="s">
        <v>223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115</v>
      </c>
      <c r="C40">
        <v>30</v>
      </c>
      <c r="D40" t="s">
        <v>100</v>
      </c>
      <c r="E40" t="s">
        <v>101</v>
      </c>
      <c r="F40">
        <v>0.35</v>
      </c>
      <c r="G40" t="s">
        <v>13</v>
      </c>
    </row>
    <row r="41" spans="1:7" x14ac:dyDescent="0.25">
      <c r="A41">
        <v>4</v>
      </c>
      <c r="B41" t="s">
        <v>115</v>
      </c>
      <c r="C41">
        <v>40</v>
      </c>
      <c r="D41" t="s">
        <v>224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115</v>
      </c>
      <c r="C42">
        <v>50</v>
      </c>
      <c r="D42" t="s">
        <v>102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115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115</v>
      </c>
      <c r="C44">
        <v>70</v>
      </c>
      <c r="D44" t="s">
        <v>225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115</v>
      </c>
      <c r="C45">
        <v>80</v>
      </c>
      <c r="D45" t="s">
        <v>226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115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115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110</v>
      </c>
      <c r="D48" t="s">
        <v>103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115</v>
      </c>
      <c r="C49">
        <v>120</v>
      </c>
      <c r="D49" t="s">
        <v>116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117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117</v>
      </c>
      <c r="C51">
        <v>20</v>
      </c>
      <c r="D51" t="s">
        <v>223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117</v>
      </c>
      <c r="C52">
        <v>30</v>
      </c>
      <c r="D52" t="s">
        <v>100</v>
      </c>
      <c r="E52" t="s">
        <v>101</v>
      </c>
      <c r="F52">
        <v>0.437</v>
      </c>
      <c r="G52" t="s">
        <v>13</v>
      </c>
    </row>
    <row r="53" spans="1:7" x14ac:dyDescent="0.25">
      <c r="A53">
        <v>5</v>
      </c>
      <c r="B53" t="s">
        <v>117</v>
      </c>
      <c r="C53">
        <v>40</v>
      </c>
      <c r="D53" t="s">
        <v>224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117</v>
      </c>
      <c r="C54">
        <v>50</v>
      </c>
      <c r="D54" t="s">
        <v>102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117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117</v>
      </c>
      <c r="C56">
        <v>70</v>
      </c>
      <c r="D56" t="s">
        <v>225</v>
      </c>
      <c r="E56" t="s">
        <v>12</v>
      </c>
      <c r="F56">
        <v>0.13200000000000001</v>
      </c>
      <c r="G56" t="s">
        <v>13</v>
      </c>
    </row>
    <row r="57" spans="1:7" x14ac:dyDescent="0.25">
      <c r="A57">
        <v>5</v>
      </c>
      <c r="B57" t="s">
        <v>117</v>
      </c>
      <c r="C57">
        <v>80</v>
      </c>
      <c r="D57" t="s">
        <v>226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117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117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117</v>
      </c>
      <c r="C60">
        <v>110</v>
      </c>
      <c r="D60" t="s">
        <v>103</v>
      </c>
      <c r="E60" t="s">
        <v>12</v>
      </c>
      <c r="F60">
        <v>0.94599999999999995</v>
      </c>
      <c r="G60" t="s">
        <v>13</v>
      </c>
    </row>
    <row r="61" spans="1:7" x14ac:dyDescent="0.25">
      <c r="A61">
        <v>5</v>
      </c>
      <c r="B61" t="s">
        <v>117</v>
      </c>
      <c r="C61">
        <v>120</v>
      </c>
      <c r="D61" t="s">
        <v>118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119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119</v>
      </c>
      <c r="C63">
        <v>20</v>
      </c>
      <c r="D63" t="s">
        <v>223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119</v>
      </c>
      <c r="C64">
        <v>30</v>
      </c>
      <c r="D64" t="s">
        <v>100</v>
      </c>
      <c r="E64" t="s">
        <v>101</v>
      </c>
      <c r="F64">
        <v>0.48099999999999998</v>
      </c>
      <c r="G64" t="s">
        <v>13</v>
      </c>
    </row>
    <row r="65" spans="1:7" x14ac:dyDescent="0.25">
      <c r="A65">
        <v>6</v>
      </c>
      <c r="B65" t="s">
        <v>119</v>
      </c>
      <c r="C65">
        <v>40</v>
      </c>
      <c r="D65" t="s">
        <v>224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119</v>
      </c>
      <c r="C66">
        <v>50</v>
      </c>
      <c r="D66" t="s">
        <v>102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119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119</v>
      </c>
      <c r="C68">
        <v>70</v>
      </c>
      <c r="D68" t="s">
        <v>225</v>
      </c>
      <c r="E68" t="s">
        <v>12</v>
      </c>
      <c r="F68">
        <v>0.14199999999999999</v>
      </c>
      <c r="G68" t="s">
        <v>13</v>
      </c>
    </row>
    <row r="69" spans="1:7" x14ac:dyDescent="0.25">
      <c r="A69">
        <v>6</v>
      </c>
      <c r="B69" t="s">
        <v>119</v>
      </c>
      <c r="C69">
        <v>80</v>
      </c>
      <c r="D69" t="s">
        <v>226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119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119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119</v>
      </c>
      <c r="C72">
        <v>110</v>
      </c>
      <c r="D72" t="s">
        <v>103</v>
      </c>
      <c r="E72" t="s">
        <v>12</v>
      </c>
      <c r="F72">
        <v>1.0269999999999999</v>
      </c>
      <c r="G72" t="s">
        <v>13</v>
      </c>
    </row>
    <row r="73" spans="1:7" x14ac:dyDescent="0.25">
      <c r="A73">
        <v>6</v>
      </c>
      <c r="B73" t="s">
        <v>119</v>
      </c>
      <c r="C73">
        <v>120</v>
      </c>
      <c r="D73" t="s">
        <v>120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121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121</v>
      </c>
      <c r="C75">
        <v>20</v>
      </c>
      <c r="D75" t="s">
        <v>223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121</v>
      </c>
      <c r="C76">
        <v>30</v>
      </c>
      <c r="D76" t="s">
        <v>100</v>
      </c>
      <c r="E76" t="s">
        <v>101</v>
      </c>
      <c r="F76">
        <v>0.52500000000000002</v>
      </c>
      <c r="G76" t="s">
        <v>13</v>
      </c>
    </row>
    <row r="77" spans="1:7" x14ac:dyDescent="0.25">
      <c r="A77">
        <v>7</v>
      </c>
      <c r="B77" t="s">
        <v>121</v>
      </c>
      <c r="C77">
        <v>40</v>
      </c>
      <c r="D77" t="s">
        <v>224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121</v>
      </c>
      <c r="C78">
        <v>50</v>
      </c>
      <c r="D78" t="s">
        <v>102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121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121</v>
      </c>
      <c r="C80">
        <v>70</v>
      </c>
      <c r="D80" t="s">
        <v>225</v>
      </c>
      <c r="E80" t="s">
        <v>12</v>
      </c>
      <c r="F80">
        <v>0.153</v>
      </c>
      <c r="G80" t="s">
        <v>13</v>
      </c>
    </row>
    <row r="81" spans="1:7" x14ac:dyDescent="0.25">
      <c r="A81">
        <v>7</v>
      </c>
      <c r="B81" t="s">
        <v>121</v>
      </c>
      <c r="C81">
        <v>80</v>
      </c>
      <c r="D81" t="s">
        <v>226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121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121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121</v>
      </c>
      <c r="C84">
        <v>110</v>
      </c>
      <c r="D84" t="s">
        <v>103</v>
      </c>
      <c r="E84" t="s">
        <v>12</v>
      </c>
      <c r="F84">
        <v>1.1080000000000001</v>
      </c>
      <c r="G84" t="s">
        <v>13</v>
      </c>
    </row>
    <row r="85" spans="1:7" x14ac:dyDescent="0.25">
      <c r="A85">
        <v>7</v>
      </c>
      <c r="B85" t="s">
        <v>121</v>
      </c>
      <c r="C85">
        <v>120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123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123</v>
      </c>
      <c r="C87">
        <v>20</v>
      </c>
      <c r="D87" t="s">
        <v>223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123</v>
      </c>
      <c r="C88">
        <v>30</v>
      </c>
      <c r="D88" t="s">
        <v>100</v>
      </c>
      <c r="E88" t="s">
        <v>101</v>
      </c>
      <c r="F88">
        <v>0.22800000000000001</v>
      </c>
      <c r="G88" t="s">
        <v>13</v>
      </c>
    </row>
    <row r="89" spans="1:7" x14ac:dyDescent="0.25">
      <c r="A89">
        <v>8</v>
      </c>
      <c r="B89" t="s">
        <v>123</v>
      </c>
      <c r="C89">
        <v>40</v>
      </c>
      <c r="D89" t="s">
        <v>224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123</v>
      </c>
      <c r="C90">
        <v>50</v>
      </c>
      <c r="D90" t="s">
        <v>102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123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123</v>
      </c>
      <c r="C92">
        <v>70</v>
      </c>
      <c r="D92" t="s">
        <v>225</v>
      </c>
      <c r="E92" t="s">
        <v>12</v>
      </c>
      <c r="F92">
        <v>7.8E-2</v>
      </c>
      <c r="G92" t="s">
        <v>13</v>
      </c>
    </row>
    <row r="93" spans="1:7" x14ac:dyDescent="0.25">
      <c r="A93">
        <v>8</v>
      </c>
      <c r="B93" t="s">
        <v>123</v>
      </c>
      <c r="C93">
        <v>80</v>
      </c>
      <c r="D93" t="s">
        <v>226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123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123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123</v>
      </c>
      <c r="C96">
        <v>110</v>
      </c>
      <c r="D96" t="s">
        <v>103</v>
      </c>
      <c r="E96" t="s">
        <v>12</v>
      </c>
      <c r="F96">
        <v>0.54</v>
      </c>
      <c r="G96" t="s">
        <v>13</v>
      </c>
    </row>
    <row r="97" spans="1:7" x14ac:dyDescent="0.25">
      <c r="A97">
        <v>8</v>
      </c>
      <c r="B97" t="s">
        <v>123</v>
      </c>
      <c r="C97">
        <v>120</v>
      </c>
      <c r="D97" t="s">
        <v>124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125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125</v>
      </c>
      <c r="C99">
        <v>20</v>
      </c>
      <c r="D99" t="s">
        <v>223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125</v>
      </c>
      <c r="C100">
        <v>30</v>
      </c>
      <c r="D100" t="s">
        <v>100</v>
      </c>
      <c r="E100" t="s">
        <v>101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125</v>
      </c>
      <c r="C101">
        <v>40</v>
      </c>
      <c r="D101" t="s">
        <v>224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125</v>
      </c>
      <c r="C102">
        <v>50</v>
      </c>
      <c r="D102" t="s">
        <v>102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125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125</v>
      </c>
      <c r="C104">
        <v>70</v>
      </c>
      <c r="D104" t="s">
        <v>225</v>
      </c>
      <c r="E104" t="s">
        <v>12</v>
      </c>
      <c r="F104">
        <v>8.8999999999999996E-2</v>
      </c>
      <c r="G104" t="s">
        <v>13</v>
      </c>
    </row>
    <row r="105" spans="1:7" x14ac:dyDescent="0.25">
      <c r="A105">
        <v>9</v>
      </c>
      <c r="B105" t="s">
        <v>125</v>
      </c>
      <c r="C105">
        <v>80</v>
      </c>
      <c r="D105" t="s">
        <v>226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125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125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125</v>
      </c>
      <c r="C108">
        <v>110</v>
      </c>
      <c r="D108" t="s">
        <v>103</v>
      </c>
      <c r="E108" t="s">
        <v>12</v>
      </c>
      <c r="F108">
        <v>0.622</v>
      </c>
      <c r="G108" t="s">
        <v>13</v>
      </c>
    </row>
    <row r="109" spans="1:7" x14ac:dyDescent="0.25">
      <c r="A109">
        <v>9</v>
      </c>
      <c r="B109" t="s">
        <v>125</v>
      </c>
      <c r="C109">
        <v>120</v>
      </c>
      <c r="D109" t="s">
        <v>126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127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127</v>
      </c>
      <c r="C111">
        <v>20</v>
      </c>
      <c r="D111" t="s">
        <v>223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127</v>
      </c>
      <c r="C112">
        <v>30</v>
      </c>
      <c r="D112" t="s">
        <v>100</v>
      </c>
      <c r="E112" t="s">
        <v>101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127</v>
      </c>
      <c r="C113">
        <v>40</v>
      </c>
      <c r="D113" t="s">
        <v>224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127</v>
      </c>
      <c r="C114">
        <v>50</v>
      </c>
      <c r="D114" t="s">
        <v>102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127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127</v>
      </c>
      <c r="C116">
        <v>70</v>
      </c>
      <c r="D116" t="s">
        <v>225</v>
      </c>
      <c r="E116" t="s">
        <v>12</v>
      </c>
      <c r="F116">
        <v>0.1</v>
      </c>
      <c r="G116" t="s">
        <v>13</v>
      </c>
    </row>
    <row r="117" spans="1:7" x14ac:dyDescent="0.25">
      <c r="A117">
        <v>10</v>
      </c>
      <c r="B117" t="s">
        <v>127</v>
      </c>
      <c r="C117">
        <v>80</v>
      </c>
      <c r="D117" t="s">
        <v>226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127</v>
      </c>
      <c r="C120">
        <v>110</v>
      </c>
      <c r="D120" t="s">
        <v>103</v>
      </c>
      <c r="E120" t="s">
        <v>12</v>
      </c>
      <c r="F120">
        <v>0.70299999999999996</v>
      </c>
      <c r="G120" t="s">
        <v>13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129</v>
      </c>
      <c r="C123">
        <v>20</v>
      </c>
      <c r="D123" t="s">
        <v>223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129</v>
      </c>
      <c r="C124">
        <v>30</v>
      </c>
      <c r="D124" t="s">
        <v>100</v>
      </c>
      <c r="E124" t="s">
        <v>101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129</v>
      </c>
      <c r="C125">
        <v>40</v>
      </c>
      <c r="D125" t="s">
        <v>224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129</v>
      </c>
      <c r="C126">
        <v>50</v>
      </c>
      <c r="D126" t="s">
        <v>102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129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129</v>
      </c>
      <c r="C128">
        <v>70</v>
      </c>
      <c r="D128" t="s">
        <v>225</v>
      </c>
      <c r="E128" t="s">
        <v>12</v>
      </c>
      <c r="F128">
        <v>0.11</v>
      </c>
      <c r="G128" t="s">
        <v>13</v>
      </c>
    </row>
    <row r="129" spans="1:7" x14ac:dyDescent="0.25">
      <c r="A129">
        <v>11</v>
      </c>
      <c r="B129" t="s">
        <v>129</v>
      </c>
      <c r="C129">
        <v>80</v>
      </c>
      <c r="D129" t="s">
        <v>226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129</v>
      </c>
      <c r="C132">
        <v>110</v>
      </c>
      <c r="D132" t="s">
        <v>103</v>
      </c>
      <c r="E132" t="s">
        <v>12</v>
      </c>
      <c r="F132">
        <v>0.78400000000000003</v>
      </c>
      <c r="G132" t="s">
        <v>13</v>
      </c>
    </row>
    <row r="133" spans="1:7" x14ac:dyDescent="0.25">
      <c r="A133">
        <v>11</v>
      </c>
      <c r="B133" t="s">
        <v>129</v>
      </c>
      <c r="C133">
        <v>120</v>
      </c>
      <c r="D133" t="s">
        <v>130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131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131</v>
      </c>
      <c r="C135">
        <v>20</v>
      </c>
      <c r="D135" t="s">
        <v>223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131</v>
      </c>
      <c r="C136">
        <v>30</v>
      </c>
      <c r="D136" t="s">
        <v>100</v>
      </c>
      <c r="E136" t="s">
        <v>101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131</v>
      </c>
      <c r="C137">
        <v>40</v>
      </c>
      <c r="D137" t="s">
        <v>224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131</v>
      </c>
      <c r="C138">
        <v>50</v>
      </c>
      <c r="D138" t="s">
        <v>102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131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131</v>
      </c>
      <c r="C140">
        <v>70</v>
      </c>
      <c r="D140" t="s">
        <v>225</v>
      </c>
      <c r="E140" t="s">
        <v>12</v>
      </c>
      <c r="F140">
        <v>0.13200000000000001</v>
      </c>
      <c r="G140" t="s">
        <v>13</v>
      </c>
    </row>
    <row r="141" spans="1:7" x14ac:dyDescent="0.25">
      <c r="A141">
        <v>12</v>
      </c>
      <c r="B141" t="s">
        <v>131</v>
      </c>
      <c r="C141">
        <v>80</v>
      </c>
      <c r="D141" t="s">
        <v>226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131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131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131</v>
      </c>
      <c r="C144">
        <v>110</v>
      </c>
      <c r="D144" t="s">
        <v>103</v>
      </c>
      <c r="E144" t="s">
        <v>12</v>
      </c>
      <c r="F144">
        <v>0.94599999999999995</v>
      </c>
      <c r="G144" t="s">
        <v>13</v>
      </c>
    </row>
    <row r="145" spans="1:7" x14ac:dyDescent="0.25">
      <c r="A145">
        <v>12</v>
      </c>
      <c r="B145" t="s">
        <v>131</v>
      </c>
      <c r="C145">
        <v>120</v>
      </c>
      <c r="D145" t="s">
        <v>132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133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133</v>
      </c>
      <c r="C147">
        <v>20</v>
      </c>
      <c r="D147" t="s">
        <v>223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133</v>
      </c>
      <c r="C148">
        <v>30</v>
      </c>
      <c r="D148" t="s">
        <v>100</v>
      </c>
      <c r="E148" t="s">
        <v>101</v>
      </c>
      <c r="F148">
        <v>0.501</v>
      </c>
      <c r="G148" t="s">
        <v>13</v>
      </c>
    </row>
    <row r="149" spans="1:7" x14ac:dyDescent="0.25">
      <c r="A149">
        <v>13</v>
      </c>
      <c r="B149" t="s">
        <v>133</v>
      </c>
      <c r="C149">
        <v>40</v>
      </c>
      <c r="D149" t="s">
        <v>224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133</v>
      </c>
      <c r="C150">
        <v>50</v>
      </c>
      <c r="D150" t="s">
        <v>102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133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133</v>
      </c>
      <c r="C152">
        <v>70</v>
      </c>
      <c r="D152" t="s">
        <v>225</v>
      </c>
      <c r="E152" t="s">
        <v>12</v>
      </c>
      <c r="F152">
        <v>0.14199999999999999</v>
      </c>
      <c r="G152" t="s">
        <v>13</v>
      </c>
    </row>
    <row r="153" spans="1:7" x14ac:dyDescent="0.25">
      <c r="A153">
        <v>13</v>
      </c>
      <c r="B153" t="s">
        <v>133</v>
      </c>
      <c r="C153">
        <v>80</v>
      </c>
      <c r="D153" t="s">
        <v>226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133</v>
      </c>
      <c r="C156">
        <v>110</v>
      </c>
      <c r="D156" t="s">
        <v>103</v>
      </c>
      <c r="E156" t="s">
        <v>12</v>
      </c>
      <c r="F156">
        <v>1.0269999999999999</v>
      </c>
      <c r="G156" t="s">
        <v>13</v>
      </c>
    </row>
    <row r="157" spans="1:7" x14ac:dyDescent="0.25">
      <c r="A157">
        <v>13</v>
      </c>
      <c r="B157" t="s">
        <v>133</v>
      </c>
      <c r="C157">
        <v>120</v>
      </c>
      <c r="D157" t="s">
        <v>134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135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135</v>
      </c>
      <c r="C159">
        <v>20</v>
      </c>
      <c r="D159" t="s">
        <v>223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135</v>
      </c>
      <c r="C160">
        <v>30</v>
      </c>
      <c r="D160" t="s">
        <v>100</v>
      </c>
      <c r="E160" t="s">
        <v>101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135</v>
      </c>
      <c r="C161">
        <v>40</v>
      </c>
      <c r="D161" t="s">
        <v>224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135</v>
      </c>
      <c r="C162">
        <v>50</v>
      </c>
      <c r="D162" t="s">
        <v>102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135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135</v>
      </c>
      <c r="C164">
        <v>70</v>
      </c>
      <c r="D164" t="s">
        <v>225</v>
      </c>
      <c r="E164" t="s">
        <v>12</v>
      </c>
      <c r="F164">
        <v>0.153</v>
      </c>
      <c r="G164" t="s">
        <v>13</v>
      </c>
    </row>
    <row r="165" spans="1:7" x14ac:dyDescent="0.25">
      <c r="A165">
        <v>14</v>
      </c>
      <c r="B165" t="s">
        <v>135</v>
      </c>
      <c r="C165">
        <v>80</v>
      </c>
      <c r="D165" t="s">
        <v>226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135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135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135</v>
      </c>
      <c r="C168">
        <v>110</v>
      </c>
      <c r="D168" t="s">
        <v>103</v>
      </c>
      <c r="E168" t="s">
        <v>12</v>
      </c>
      <c r="F168">
        <v>1.1080000000000001</v>
      </c>
      <c r="G168" t="s">
        <v>13</v>
      </c>
    </row>
    <row r="169" spans="1:7" x14ac:dyDescent="0.25">
      <c r="A169">
        <v>14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137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137</v>
      </c>
      <c r="C171">
        <v>20</v>
      </c>
      <c r="D171" t="s">
        <v>223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137</v>
      </c>
      <c r="C172">
        <v>30</v>
      </c>
      <c r="D172" t="s">
        <v>100</v>
      </c>
      <c r="E172" t="s">
        <v>101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137</v>
      </c>
      <c r="C173">
        <v>40</v>
      </c>
      <c r="D173" t="s">
        <v>224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137</v>
      </c>
      <c r="C174">
        <v>50</v>
      </c>
      <c r="D174" t="s">
        <v>102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137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137</v>
      </c>
      <c r="C176">
        <v>70</v>
      </c>
      <c r="D176" t="s">
        <v>225</v>
      </c>
      <c r="E176" t="s">
        <v>12</v>
      </c>
      <c r="F176">
        <v>7.8E-2</v>
      </c>
      <c r="G176" t="s">
        <v>13</v>
      </c>
    </row>
    <row r="177" spans="1:7" x14ac:dyDescent="0.25">
      <c r="A177">
        <v>15</v>
      </c>
      <c r="B177" t="s">
        <v>137</v>
      </c>
      <c r="C177">
        <v>80</v>
      </c>
      <c r="D177" t="s">
        <v>226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137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137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137</v>
      </c>
      <c r="C180">
        <v>110</v>
      </c>
      <c r="D180" t="s">
        <v>103</v>
      </c>
      <c r="E180" t="s">
        <v>12</v>
      </c>
      <c r="F180">
        <v>0.54</v>
      </c>
      <c r="G180" t="s">
        <v>13</v>
      </c>
    </row>
    <row r="181" spans="1:7" x14ac:dyDescent="0.25">
      <c r="A181">
        <v>15</v>
      </c>
      <c r="B181" t="s">
        <v>137</v>
      </c>
      <c r="C181">
        <v>120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139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139</v>
      </c>
      <c r="C183">
        <v>20</v>
      </c>
      <c r="D183" t="s">
        <v>223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139</v>
      </c>
      <c r="C184">
        <v>30</v>
      </c>
      <c r="D184" t="s">
        <v>100</v>
      </c>
      <c r="E184" t="s">
        <v>101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139</v>
      </c>
      <c r="C185">
        <v>40</v>
      </c>
      <c r="D185" t="s">
        <v>224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139</v>
      </c>
      <c r="C186">
        <v>50</v>
      </c>
      <c r="D186" t="s">
        <v>102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139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139</v>
      </c>
      <c r="C188">
        <v>70</v>
      </c>
      <c r="D188" t="s">
        <v>225</v>
      </c>
      <c r="E188" t="s">
        <v>12</v>
      </c>
      <c r="F188">
        <v>8.8999999999999996E-2</v>
      </c>
      <c r="G188" t="s">
        <v>13</v>
      </c>
    </row>
    <row r="189" spans="1:7" x14ac:dyDescent="0.25">
      <c r="A189">
        <v>16</v>
      </c>
      <c r="B189" t="s">
        <v>139</v>
      </c>
      <c r="C189">
        <v>80</v>
      </c>
      <c r="D189" t="s">
        <v>226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139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139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139</v>
      </c>
      <c r="C192">
        <v>110</v>
      </c>
      <c r="D192" t="s">
        <v>103</v>
      </c>
      <c r="E192" t="s">
        <v>12</v>
      </c>
      <c r="F192">
        <v>0.622</v>
      </c>
      <c r="G192" t="s">
        <v>13</v>
      </c>
    </row>
    <row r="193" spans="1:7" x14ac:dyDescent="0.25">
      <c r="A193">
        <v>16</v>
      </c>
      <c r="B193" t="s">
        <v>139</v>
      </c>
      <c r="C193">
        <v>120</v>
      </c>
      <c r="D193" t="s">
        <v>140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141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141</v>
      </c>
      <c r="C195">
        <v>20</v>
      </c>
      <c r="D195" t="s">
        <v>223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141</v>
      </c>
      <c r="C196">
        <v>30</v>
      </c>
      <c r="D196" t="s">
        <v>100</v>
      </c>
      <c r="E196" t="s">
        <v>101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141</v>
      </c>
      <c r="C197">
        <v>40</v>
      </c>
      <c r="D197" t="s">
        <v>224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141</v>
      </c>
      <c r="C198">
        <v>50</v>
      </c>
      <c r="D198" t="s">
        <v>102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141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141</v>
      </c>
      <c r="C200">
        <v>70</v>
      </c>
      <c r="D200" t="s">
        <v>225</v>
      </c>
      <c r="E200" t="s">
        <v>12</v>
      </c>
      <c r="F200">
        <v>0.1</v>
      </c>
      <c r="G200" t="s">
        <v>13</v>
      </c>
    </row>
    <row r="201" spans="1:7" x14ac:dyDescent="0.25">
      <c r="A201">
        <v>17</v>
      </c>
      <c r="B201" t="s">
        <v>141</v>
      </c>
      <c r="C201">
        <v>80</v>
      </c>
      <c r="D201" t="s">
        <v>226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141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141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141</v>
      </c>
      <c r="C204">
        <v>110</v>
      </c>
      <c r="D204" t="s">
        <v>103</v>
      </c>
      <c r="E204" t="s">
        <v>12</v>
      </c>
      <c r="F204">
        <v>0.70299999999999996</v>
      </c>
      <c r="G204" t="s">
        <v>13</v>
      </c>
    </row>
    <row r="205" spans="1:7" x14ac:dyDescent="0.25">
      <c r="A205">
        <v>17</v>
      </c>
      <c r="B205" t="s">
        <v>141</v>
      </c>
      <c r="C205">
        <v>120</v>
      </c>
      <c r="D205" t="s">
        <v>142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143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143</v>
      </c>
      <c r="C207">
        <v>20</v>
      </c>
      <c r="D207" t="s">
        <v>223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143</v>
      </c>
      <c r="C208">
        <v>30</v>
      </c>
      <c r="D208" t="s">
        <v>100</v>
      </c>
      <c r="E208" t="s">
        <v>101</v>
      </c>
      <c r="F208">
        <v>0.379</v>
      </c>
      <c r="G208" t="s">
        <v>13</v>
      </c>
    </row>
    <row r="209" spans="1:7" x14ac:dyDescent="0.25">
      <c r="A209">
        <v>18</v>
      </c>
      <c r="B209" t="s">
        <v>143</v>
      </c>
      <c r="C209">
        <v>40</v>
      </c>
      <c r="D209" t="s">
        <v>224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143</v>
      </c>
      <c r="C210">
        <v>50</v>
      </c>
      <c r="D210" t="s">
        <v>102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143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143</v>
      </c>
      <c r="C212">
        <v>70</v>
      </c>
      <c r="D212" t="s">
        <v>225</v>
      </c>
      <c r="E212" t="s">
        <v>12</v>
      </c>
      <c r="F212">
        <v>0.11</v>
      </c>
      <c r="G212" t="s">
        <v>13</v>
      </c>
    </row>
    <row r="213" spans="1:7" x14ac:dyDescent="0.25">
      <c r="A213">
        <v>18</v>
      </c>
      <c r="B213" t="s">
        <v>143</v>
      </c>
      <c r="C213">
        <v>80</v>
      </c>
      <c r="D213" t="s">
        <v>226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143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143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143</v>
      </c>
      <c r="C216">
        <v>110</v>
      </c>
      <c r="D216" t="s">
        <v>103</v>
      </c>
      <c r="E216" t="s">
        <v>12</v>
      </c>
      <c r="F216">
        <v>0.78400000000000003</v>
      </c>
      <c r="G216" t="s">
        <v>13</v>
      </c>
    </row>
    <row r="217" spans="1:7" x14ac:dyDescent="0.25">
      <c r="A217">
        <v>18</v>
      </c>
      <c r="B217" t="s">
        <v>143</v>
      </c>
      <c r="C217">
        <v>120</v>
      </c>
      <c r="D217" t="s">
        <v>144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145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145</v>
      </c>
      <c r="C219">
        <v>20</v>
      </c>
      <c r="D219" t="s">
        <v>223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145</v>
      </c>
      <c r="C220">
        <v>30</v>
      </c>
      <c r="D220" t="s">
        <v>100</v>
      </c>
      <c r="E220" t="s">
        <v>101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145</v>
      </c>
      <c r="C221">
        <v>40</v>
      </c>
      <c r="D221" t="s">
        <v>224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145</v>
      </c>
      <c r="C222">
        <v>50</v>
      </c>
      <c r="D222" t="s">
        <v>102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145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145</v>
      </c>
      <c r="C224">
        <v>70</v>
      </c>
      <c r="D224" t="s">
        <v>225</v>
      </c>
      <c r="E224" t="s">
        <v>12</v>
      </c>
      <c r="F224">
        <v>0.13200000000000001</v>
      </c>
      <c r="G224" t="s">
        <v>13</v>
      </c>
    </row>
    <row r="225" spans="1:7" x14ac:dyDescent="0.25">
      <c r="A225">
        <v>19</v>
      </c>
      <c r="B225" t="s">
        <v>145</v>
      </c>
      <c r="C225">
        <v>80</v>
      </c>
      <c r="D225" t="s">
        <v>226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145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145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145</v>
      </c>
      <c r="C228">
        <v>110</v>
      </c>
      <c r="D228" t="s">
        <v>103</v>
      </c>
      <c r="E228" t="s">
        <v>12</v>
      </c>
      <c r="F228">
        <v>0.94599999999999995</v>
      </c>
      <c r="G228" t="s">
        <v>13</v>
      </c>
    </row>
    <row r="229" spans="1:7" x14ac:dyDescent="0.25">
      <c r="A229">
        <v>19</v>
      </c>
      <c r="B229" t="s">
        <v>145</v>
      </c>
      <c r="C229">
        <v>120</v>
      </c>
      <c r="D229" t="s">
        <v>146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147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147</v>
      </c>
      <c r="C231">
        <v>20</v>
      </c>
      <c r="D231" t="s">
        <v>223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147</v>
      </c>
      <c r="C232">
        <v>30</v>
      </c>
      <c r="D232" t="s">
        <v>100</v>
      </c>
      <c r="E232" t="s">
        <v>101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147</v>
      </c>
      <c r="C233">
        <v>40</v>
      </c>
      <c r="D233" t="s">
        <v>224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147</v>
      </c>
      <c r="C234">
        <v>50</v>
      </c>
      <c r="D234" t="s">
        <v>102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147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147</v>
      </c>
      <c r="C236">
        <v>70</v>
      </c>
      <c r="D236" t="s">
        <v>225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20</v>
      </c>
      <c r="B237" t="s">
        <v>147</v>
      </c>
      <c r="C237">
        <v>80</v>
      </c>
      <c r="D237" t="s">
        <v>226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147</v>
      </c>
      <c r="C240">
        <v>110</v>
      </c>
      <c r="D240" t="s">
        <v>103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20</v>
      </c>
      <c r="B241" t="s">
        <v>147</v>
      </c>
      <c r="C241">
        <v>120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149</v>
      </c>
      <c r="C243">
        <v>20</v>
      </c>
      <c r="D243" t="s">
        <v>223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149</v>
      </c>
      <c r="C244">
        <v>30</v>
      </c>
      <c r="D244" t="s">
        <v>100</v>
      </c>
      <c r="E244" t="s">
        <v>101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149</v>
      </c>
      <c r="C245">
        <v>40</v>
      </c>
      <c r="D245" t="s">
        <v>224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149</v>
      </c>
      <c r="C246">
        <v>50</v>
      </c>
      <c r="D246" t="s">
        <v>102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149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149</v>
      </c>
      <c r="C248">
        <v>70</v>
      </c>
      <c r="D248" t="s">
        <v>225</v>
      </c>
      <c r="E248" t="s">
        <v>12</v>
      </c>
      <c r="F248">
        <v>0.153</v>
      </c>
      <c r="G248" t="s">
        <v>13</v>
      </c>
    </row>
    <row r="249" spans="1:7" x14ac:dyDescent="0.25">
      <c r="A249">
        <v>21</v>
      </c>
      <c r="B249" t="s">
        <v>149</v>
      </c>
      <c r="C249">
        <v>80</v>
      </c>
      <c r="D249" t="s">
        <v>226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149</v>
      </c>
      <c r="C252">
        <v>110</v>
      </c>
      <c r="D252" t="s">
        <v>103</v>
      </c>
      <c r="E252" t="s">
        <v>12</v>
      </c>
      <c r="F252">
        <v>1.1080000000000001</v>
      </c>
      <c r="G252" t="s">
        <v>13</v>
      </c>
    </row>
    <row r="253" spans="1:7" x14ac:dyDescent="0.25">
      <c r="A253">
        <v>21</v>
      </c>
      <c r="B253" t="s">
        <v>149</v>
      </c>
      <c r="C253">
        <v>120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151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151</v>
      </c>
      <c r="C255">
        <v>20</v>
      </c>
      <c r="D255" t="s">
        <v>223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151</v>
      </c>
      <c r="C256">
        <v>30</v>
      </c>
      <c r="D256" t="s">
        <v>100</v>
      </c>
      <c r="E256" t="s">
        <v>101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151</v>
      </c>
      <c r="C257">
        <v>40</v>
      </c>
      <c r="D257" t="s">
        <v>224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151</v>
      </c>
      <c r="C258">
        <v>50</v>
      </c>
      <c r="D258" t="s">
        <v>102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151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151</v>
      </c>
      <c r="C260">
        <v>70</v>
      </c>
      <c r="D260" t="s">
        <v>225</v>
      </c>
      <c r="E260" t="s">
        <v>12</v>
      </c>
      <c r="F260">
        <v>7.8E-2</v>
      </c>
      <c r="G260" t="s">
        <v>13</v>
      </c>
    </row>
    <row r="261" spans="1:7" x14ac:dyDescent="0.25">
      <c r="A261">
        <v>22</v>
      </c>
      <c r="B261" t="s">
        <v>151</v>
      </c>
      <c r="C261">
        <v>80</v>
      </c>
      <c r="D261" t="s">
        <v>226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151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151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151</v>
      </c>
      <c r="C264">
        <v>110</v>
      </c>
      <c r="D264" t="s">
        <v>103</v>
      </c>
      <c r="E264" t="s">
        <v>12</v>
      </c>
      <c r="F264">
        <v>1.216</v>
      </c>
      <c r="G264" t="s">
        <v>13</v>
      </c>
    </row>
    <row r="265" spans="1:7" x14ac:dyDescent="0.25">
      <c r="A265">
        <v>22</v>
      </c>
      <c r="B265" t="s">
        <v>151</v>
      </c>
      <c r="C265">
        <v>120</v>
      </c>
      <c r="D265" t="s">
        <v>152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153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153</v>
      </c>
      <c r="C267">
        <v>20</v>
      </c>
      <c r="D267" t="s">
        <v>223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153</v>
      </c>
      <c r="C268">
        <v>30</v>
      </c>
      <c r="D268" t="s">
        <v>100</v>
      </c>
      <c r="E268" t="s">
        <v>101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153</v>
      </c>
      <c r="C269">
        <v>40</v>
      </c>
      <c r="D269" t="s">
        <v>224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153</v>
      </c>
      <c r="C270">
        <v>50</v>
      </c>
      <c r="D270" t="s">
        <v>102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153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153</v>
      </c>
      <c r="C272">
        <v>70</v>
      </c>
      <c r="D272" t="s">
        <v>225</v>
      </c>
      <c r="E272" t="s">
        <v>12</v>
      </c>
      <c r="F272">
        <v>8.8999999999999996E-2</v>
      </c>
      <c r="G272" t="s">
        <v>13</v>
      </c>
    </row>
    <row r="273" spans="1:7" x14ac:dyDescent="0.25">
      <c r="A273">
        <v>23</v>
      </c>
      <c r="B273" t="s">
        <v>153</v>
      </c>
      <c r="C273">
        <v>80</v>
      </c>
      <c r="D273" t="s">
        <v>226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153</v>
      </c>
      <c r="C276">
        <v>110</v>
      </c>
      <c r="D276" t="s">
        <v>103</v>
      </c>
      <c r="E276" t="s">
        <v>12</v>
      </c>
      <c r="F276">
        <v>1.216</v>
      </c>
      <c r="G276" t="s">
        <v>13</v>
      </c>
    </row>
    <row r="277" spans="1:7" x14ac:dyDescent="0.25">
      <c r="A277">
        <v>23</v>
      </c>
      <c r="B277" t="s">
        <v>153</v>
      </c>
      <c r="C277">
        <v>120</v>
      </c>
      <c r="D277" t="s">
        <v>154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155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155</v>
      </c>
      <c r="C279">
        <v>20</v>
      </c>
      <c r="D279" t="s">
        <v>223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155</v>
      </c>
      <c r="C280">
        <v>30</v>
      </c>
      <c r="D280" t="s">
        <v>100</v>
      </c>
      <c r="E280" t="s">
        <v>101</v>
      </c>
      <c r="F280">
        <v>0.34</v>
      </c>
      <c r="G280" t="s">
        <v>13</v>
      </c>
    </row>
    <row r="281" spans="1:7" x14ac:dyDescent="0.25">
      <c r="A281">
        <v>24</v>
      </c>
      <c r="B281" t="s">
        <v>155</v>
      </c>
      <c r="C281">
        <v>40</v>
      </c>
      <c r="D281" t="s">
        <v>224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155</v>
      </c>
      <c r="C282">
        <v>50</v>
      </c>
      <c r="D282" t="s">
        <v>102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155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155</v>
      </c>
      <c r="C284">
        <v>70</v>
      </c>
      <c r="D284" t="s">
        <v>225</v>
      </c>
      <c r="E284" t="s">
        <v>12</v>
      </c>
      <c r="F284">
        <v>0.1</v>
      </c>
      <c r="G284" t="s">
        <v>13</v>
      </c>
    </row>
    <row r="285" spans="1:7" x14ac:dyDescent="0.25">
      <c r="A285">
        <v>24</v>
      </c>
      <c r="B285" t="s">
        <v>155</v>
      </c>
      <c r="C285">
        <v>80</v>
      </c>
      <c r="D285" t="s">
        <v>226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155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155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155</v>
      </c>
      <c r="C288">
        <v>110</v>
      </c>
      <c r="D288" t="s">
        <v>103</v>
      </c>
      <c r="E288" t="s">
        <v>12</v>
      </c>
      <c r="F288">
        <v>1.216</v>
      </c>
      <c r="G288" t="s">
        <v>13</v>
      </c>
    </row>
    <row r="289" spans="1:7" x14ac:dyDescent="0.25">
      <c r="A289">
        <v>24</v>
      </c>
      <c r="B289" t="s">
        <v>155</v>
      </c>
      <c r="C289">
        <v>120</v>
      </c>
      <c r="D289" t="s">
        <v>156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157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157</v>
      </c>
      <c r="C291">
        <v>20</v>
      </c>
      <c r="D291" t="s">
        <v>223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157</v>
      </c>
      <c r="C292">
        <v>30</v>
      </c>
      <c r="D292" t="s">
        <v>100</v>
      </c>
      <c r="E292" t="s">
        <v>101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157</v>
      </c>
      <c r="C293">
        <v>40</v>
      </c>
      <c r="D293" t="s">
        <v>224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157</v>
      </c>
      <c r="C294">
        <v>50</v>
      </c>
      <c r="D294" t="s">
        <v>102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157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157</v>
      </c>
      <c r="C296">
        <v>70</v>
      </c>
      <c r="D296" t="s">
        <v>225</v>
      </c>
      <c r="E296" t="s">
        <v>12</v>
      </c>
      <c r="F296">
        <v>0.11</v>
      </c>
      <c r="G296" t="s">
        <v>13</v>
      </c>
    </row>
    <row r="297" spans="1:7" x14ac:dyDescent="0.25">
      <c r="A297">
        <v>25</v>
      </c>
      <c r="B297" t="s">
        <v>157</v>
      </c>
      <c r="C297">
        <v>80</v>
      </c>
      <c r="D297" t="s">
        <v>226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157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157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157</v>
      </c>
      <c r="C300">
        <v>110</v>
      </c>
      <c r="D300" t="s">
        <v>103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157</v>
      </c>
      <c r="C301">
        <v>120</v>
      </c>
      <c r="D301" t="s">
        <v>158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159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159</v>
      </c>
      <c r="C303">
        <v>20</v>
      </c>
      <c r="D303" t="s">
        <v>223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159</v>
      </c>
      <c r="C304">
        <v>30</v>
      </c>
      <c r="D304" t="s">
        <v>100</v>
      </c>
      <c r="E304" t="s">
        <v>101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159</v>
      </c>
      <c r="C305">
        <v>40</v>
      </c>
      <c r="D305" t="s">
        <v>224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159</v>
      </c>
      <c r="C306">
        <v>50</v>
      </c>
      <c r="D306" t="s">
        <v>102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159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159</v>
      </c>
      <c r="C308">
        <v>70</v>
      </c>
      <c r="D308" t="s">
        <v>225</v>
      </c>
      <c r="E308" t="s">
        <v>12</v>
      </c>
      <c r="F308">
        <v>0.13200000000000001</v>
      </c>
      <c r="G308" t="s">
        <v>13</v>
      </c>
    </row>
    <row r="309" spans="1:7" x14ac:dyDescent="0.25">
      <c r="A309">
        <v>26</v>
      </c>
      <c r="B309" t="s">
        <v>159</v>
      </c>
      <c r="C309">
        <v>80</v>
      </c>
      <c r="D309" t="s">
        <v>226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159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159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159</v>
      </c>
      <c r="C312">
        <v>110</v>
      </c>
      <c r="D312" t="s">
        <v>103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159</v>
      </c>
      <c r="C313">
        <v>120</v>
      </c>
      <c r="D313" t="s">
        <v>160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161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161</v>
      </c>
      <c r="C315">
        <v>20</v>
      </c>
      <c r="D315" t="s">
        <v>223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161</v>
      </c>
      <c r="C316">
        <v>30</v>
      </c>
      <c r="D316" t="s">
        <v>100</v>
      </c>
      <c r="E316" t="s">
        <v>101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161</v>
      </c>
      <c r="C317">
        <v>40</v>
      </c>
      <c r="D317" t="s">
        <v>224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161</v>
      </c>
      <c r="C318">
        <v>50</v>
      </c>
      <c r="D318" t="s">
        <v>102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161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161</v>
      </c>
      <c r="C320">
        <v>70</v>
      </c>
      <c r="D320" t="s">
        <v>225</v>
      </c>
      <c r="E320" t="s">
        <v>12</v>
      </c>
      <c r="F320">
        <v>0.14199999999999999</v>
      </c>
      <c r="G320" t="s">
        <v>13</v>
      </c>
    </row>
    <row r="321" spans="1:7" x14ac:dyDescent="0.25">
      <c r="A321">
        <v>27</v>
      </c>
      <c r="B321" t="s">
        <v>161</v>
      </c>
      <c r="C321">
        <v>80</v>
      </c>
      <c r="D321" t="s">
        <v>226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161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161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161</v>
      </c>
      <c r="C324">
        <v>110</v>
      </c>
      <c r="D324" t="s">
        <v>103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161</v>
      </c>
      <c r="C325">
        <v>120</v>
      </c>
      <c r="D325" t="s">
        <v>162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163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163</v>
      </c>
      <c r="C327">
        <v>20</v>
      </c>
      <c r="D327" t="s">
        <v>223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163</v>
      </c>
      <c r="C328">
        <v>30</v>
      </c>
      <c r="D328" t="s">
        <v>100</v>
      </c>
      <c r="E328" t="s">
        <v>101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163</v>
      </c>
      <c r="C329">
        <v>40</v>
      </c>
      <c r="D329" t="s">
        <v>224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163</v>
      </c>
      <c r="C330">
        <v>50</v>
      </c>
      <c r="D330" t="s">
        <v>102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163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163</v>
      </c>
      <c r="C332">
        <v>70</v>
      </c>
      <c r="D332" t="s">
        <v>225</v>
      </c>
      <c r="E332" t="s">
        <v>12</v>
      </c>
      <c r="F332">
        <v>0.153</v>
      </c>
      <c r="G332" t="s">
        <v>13</v>
      </c>
    </row>
    <row r="333" spans="1:7" x14ac:dyDescent="0.25">
      <c r="A333">
        <v>28</v>
      </c>
      <c r="B333" t="s">
        <v>163</v>
      </c>
      <c r="C333">
        <v>80</v>
      </c>
      <c r="D333" t="s">
        <v>226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163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163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163</v>
      </c>
      <c r="C336">
        <v>110</v>
      </c>
      <c r="D336" t="s">
        <v>103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163</v>
      </c>
      <c r="C337">
        <v>120</v>
      </c>
      <c r="D337" t="s">
        <v>164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165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165</v>
      </c>
      <c r="C339">
        <v>20</v>
      </c>
      <c r="D339" t="s">
        <v>223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165</v>
      </c>
      <c r="C340">
        <v>30</v>
      </c>
      <c r="D340" t="s">
        <v>100</v>
      </c>
      <c r="E340" t="s">
        <v>101</v>
      </c>
      <c r="F340">
        <v>0.255</v>
      </c>
      <c r="G340" t="s">
        <v>13</v>
      </c>
    </row>
    <row r="341" spans="1:7" x14ac:dyDescent="0.25">
      <c r="A341">
        <v>29</v>
      </c>
      <c r="B341" t="s">
        <v>165</v>
      </c>
      <c r="C341">
        <v>40</v>
      </c>
      <c r="D341" t="s">
        <v>224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165</v>
      </c>
      <c r="C342">
        <v>50</v>
      </c>
      <c r="D342" t="s">
        <v>102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165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165</v>
      </c>
      <c r="C344">
        <v>70</v>
      </c>
      <c r="D344" t="s">
        <v>225</v>
      </c>
      <c r="E344" t="s">
        <v>12</v>
      </c>
      <c r="F344">
        <v>7.8E-2</v>
      </c>
      <c r="G344" t="s">
        <v>13</v>
      </c>
    </row>
    <row r="345" spans="1:7" x14ac:dyDescent="0.25">
      <c r="A345">
        <v>29</v>
      </c>
      <c r="B345" t="s">
        <v>165</v>
      </c>
      <c r="C345">
        <v>80</v>
      </c>
      <c r="D345" t="s">
        <v>226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165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165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165</v>
      </c>
      <c r="C348">
        <v>110</v>
      </c>
      <c r="D348" t="s">
        <v>103</v>
      </c>
      <c r="E348" t="s">
        <v>12</v>
      </c>
      <c r="F348">
        <v>1.27</v>
      </c>
      <c r="G348" t="s">
        <v>13</v>
      </c>
    </row>
    <row r="349" spans="1:7" x14ac:dyDescent="0.25">
      <c r="A349">
        <v>29</v>
      </c>
      <c r="B349" t="s">
        <v>165</v>
      </c>
      <c r="C349">
        <v>120</v>
      </c>
      <c r="D349" t="s">
        <v>166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167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167</v>
      </c>
      <c r="C351">
        <v>20</v>
      </c>
      <c r="D351" t="s">
        <v>223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167</v>
      </c>
      <c r="C352">
        <v>30</v>
      </c>
      <c r="D352" t="s">
        <v>100</v>
      </c>
      <c r="E352" t="s">
        <v>101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167</v>
      </c>
      <c r="C353">
        <v>40</v>
      </c>
      <c r="D353" t="s">
        <v>224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167</v>
      </c>
      <c r="C354">
        <v>50</v>
      </c>
      <c r="D354" t="s">
        <v>102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167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167</v>
      </c>
      <c r="C356">
        <v>70</v>
      </c>
      <c r="D356" t="s">
        <v>225</v>
      </c>
      <c r="E356" t="s">
        <v>12</v>
      </c>
      <c r="F356">
        <v>8.8999999999999996E-2</v>
      </c>
      <c r="G356" t="s">
        <v>13</v>
      </c>
    </row>
    <row r="357" spans="1:7" x14ac:dyDescent="0.25">
      <c r="A357">
        <v>30</v>
      </c>
      <c r="B357" t="s">
        <v>167</v>
      </c>
      <c r="C357">
        <v>80</v>
      </c>
      <c r="D357" t="s">
        <v>226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167</v>
      </c>
      <c r="C360">
        <v>110</v>
      </c>
      <c r="D360" t="s">
        <v>103</v>
      </c>
      <c r="E360" t="s">
        <v>12</v>
      </c>
      <c r="F360">
        <v>1.27</v>
      </c>
      <c r="G360" t="s">
        <v>13</v>
      </c>
    </row>
    <row r="361" spans="1:7" x14ac:dyDescent="0.25">
      <c r="A361">
        <v>30</v>
      </c>
      <c r="B361" t="s">
        <v>167</v>
      </c>
      <c r="C361">
        <v>120</v>
      </c>
      <c r="D361" t="s">
        <v>168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169</v>
      </c>
      <c r="C363">
        <v>20</v>
      </c>
      <c r="D363" t="s">
        <v>223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169</v>
      </c>
      <c r="C364">
        <v>30</v>
      </c>
      <c r="D364" t="s">
        <v>100</v>
      </c>
      <c r="E364" t="s">
        <v>101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169</v>
      </c>
      <c r="C365">
        <v>40</v>
      </c>
      <c r="D365" t="s">
        <v>224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169</v>
      </c>
      <c r="C366">
        <v>50</v>
      </c>
      <c r="D366" t="s">
        <v>102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169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169</v>
      </c>
      <c r="C368">
        <v>70</v>
      </c>
      <c r="D368" t="s">
        <v>225</v>
      </c>
      <c r="E368" t="s">
        <v>12</v>
      </c>
      <c r="F368">
        <v>0.1</v>
      </c>
      <c r="G368" t="s">
        <v>13</v>
      </c>
    </row>
    <row r="369" spans="1:7" x14ac:dyDescent="0.25">
      <c r="A369">
        <v>31</v>
      </c>
      <c r="B369" t="s">
        <v>169</v>
      </c>
      <c r="C369">
        <v>80</v>
      </c>
      <c r="D369" t="s">
        <v>226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169</v>
      </c>
      <c r="C372">
        <v>110</v>
      </c>
      <c r="D372" t="s">
        <v>103</v>
      </c>
      <c r="E372" t="s">
        <v>12</v>
      </c>
      <c r="F372">
        <v>1.27</v>
      </c>
      <c r="G372" t="s">
        <v>13</v>
      </c>
    </row>
    <row r="373" spans="1:7" x14ac:dyDescent="0.25">
      <c r="A373">
        <v>31</v>
      </c>
      <c r="B373" t="s">
        <v>169</v>
      </c>
      <c r="C373">
        <v>120</v>
      </c>
      <c r="D373" t="s">
        <v>170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171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171</v>
      </c>
      <c r="C375">
        <v>20</v>
      </c>
      <c r="D375" t="s">
        <v>223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171</v>
      </c>
      <c r="C376">
        <v>30</v>
      </c>
      <c r="D376" t="s">
        <v>100</v>
      </c>
      <c r="E376" t="s">
        <v>101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171</v>
      </c>
      <c r="C377">
        <v>40</v>
      </c>
      <c r="D377" t="s">
        <v>224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171</v>
      </c>
      <c r="C378">
        <v>50</v>
      </c>
      <c r="D378" t="s">
        <v>102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171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171</v>
      </c>
      <c r="C380">
        <v>70</v>
      </c>
      <c r="D380" t="s">
        <v>225</v>
      </c>
      <c r="E380" t="s">
        <v>12</v>
      </c>
      <c r="F380">
        <v>0.11</v>
      </c>
      <c r="G380" t="s">
        <v>13</v>
      </c>
    </row>
    <row r="381" spans="1:7" x14ac:dyDescent="0.25">
      <c r="A381">
        <v>32</v>
      </c>
      <c r="B381" t="s">
        <v>171</v>
      </c>
      <c r="C381">
        <v>80</v>
      </c>
      <c r="D381" t="s">
        <v>226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171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171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171</v>
      </c>
      <c r="C384">
        <v>110</v>
      </c>
      <c r="D384" t="s">
        <v>103</v>
      </c>
      <c r="E384" t="s">
        <v>12</v>
      </c>
      <c r="F384">
        <v>1.27</v>
      </c>
      <c r="G384" t="s">
        <v>13</v>
      </c>
    </row>
    <row r="385" spans="1:7" x14ac:dyDescent="0.25">
      <c r="A385">
        <v>32</v>
      </c>
      <c r="B385" t="s">
        <v>171</v>
      </c>
      <c r="C385">
        <v>120</v>
      </c>
      <c r="D385" t="s">
        <v>172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173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173</v>
      </c>
      <c r="C387">
        <v>20</v>
      </c>
      <c r="D387" t="s">
        <v>223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173</v>
      </c>
      <c r="C388">
        <v>30</v>
      </c>
      <c r="D388" t="s">
        <v>100</v>
      </c>
      <c r="E388" t="s">
        <v>101</v>
      </c>
      <c r="F388">
        <v>0.51</v>
      </c>
      <c r="G388" t="s">
        <v>13</v>
      </c>
    </row>
    <row r="389" spans="1:7" x14ac:dyDescent="0.25">
      <c r="A389">
        <v>33</v>
      </c>
      <c r="B389" t="s">
        <v>173</v>
      </c>
      <c r="C389">
        <v>40</v>
      </c>
      <c r="D389" t="s">
        <v>224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173</v>
      </c>
      <c r="C390">
        <v>50</v>
      </c>
      <c r="D390" t="s">
        <v>102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173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173</v>
      </c>
      <c r="C392">
        <v>70</v>
      </c>
      <c r="D392" t="s">
        <v>225</v>
      </c>
      <c r="E392" t="s">
        <v>12</v>
      </c>
      <c r="F392">
        <v>0.13200000000000001</v>
      </c>
      <c r="G392" t="s">
        <v>13</v>
      </c>
    </row>
    <row r="393" spans="1:7" x14ac:dyDescent="0.25">
      <c r="A393">
        <v>33</v>
      </c>
      <c r="B393" t="s">
        <v>173</v>
      </c>
      <c r="C393">
        <v>80</v>
      </c>
      <c r="D393" t="s">
        <v>226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173</v>
      </c>
      <c r="C396">
        <v>110</v>
      </c>
      <c r="D396" t="s">
        <v>103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173</v>
      </c>
      <c r="C397">
        <v>120</v>
      </c>
      <c r="D397" t="s">
        <v>174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175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175</v>
      </c>
      <c r="C399">
        <v>20</v>
      </c>
      <c r="D399" t="s">
        <v>223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175</v>
      </c>
      <c r="C400">
        <v>30</v>
      </c>
      <c r="D400" t="s">
        <v>100</v>
      </c>
      <c r="E400" t="s">
        <v>101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175</v>
      </c>
      <c r="C401">
        <v>40</v>
      </c>
      <c r="D401" t="s">
        <v>224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175</v>
      </c>
      <c r="C402">
        <v>50</v>
      </c>
      <c r="D402" t="s">
        <v>102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175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175</v>
      </c>
      <c r="C404">
        <v>70</v>
      </c>
      <c r="D404" t="s">
        <v>225</v>
      </c>
      <c r="E404" t="s">
        <v>12</v>
      </c>
      <c r="F404">
        <v>0.14199999999999999</v>
      </c>
      <c r="G404" t="s">
        <v>13</v>
      </c>
    </row>
    <row r="405" spans="1:7" x14ac:dyDescent="0.25">
      <c r="A405">
        <v>34</v>
      </c>
      <c r="B405" t="s">
        <v>175</v>
      </c>
      <c r="C405">
        <v>80</v>
      </c>
      <c r="D405" t="s">
        <v>226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175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175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175</v>
      </c>
      <c r="C408">
        <v>110</v>
      </c>
      <c r="D408" t="s">
        <v>103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175</v>
      </c>
      <c r="C409">
        <v>120</v>
      </c>
      <c r="D409" t="s">
        <v>176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177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177</v>
      </c>
      <c r="C411">
        <v>20</v>
      </c>
      <c r="D411" t="s">
        <v>223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177</v>
      </c>
      <c r="C412">
        <v>30</v>
      </c>
      <c r="D412" t="s">
        <v>100</v>
      </c>
      <c r="E412" t="s">
        <v>101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177</v>
      </c>
      <c r="C413">
        <v>40</v>
      </c>
      <c r="D413" t="s">
        <v>224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177</v>
      </c>
      <c r="C414">
        <v>50</v>
      </c>
      <c r="D414" t="s">
        <v>102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177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177</v>
      </c>
      <c r="C416">
        <v>70</v>
      </c>
      <c r="D416" t="s">
        <v>225</v>
      </c>
      <c r="E416" t="s">
        <v>12</v>
      </c>
      <c r="F416">
        <v>0.153</v>
      </c>
      <c r="G416" t="s">
        <v>13</v>
      </c>
    </row>
    <row r="417" spans="1:7" x14ac:dyDescent="0.25">
      <c r="A417">
        <v>35</v>
      </c>
      <c r="B417" t="s">
        <v>177</v>
      </c>
      <c r="C417">
        <v>80</v>
      </c>
      <c r="D417" t="s">
        <v>226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177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177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177</v>
      </c>
      <c r="C420">
        <v>110</v>
      </c>
      <c r="D420" t="s">
        <v>103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177</v>
      </c>
      <c r="C421">
        <v>120</v>
      </c>
      <c r="D421" t="s">
        <v>178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179</v>
      </c>
      <c r="C422">
        <v>10</v>
      </c>
      <c r="D422" t="s">
        <v>180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179</v>
      </c>
      <c r="C423">
        <v>20</v>
      </c>
      <c r="D423" t="s">
        <v>223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179</v>
      </c>
      <c r="C424">
        <v>30</v>
      </c>
      <c r="D424" t="s">
        <v>100</v>
      </c>
      <c r="E424" t="s">
        <v>101</v>
      </c>
      <c r="F424">
        <v>0.219</v>
      </c>
      <c r="G424" t="s">
        <v>13</v>
      </c>
    </row>
    <row r="425" spans="1:7" x14ac:dyDescent="0.25">
      <c r="A425">
        <v>36</v>
      </c>
      <c r="B425" t="s">
        <v>179</v>
      </c>
      <c r="C425">
        <v>40</v>
      </c>
      <c r="D425" t="s">
        <v>224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179</v>
      </c>
      <c r="C426">
        <v>50</v>
      </c>
      <c r="D426" t="s">
        <v>102</v>
      </c>
      <c r="E426" t="s">
        <v>14</v>
      </c>
      <c r="F426">
        <v>10.465</v>
      </c>
      <c r="G426" t="s">
        <v>13</v>
      </c>
    </row>
    <row r="427" spans="1:7" x14ac:dyDescent="0.25">
      <c r="A427">
        <v>36</v>
      </c>
      <c r="B427" t="s">
        <v>179</v>
      </c>
      <c r="C427">
        <v>60</v>
      </c>
      <c r="D427" t="s">
        <v>16</v>
      </c>
      <c r="E427" t="s">
        <v>14</v>
      </c>
      <c r="F427">
        <v>64.983000000000004</v>
      </c>
      <c r="G427" t="s">
        <v>13</v>
      </c>
    </row>
    <row r="428" spans="1:7" x14ac:dyDescent="0.25">
      <c r="A428">
        <v>36</v>
      </c>
      <c r="B428" t="s">
        <v>179</v>
      </c>
      <c r="C428">
        <v>70</v>
      </c>
      <c r="D428" t="s">
        <v>225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179</v>
      </c>
      <c r="C429">
        <v>80</v>
      </c>
      <c r="D429" t="s">
        <v>226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179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179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179</v>
      </c>
      <c r="C432">
        <v>110</v>
      </c>
      <c r="D432" t="s">
        <v>103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179</v>
      </c>
      <c r="C433">
        <v>120</v>
      </c>
      <c r="D433" t="s">
        <v>110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181</v>
      </c>
      <c r="C434">
        <v>10</v>
      </c>
      <c r="D434" t="s">
        <v>180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181</v>
      </c>
      <c r="C435">
        <v>20</v>
      </c>
      <c r="D435" t="s">
        <v>223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181</v>
      </c>
      <c r="C436">
        <v>30</v>
      </c>
      <c r="D436" t="s">
        <v>100</v>
      </c>
      <c r="E436" t="s">
        <v>101</v>
      </c>
      <c r="F436">
        <v>0.26200000000000001</v>
      </c>
      <c r="G436" t="s">
        <v>13</v>
      </c>
    </row>
    <row r="437" spans="1:7" x14ac:dyDescent="0.25">
      <c r="A437">
        <v>37</v>
      </c>
      <c r="B437" t="s">
        <v>181</v>
      </c>
      <c r="C437">
        <v>40</v>
      </c>
      <c r="D437" t="s">
        <v>224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181</v>
      </c>
      <c r="C438">
        <v>50</v>
      </c>
      <c r="D438" t="s">
        <v>102</v>
      </c>
      <c r="E438" t="s">
        <v>14</v>
      </c>
      <c r="F438">
        <v>11.074</v>
      </c>
      <c r="G438" t="s">
        <v>13</v>
      </c>
    </row>
    <row r="439" spans="1:7" x14ac:dyDescent="0.25">
      <c r="A439">
        <v>37</v>
      </c>
      <c r="B439" t="s">
        <v>181</v>
      </c>
      <c r="C439">
        <v>60</v>
      </c>
      <c r="D439" t="s">
        <v>16</v>
      </c>
      <c r="E439" t="s">
        <v>14</v>
      </c>
      <c r="F439">
        <v>68.731999999999999</v>
      </c>
      <c r="G439" t="s">
        <v>13</v>
      </c>
    </row>
    <row r="440" spans="1:7" x14ac:dyDescent="0.25">
      <c r="A440">
        <v>37</v>
      </c>
      <c r="B440" t="s">
        <v>181</v>
      </c>
      <c r="C440">
        <v>70</v>
      </c>
      <c r="D440" t="s">
        <v>225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181</v>
      </c>
      <c r="C441">
        <v>80</v>
      </c>
      <c r="D441" t="s">
        <v>226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181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181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181</v>
      </c>
      <c r="C444">
        <v>110</v>
      </c>
      <c r="D444" t="s">
        <v>103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181</v>
      </c>
      <c r="C445">
        <v>120</v>
      </c>
      <c r="D445" t="s">
        <v>112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182</v>
      </c>
      <c r="C446">
        <v>10</v>
      </c>
      <c r="D446" t="s">
        <v>180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182</v>
      </c>
      <c r="C447">
        <v>20</v>
      </c>
      <c r="D447" t="s">
        <v>223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182</v>
      </c>
      <c r="C448">
        <v>30</v>
      </c>
      <c r="D448" t="s">
        <v>100</v>
      </c>
      <c r="E448" t="s">
        <v>101</v>
      </c>
      <c r="F448">
        <v>0.30599999999999999</v>
      </c>
      <c r="G448" t="s">
        <v>13</v>
      </c>
    </row>
    <row r="449" spans="1:7" x14ac:dyDescent="0.25">
      <c r="A449">
        <v>38</v>
      </c>
      <c r="B449" t="s">
        <v>182</v>
      </c>
      <c r="C449">
        <v>40</v>
      </c>
      <c r="D449" t="s">
        <v>224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182</v>
      </c>
      <c r="C450">
        <v>50</v>
      </c>
      <c r="D450" t="s">
        <v>102</v>
      </c>
      <c r="E450" t="s">
        <v>14</v>
      </c>
      <c r="F450">
        <v>11.683999999999999</v>
      </c>
      <c r="G450" t="s">
        <v>13</v>
      </c>
    </row>
    <row r="451" spans="1:7" x14ac:dyDescent="0.25">
      <c r="A451">
        <v>38</v>
      </c>
      <c r="B451" t="s">
        <v>182</v>
      </c>
      <c r="C451">
        <v>60</v>
      </c>
      <c r="D451" t="s">
        <v>16</v>
      </c>
      <c r="E451" t="s">
        <v>14</v>
      </c>
      <c r="F451">
        <v>72.480999999999995</v>
      </c>
      <c r="G451" t="s">
        <v>13</v>
      </c>
    </row>
    <row r="452" spans="1:7" x14ac:dyDescent="0.25">
      <c r="A452">
        <v>38</v>
      </c>
      <c r="B452" t="s">
        <v>182</v>
      </c>
      <c r="C452">
        <v>70</v>
      </c>
      <c r="D452" t="s">
        <v>225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182</v>
      </c>
      <c r="C453">
        <v>80</v>
      </c>
      <c r="D453" t="s">
        <v>226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182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182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182</v>
      </c>
      <c r="C456">
        <v>110</v>
      </c>
      <c r="D456" t="s">
        <v>103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182</v>
      </c>
      <c r="C457">
        <v>120</v>
      </c>
      <c r="D457" t="s">
        <v>114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180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223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100</v>
      </c>
      <c r="E460" t="s">
        <v>101</v>
      </c>
      <c r="F460">
        <v>0.35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224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102</v>
      </c>
      <c r="E462" t="s">
        <v>14</v>
      </c>
      <c r="F462">
        <v>12.294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16</v>
      </c>
      <c r="E463" t="s">
        <v>14</v>
      </c>
      <c r="F463">
        <v>76.23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225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226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116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184</v>
      </c>
      <c r="C470">
        <v>10</v>
      </c>
      <c r="D470" t="s">
        <v>180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184</v>
      </c>
      <c r="C471">
        <v>20</v>
      </c>
      <c r="D471" t="s">
        <v>223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184</v>
      </c>
      <c r="C472">
        <v>30</v>
      </c>
      <c r="D472" t="s">
        <v>100</v>
      </c>
      <c r="E472" t="s">
        <v>101</v>
      </c>
      <c r="F472">
        <v>0.437</v>
      </c>
      <c r="G472" t="s">
        <v>13</v>
      </c>
    </row>
    <row r="473" spans="1:7" x14ac:dyDescent="0.25">
      <c r="A473">
        <v>40</v>
      </c>
      <c r="B473" t="s">
        <v>184</v>
      </c>
      <c r="C473">
        <v>40</v>
      </c>
      <c r="D473" t="s">
        <v>224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184</v>
      </c>
      <c r="C474">
        <v>50</v>
      </c>
      <c r="D474" t="s">
        <v>102</v>
      </c>
      <c r="E474" t="s">
        <v>14</v>
      </c>
      <c r="F474">
        <v>13.513</v>
      </c>
      <c r="G474" t="s">
        <v>13</v>
      </c>
    </row>
    <row r="475" spans="1:7" x14ac:dyDescent="0.25">
      <c r="A475">
        <v>40</v>
      </c>
      <c r="B475" t="s">
        <v>184</v>
      </c>
      <c r="C475">
        <v>60</v>
      </c>
      <c r="D475" t="s">
        <v>16</v>
      </c>
      <c r="E475" t="s">
        <v>14</v>
      </c>
      <c r="F475">
        <v>83.728999999999999</v>
      </c>
      <c r="G475" t="s">
        <v>13</v>
      </c>
    </row>
    <row r="476" spans="1:7" x14ac:dyDescent="0.25">
      <c r="A476">
        <v>40</v>
      </c>
      <c r="B476" t="s">
        <v>184</v>
      </c>
      <c r="C476">
        <v>70</v>
      </c>
      <c r="D476" t="s">
        <v>225</v>
      </c>
      <c r="E476" t="s">
        <v>12</v>
      </c>
      <c r="F476">
        <v>0.13200000000000001</v>
      </c>
      <c r="G476" t="s">
        <v>13</v>
      </c>
    </row>
    <row r="477" spans="1:7" x14ac:dyDescent="0.25">
      <c r="A477">
        <v>40</v>
      </c>
      <c r="B477" t="s">
        <v>184</v>
      </c>
      <c r="C477">
        <v>80</v>
      </c>
      <c r="D477" t="s">
        <v>226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184</v>
      </c>
      <c r="C480">
        <v>110</v>
      </c>
      <c r="D480" t="s">
        <v>103</v>
      </c>
      <c r="E480" t="s">
        <v>12</v>
      </c>
      <c r="F480">
        <v>0.94599999999999995</v>
      </c>
      <c r="G480" t="s">
        <v>13</v>
      </c>
    </row>
    <row r="481" spans="1:7" x14ac:dyDescent="0.25">
      <c r="A481">
        <v>40</v>
      </c>
      <c r="B481" t="s">
        <v>184</v>
      </c>
      <c r="C481">
        <v>120</v>
      </c>
      <c r="D481" t="s">
        <v>118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185</v>
      </c>
      <c r="C482">
        <v>10</v>
      </c>
      <c r="D482" t="s">
        <v>180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185</v>
      </c>
      <c r="C483">
        <v>20</v>
      </c>
      <c r="D483" t="s">
        <v>223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185</v>
      </c>
      <c r="C484">
        <v>30</v>
      </c>
      <c r="D484" t="s">
        <v>100</v>
      </c>
      <c r="E484" t="s">
        <v>101</v>
      </c>
      <c r="F484">
        <v>0.48099999999999998</v>
      </c>
      <c r="G484" t="s">
        <v>13</v>
      </c>
    </row>
    <row r="485" spans="1:7" x14ac:dyDescent="0.25">
      <c r="A485">
        <v>41</v>
      </c>
      <c r="B485" t="s">
        <v>185</v>
      </c>
      <c r="C485">
        <v>40</v>
      </c>
      <c r="D485" t="s">
        <v>224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185</v>
      </c>
      <c r="C486">
        <v>50</v>
      </c>
      <c r="D486" t="s">
        <v>102</v>
      </c>
      <c r="E486" t="s">
        <v>14</v>
      </c>
      <c r="F486">
        <v>14.122</v>
      </c>
      <c r="G486" t="s">
        <v>13</v>
      </c>
    </row>
    <row r="487" spans="1:7" x14ac:dyDescent="0.25">
      <c r="A487">
        <v>41</v>
      </c>
      <c r="B487" t="s">
        <v>185</v>
      </c>
      <c r="C487">
        <v>60</v>
      </c>
      <c r="D487" t="s">
        <v>16</v>
      </c>
      <c r="E487" t="s">
        <v>14</v>
      </c>
      <c r="F487">
        <v>87.477999999999994</v>
      </c>
      <c r="G487" t="s">
        <v>13</v>
      </c>
    </row>
    <row r="488" spans="1:7" x14ac:dyDescent="0.25">
      <c r="A488">
        <v>41</v>
      </c>
      <c r="B488" t="s">
        <v>185</v>
      </c>
      <c r="C488">
        <v>70</v>
      </c>
      <c r="D488" t="s">
        <v>225</v>
      </c>
      <c r="E488" t="s">
        <v>12</v>
      </c>
      <c r="F488">
        <v>0.14199999999999999</v>
      </c>
      <c r="G488" t="s">
        <v>13</v>
      </c>
    </row>
    <row r="489" spans="1:7" x14ac:dyDescent="0.25">
      <c r="A489">
        <v>41</v>
      </c>
      <c r="B489" t="s">
        <v>185</v>
      </c>
      <c r="C489">
        <v>80</v>
      </c>
      <c r="D489" t="s">
        <v>226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185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185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185</v>
      </c>
      <c r="C492">
        <v>110</v>
      </c>
      <c r="D492" t="s">
        <v>103</v>
      </c>
      <c r="E492" t="s">
        <v>12</v>
      </c>
      <c r="F492">
        <v>1.0269999999999999</v>
      </c>
      <c r="G492" t="s">
        <v>13</v>
      </c>
    </row>
    <row r="493" spans="1:7" x14ac:dyDescent="0.25">
      <c r="A493">
        <v>41</v>
      </c>
      <c r="B493" t="s">
        <v>185</v>
      </c>
      <c r="C493">
        <v>120</v>
      </c>
      <c r="D493" t="s">
        <v>120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186</v>
      </c>
      <c r="C494">
        <v>10</v>
      </c>
      <c r="D494" t="s">
        <v>180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186</v>
      </c>
      <c r="C495">
        <v>20</v>
      </c>
      <c r="D495" t="s">
        <v>223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186</v>
      </c>
      <c r="C496">
        <v>30</v>
      </c>
      <c r="D496" t="s">
        <v>100</v>
      </c>
      <c r="E496" t="s">
        <v>101</v>
      </c>
      <c r="F496">
        <v>0.52500000000000002</v>
      </c>
      <c r="G496" t="s">
        <v>13</v>
      </c>
    </row>
    <row r="497" spans="1:7" x14ac:dyDescent="0.25">
      <c r="A497">
        <v>42</v>
      </c>
      <c r="B497" t="s">
        <v>186</v>
      </c>
      <c r="C497">
        <v>40</v>
      </c>
      <c r="D497" t="s">
        <v>224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186</v>
      </c>
      <c r="C498">
        <v>50</v>
      </c>
      <c r="D498" t="s">
        <v>102</v>
      </c>
      <c r="E498" t="s">
        <v>14</v>
      </c>
      <c r="F498">
        <v>14.731999999999999</v>
      </c>
      <c r="G498" t="s">
        <v>13</v>
      </c>
    </row>
    <row r="499" spans="1:7" x14ac:dyDescent="0.25">
      <c r="A499">
        <v>42</v>
      </c>
      <c r="B499" t="s">
        <v>186</v>
      </c>
      <c r="C499">
        <v>60</v>
      </c>
      <c r="D499" t="s">
        <v>16</v>
      </c>
      <c r="E499" t="s">
        <v>14</v>
      </c>
      <c r="F499">
        <v>91.227000000000004</v>
      </c>
      <c r="G499" t="s">
        <v>13</v>
      </c>
    </row>
    <row r="500" spans="1:7" x14ac:dyDescent="0.25">
      <c r="A500">
        <v>42</v>
      </c>
      <c r="B500" t="s">
        <v>186</v>
      </c>
      <c r="C500">
        <v>70</v>
      </c>
      <c r="D500" t="s">
        <v>225</v>
      </c>
      <c r="E500" t="s">
        <v>12</v>
      </c>
      <c r="F500">
        <v>0.153</v>
      </c>
      <c r="G500" t="s">
        <v>13</v>
      </c>
    </row>
    <row r="501" spans="1:7" x14ac:dyDescent="0.25">
      <c r="A501">
        <v>42</v>
      </c>
      <c r="B501" t="s">
        <v>186</v>
      </c>
      <c r="C501">
        <v>80</v>
      </c>
      <c r="D501" t="s">
        <v>226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186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186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186</v>
      </c>
      <c r="C504">
        <v>110</v>
      </c>
      <c r="D504" t="s">
        <v>103</v>
      </c>
      <c r="E504" t="s">
        <v>12</v>
      </c>
      <c r="F504">
        <v>1.1080000000000001</v>
      </c>
      <c r="G504" t="s">
        <v>13</v>
      </c>
    </row>
    <row r="505" spans="1:7" x14ac:dyDescent="0.25">
      <c r="A505">
        <v>42</v>
      </c>
      <c r="B505" t="s">
        <v>186</v>
      </c>
      <c r="C505">
        <v>120</v>
      </c>
      <c r="D505" t="s">
        <v>122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180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223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100</v>
      </c>
      <c r="E508" t="s">
        <v>101</v>
      </c>
      <c r="F508">
        <v>0.22800000000000001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224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102</v>
      </c>
      <c r="E510" t="s">
        <v>14</v>
      </c>
      <c r="F510">
        <v>10.77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16</v>
      </c>
      <c r="E511" t="s">
        <v>14</v>
      </c>
      <c r="F511">
        <v>66.858000000000004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225</v>
      </c>
      <c r="E512" t="s">
        <v>12</v>
      </c>
      <c r="F512">
        <v>7.8E-2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226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103</v>
      </c>
      <c r="E516" t="s">
        <v>12</v>
      </c>
      <c r="F516">
        <v>0.54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124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188</v>
      </c>
      <c r="C518">
        <v>10</v>
      </c>
      <c r="D518" t="s">
        <v>180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188</v>
      </c>
      <c r="C519">
        <v>20</v>
      </c>
      <c r="D519" t="s">
        <v>223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188</v>
      </c>
      <c r="C520">
        <v>30</v>
      </c>
      <c r="D520" t="s">
        <v>100</v>
      </c>
      <c r="E520" t="s">
        <v>101</v>
      </c>
      <c r="F520">
        <v>0.27300000000000002</v>
      </c>
      <c r="G520" t="s">
        <v>13</v>
      </c>
    </row>
    <row r="521" spans="1:7" x14ac:dyDescent="0.25">
      <c r="A521">
        <v>44</v>
      </c>
      <c r="B521" t="s">
        <v>188</v>
      </c>
      <c r="C521">
        <v>40</v>
      </c>
      <c r="D521" t="s">
        <v>224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188</v>
      </c>
      <c r="C522">
        <v>50</v>
      </c>
      <c r="D522" t="s">
        <v>102</v>
      </c>
      <c r="E522" t="s">
        <v>14</v>
      </c>
      <c r="F522">
        <v>11.379</v>
      </c>
      <c r="G522" t="s">
        <v>13</v>
      </c>
    </row>
    <row r="523" spans="1:7" x14ac:dyDescent="0.25">
      <c r="A523">
        <v>44</v>
      </c>
      <c r="B523" t="s">
        <v>188</v>
      </c>
      <c r="C523">
        <v>60</v>
      </c>
      <c r="D523" t="s">
        <v>16</v>
      </c>
      <c r="E523" t="s">
        <v>14</v>
      </c>
      <c r="F523">
        <v>70.606999999999999</v>
      </c>
      <c r="G523" t="s">
        <v>13</v>
      </c>
    </row>
    <row r="524" spans="1:7" x14ac:dyDescent="0.25">
      <c r="A524">
        <v>44</v>
      </c>
      <c r="B524" t="s">
        <v>188</v>
      </c>
      <c r="C524">
        <v>70</v>
      </c>
      <c r="D524" t="s">
        <v>225</v>
      </c>
      <c r="E524" t="s">
        <v>12</v>
      </c>
      <c r="F524">
        <v>8.8999999999999996E-2</v>
      </c>
      <c r="G524" t="s">
        <v>13</v>
      </c>
    </row>
    <row r="525" spans="1:7" x14ac:dyDescent="0.25">
      <c r="A525">
        <v>44</v>
      </c>
      <c r="B525" t="s">
        <v>188</v>
      </c>
      <c r="C525">
        <v>80</v>
      </c>
      <c r="D525" t="s">
        <v>226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188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188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188</v>
      </c>
      <c r="C528">
        <v>110</v>
      </c>
      <c r="D528" t="s">
        <v>103</v>
      </c>
      <c r="E528" t="s">
        <v>12</v>
      </c>
      <c r="F528">
        <v>0.622</v>
      </c>
      <c r="G528" t="s">
        <v>13</v>
      </c>
    </row>
    <row r="529" spans="1:7" x14ac:dyDescent="0.25">
      <c r="A529">
        <v>44</v>
      </c>
      <c r="B529" t="s">
        <v>188</v>
      </c>
      <c r="C529">
        <v>120</v>
      </c>
      <c r="D529" t="s">
        <v>126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180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223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100</v>
      </c>
      <c r="E532" t="s">
        <v>101</v>
      </c>
      <c r="F532">
        <v>0.31900000000000001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224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102</v>
      </c>
      <c r="E534" t="s">
        <v>14</v>
      </c>
      <c r="F534">
        <v>11.989000000000001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16</v>
      </c>
      <c r="E535" t="s">
        <v>14</v>
      </c>
      <c r="F535">
        <v>74.355999999999995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225</v>
      </c>
      <c r="E536" t="s">
        <v>12</v>
      </c>
      <c r="F536">
        <v>0.1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226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103</v>
      </c>
      <c r="E540" t="s">
        <v>12</v>
      </c>
      <c r="F540">
        <v>0.70299999999999996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128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190</v>
      </c>
      <c r="C542">
        <v>10</v>
      </c>
      <c r="D542" t="s">
        <v>180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190</v>
      </c>
      <c r="C543">
        <v>20</v>
      </c>
      <c r="D543" t="s">
        <v>223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190</v>
      </c>
      <c r="C544">
        <v>30</v>
      </c>
      <c r="D544" t="s">
        <v>100</v>
      </c>
      <c r="E544" t="s">
        <v>101</v>
      </c>
      <c r="F544">
        <v>0.36499999999999999</v>
      </c>
      <c r="G544" t="s">
        <v>13</v>
      </c>
    </row>
    <row r="545" spans="1:7" x14ac:dyDescent="0.25">
      <c r="A545">
        <v>46</v>
      </c>
      <c r="B545" t="s">
        <v>190</v>
      </c>
      <c r="C545">
        <v>40</v>
      </c>
      <c r="D545" t="s">
        <v>224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190</v>
      </c>
      <c r="C546">
        <v>50</v>
      </c>
      <c r="D546" t="s">
        <v>102</v>
      </c>
      <c r="E546" t="s">
        <v>14</v>
      </c>
      <c r="F546">
        <v>12.598000000000001</v>
      </c>
      <c r="G546" t="s">
        <v>13</v>
      </c>
    </row>
    <row r="547" spans="1:7" x14ac:dyDescent="0.25">
      <c r="A547">
        <v>46</v>
      </c>
      <c r="B547" t="s">
        <v>190</v>
      </c>
      <c r="C547">
        <v>60</v>
      </c>
      <c r="D547" t="s">
        <v>16</v>
      </c>
      <c r="E547" t="s">
        <v>14</v>
      </c>
      <c r="F547">
        <v>78.105000000000004</v>
      </c>
      <c r="G547" t="s">
        <v>13</v>
      </c>
    </row>
    <row r="548" spans="1:7" x14ac:dyDescent="0.25">
      <c r="A548">
        <v>46</v>
      </c>
      <c r="B548" t="s">
        <v>190</v>
      </c>
      <c r="C548">
        <v>70</v>
      </c>
      <c r="D548" t="s">
        <v>225</v>
      </c>
      <c r="E548" t="s">
        <v>12</v>
      </c>
      <c r="F548">
        <v>0.11</v>
      </c>
      <c r="G548" t="s">
        <v>13</v>
      </c>
    </row>
    <row r="549" spans="1:7" x14ac:dyDescent="0.25">
      <c r="A549">
        <v>46</v>
      </c>
      <c r="B549" t="s">
        <v>190</v>
      </c>
      <c r="C549">
        <v>80</v>
      </c>
      <c r="D549" t="s">
        <v>226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190</v>
      </c>
      <c r="C552">
        <v>110</v>
      </c>
      <c r="D552" t="s">
        <v>103</v>
      </c>
      <c r="E552" t="s">
        <v>12</v>
      </c>
      <c r="F552">
        <v>0.78400000000000003</v>
      </c>
      <c r="G552" t="s">
        <v>13</v>
      </c>
    </row>
    <row r="553" spans="1:7" x14ac:dyDescent="0.25">
      <c r="A553">
        <v>46</v>
      </c>
      <c r="B553" t="s">
        <v>190</v>
      </c>
      <c r="C553">
        <v>120</v>
      </c>
      <c r="D553" t="s">
        <v>130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191</v>
      </c>
      <c r="C554">
        <v>10</v>
      </c>
      <c r="D554" t="s">
        <v>180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191</v>
      </c>
      <c r="C555">
        <v>20</v>
      </c>
      <c r="D555" t="s">
        <v>223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191</v>
      </c>
      <c r="C556">
        <v>30</v>
      </c>
      <c r="D556" t="s">
        <v>100</v>
      </c>
      <c r="E556" t="s">
        <v>101</v>
      </c>
      <c r="F556">
        <v>0.45600000000000002</v>
      </c>
      <c r="G556" t="s">
        <v>13</v>
      </c>
    </row>
    <row r="557" spans="1:7" x14ac:dyDescent="0.25">
      <c r="A557">
        <v>47</v>
      </c>
      <c r="B557" t="s">
        <v>191</v>
      </c>
      <c r="C557">
        <v>40</v>
      </c>
      <c r="D557" t="s">
        <v>224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191</v>
      </c>
      <c r="C558">
        <v>50</v>
      </c>
      <c r="D558" t="s">
        <v>102</v>
      </c>
      <c r="E558" t="s">
        <v>14</v>
      </c>
      <c r="F558">
        <v>13.818</v>
      </c>
      <c r="G558" t="s">
        <v>13</v>
      </c>
    </row>
    <row r="559" spans="1:7" x14ac:dyDescent="0.25">
      <c r="A559">
        <v>47</v>
      </c>
      <c r="B559" t="s">
        <v>191</v>
      </c>
      <c r="C559">
        <v>60</v>
      </c>
      <c r="D559" t="s">
        <v>16</v>
      </c>
      <c r="E559" t="s">
        <v>14</v>
      </c>
      <c r="F559">
        <v>85.602999999999994</v>
      </c>
      <c r="G559" t="s">
        <v>13</v>
      </c>
    </row>
    <row r="560" spans="1:7" x14ac:dyDescent="0.25">
      <c r="A560">
        <v>47</v>
      </c>
      <c r="B560" t="s">
        <v>191</v>
      </c>
      <c r="C560">
        <v>70</v>
      </c>
      <c r="D560" t="s">
        <v>225</v>
      </c>
      <c r="E560" t="s">
        <v>12</v>
      </c>
      <c r="F560">
        <v>0.13200000000000001</v>
      </c>
      <c r="G560" t="s">
        <v>13</v>
      </c>
    </row>
    <row r="561" spans="1:7" x14ac:dyDescent="0.25">
      <c r="A561">
        <v>47</v>
      </c>
      <c r="B561" t="s">
        <v>191</v>
      </c>
      <c r="C561">
        <v>80</v>
      </c>
      <c r="D561" t="s">
        <v>226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191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191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191</v>
      </c>
      <c r="C564">
        <v>110</v>
      </c>
      <c r="D564" t="s">
        <v>103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191</v>
      </c>
      <c r="C565">
        <v>120</v>
      </c>
      <c r="D565" t="s">
        <v>132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192</v>
      </c>
      <c r="C566">
        <v>10</v>
      </c>
      <c r="D566" t="s">
        <v>180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192</v>
      </c>
      <c r="C567">
        <v>20</v>
      </c>
      <c r="D567" t="s">
        <v>223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192</v>
      </c>
      <c r="C568">
        <v>30</v>
      </c>
      <c r="D568" t="s">
        <v>100</v>
      </c>
      <c r="E568" t="s">
        <v>101</v>
      </c>
      <c r="F568">
        <v>0.501</v>
      </c>
      <c r="G568" t="s">
        <v>13</v>
      </c>
    </row>
    <row r="569" spans="1:7" x14ac:dyDescent="0.25">
      <c r="A569">
        <v>48</v>
      </c>
      <c r="B569" t="s">
        <v>192</v>
      </c>
      <c r="C569">
        <v>40</v>
      </c>
      <c r="D569" t="s">
        <v>224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192</v>
      </c>
      <c r="C570">
        <v>50</v>
      </c>
      <c r="D570" t="s">
        <v>102</v>
      </c>
      <c r="E570" t="s">
        <v>14</v>
      </c>
      <c r="F570">
        <v>14.427</v>
      </c>
      <c r="G570" t="s">
        <v>13</v>
      </c>
    </row>
    <row r="571" spans="1:7" x14ac:dyDescent="0.25">
      <c r="A571">
        <v>48</v>
      </c>
      <c r="B571" t="s">
        <v>192</v>
      </c>
      <c r="C571">
        <v>60</v>
      </c>
      <c r="D571" t="s">
        <v>16</v>
      </c>
      <c r="E571" t="s">
        <v>14</v>
      </c>
      <c r="F571">
        <v>89.352000000000004</v>
      </c>
      <c r="G571" t="s">
        <v>13</v>
      </c>
    </row>
    <row r="572" spans="1:7" x14ac:dyDescent="0.25">
      <c r="A572">
        <v>48</v>
      </c>
      <c r="B572" t="s">
        <v>192</v>
      </c>
      <c r="C572">
        <v>70</v>
      </c>
      <c r="D572" t="s">
        <v>225</v>
      </c>
      <c r="E572" t="s">
        <v>12</v>
      </c>
      <c r="F572">
        <v>0.14199999999999999</v>
      </c>
      <c r="G572" t="s">
        <v>13</v>
      </c>
    </row>
    <row r="573" spans="1:7" x14ac:dyDescent="0.25">
      <c r="A573">
        <v>48</v>
      </c>
      <c r="B573" t="s">
        <v>192</v>
      </c>
      <c r="C573">
        <v>80</v>
      </c>
      <c r="D573" t="s">
        <v>226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192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192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192</v>
      </c>
      <c r="C576">
        <v>110</v>
      </c>
      <c r="D576" t="s">
        <v>103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192</v>
      </c>
      <c r="C577">
        <v>120</v>
      </c>
      <c r="D577" t="s">
        <v>134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193</v>
      </c>
      <c r="C578">
        <v>10</v>
      </c>
      <c r="D578" t="s">
        <v>180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193</v>
      </c>
      <c r="C579">
        <v>20</v>
      </c>
      <c r="D579" t="s">
        <v>223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193</v>
      </c>
      <c r="C580">
        <v>30</v>
      </c>
      <c r="D580" t="s">
        <v>100</v>
      </c>
      <c r="E580" t="s">
        <v>101</v>
      </c>
      <c r="F580">
        <v>0.54700000000000004</v>
      </c>
      <c r="G580" t="s">
        <v>13</v>
      </c>
    </row>
    <row r="581" spans="1:7" x14ac:dyDescent="0.25">
      <c r="A581">
        <v>49</v>
      </c>
      <c r="B581" t="s">
        <v>193</v>
      </c>
      <c r="C581">
        <v>40</v>
      </c>
      <c r="D581" t="s">
        <v>224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193</v>
      </c>
      <c r="C582">
        <v>50</v>
      </c>
      <c r="D582" t="s">
        <v>102</v>
      </c>
      <c r="E582" t="s">
        <v>14</v>
      </c>
      <c r="F582">
        <v>15.037000000000001</v>
      </c>
      <c r="G582" t="s">
        <v>13</v>
      </c>
    </row>
    <row r="583" spans="1:7" x14ac:dyDescent="0.25">
      <c r="A583">
        <v>49</v>
      </c>
      <c r="B583" t="s">
        <v>193</v>
      </c>
      <c r="C583">
        <v>60</v>
      </c>
      <c r="D583" t="s">
        <v>16</v>
      </c>
      <c r="E583" t="s">
        <v>14</v>
      </c>
      <c r="F583">
        <v>93.100999999999999</v>
      </c>
      <c r="G583" t="s">
        <v>13</v>
      </c>
    </row>
    <row r="584" spans="1:7" x14ac:dyDescent="0.25">
      <c r="A584">
        <v>49</v>
      </c>
      <c r="B584" t="s">
        <v>193</v>
      </c>
      <c r="C584">
        <v>70</v>
      </c>
      <c r="D584" t="s">
        <v>225</v>
      </c>
      <c r="E584" t="s">
        <v>12</v>
      </c>
      <c r="F584">
        <v>0.153</v>
      </c>
      <c r="G584" t="s">
        <v>13</v>
      </c>
    </row>
    <row r="585" spans="1:7" x14ac:dyDescent="0.25">
      <c r="A585">
        <v>49</v>
      </c>
      <c r="B585" t="s">
        <v>193</v>
      </c>
      <c r="C585">
        <v>80</v>
      </c>
      <c r="D585" t="s">
        <v>226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193</v>
      </c>
      <c r="C588">
        <v>110</v>
      </c>
      <c r="D588" t="s">
        <v>103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49</v>
      </c>
      <c r="B589" t="s">
        <v>193</v>
      </c>
      <c r="C589">
        <v>120</v>
      </c>
      <c r="D589" t="s">
        <v>136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194</v>
      </c>
      <c r="C590">
        <v>10</v>
      </c>
      <c r="D590" t="s">
        <v>180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194</v>
      </c>
      <c r="C591">
        <v>20</v>
      </c>
      <c r="D591" t="s">
        <v>223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194</v>
      </c>
      <c r="C592">
        <v>30</v>
      </c>
      <c r="D592" t="s">
        <v>100</v>
      </c>
      <c r="E592" t="s">
        <v>101</v>
      </c>
      <c r="F592">
        <v>0.23699999999999999</v>
      </c>
      <c r="G592" t="s">
        <v>13</v>
      </c>
    </row>
    <row r="593" spans="1:7" x14ac:dyDescent="0.25">
      <c r="A593">
        <v>50</v>
      </c>
      <c r="B593" t="s">
        <v>194</v>
      </c>
      <c r="C593">
        <v>40</v>
      </c>
      <c r="D593" t="s">
        <v>224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194</v>
      </c>
      <c r="C594">
        <v>50</v>
      </c>
      <c r="D594" t="s">
        <v>102</v>
      </c>
      <c r="E594" t="s">
        <v>14</v>
      </c>
      <c r="F594">
        <v>11.074</v>
      </c>
      <c r="G594" t="s">
        <v>13</v>
      </c>
    </row>
    <row r="595" spans="1:7" x14ac:dyDescent="0.25">
      <c r="A595">
        <v>50</v>
      </c>
      <c r="B595" t="s">
        <v>194</v>
      </c>
      <c r="C595">
        <v>60</v>
      </c>
      <c r="D595" t="s">
        <v>16</v>
      </c>
      <c r="E595" t="s">
        <v>14</v>
      </c>
      <c r="F595">
        <v>68.731999999999999</v>
      </c>
      <c r="G595" t="s">
        <v>13</v>
      </c>
    </row>
    <row r="596" spans="1:7" x14ac:dyDescent="0.25">
      <c r="A596">
        <v>50</v>
      </c>
      <c r="B596" t="s">
        <v>194</v>
      </c>
      <c r="C596">
        <v>70</v>
      </c>
      <c r="D596" t="s">
        <v>225</v>
      </c>
      <c r="E596" t="s">
        <v>12</v>
      </c>
      <c r="F596">
        <v>7.8E-2</v>
      </c>
      <c r="G596" t="s">
        <v>13</v>
      </c>
    </row>
    <row r="597" spans="1:7" x14ac:dyDescent="0.25">
      <c r="A597">
        <v>50</v>
      </c>
      <c r="B597" t="s">
        <v>194</v>
      </c>
      <c r="C597">
        <v>80</v>
      </c>
      <c r="D597" t="s">
        <v>226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194</v>
      </c>
      <c r="C600">
        <v>110</v>
      </c>
      <c r="D600" t="s">
        <v>103</v>
      </c>
      <c r="E600" t="s">
        <v>12</v>
      </c>
      <c r="F600">
        <v>0.54</v>
      </c>
      <c r="G600" t="s">
        <v>13</v>
      </c>
    </row>
    <row r="601" spans="1:7" x14ac:dyDescent="0.25">
      <c r="A601">
        <v>50</v>
      </c>
      <c r="B601" t="s">
        <v>194</v>
      </c>
      <c r="C601">
        <v>120</v>
      </c>
      <c r="D601" t="s">
        <v>138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195</v>
      </c>
      <c r="C602">
        <v>10</v>
      </c>
      <c r="D602" t="s">
        <v>180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195</v>
      </c>
      <c r="C603">
        <v>20</v>
      </c>
      <c r="D603" t="s">
        <v>223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195</v>
      </c>
      <c r="C604">
        <v>30</v>
      </c>
      <c r="D604" t="s">
        <v>100</v>
      </c>
      <c r="E604" t="s">
        <v>101</v>
      </c>
      <c r="F604">
        <v>0.28399999999999997</v>
      </c>
      <c r="G604" t="s">
        <v>13</v>
      </c>
    </row>
    <row r="605" spans="1:7" x14ac:dyDescent="0.25">
      <c r="A605">
        <v>51</v>
      </c>
      <c r="B605" t="s">
        <v>195</v>
      </c>
      <c r="C605">
        <v>40</v>
      </c>
      <c r="D605" t="s">
        <v>224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195</v>
      </c>
      <c r="C606">
        <v>50</v>
      </c>
      <c r="D606" t="s">
        <v>102</v>
      </c>
      <c r="E606" t="s">
        <v>14</v>
      </c>
      <c r="F606">
        <v>11.683999999999999</v>
      </c>
      <c r="G606" t="s">
        <v>13</v>
      </c>
    </row>
    <row r="607" spans="1:7" x14ac:dyDescent="0.25">
      <c r="A607">
        <v>51</v>
      </c>
      <c r="B607" t="s">
        <v>195</v>
      </c>
      <c r="C607">
        <v>60</v>
      </c>
      <c r="D607" t="s">
        <v>16</v>
      </c>
      <c r="E607" t="s">
        <v>14</v>
      </c>
      <c r="F607">
        <v>72.480999999999995</v>
      </c>
      <c r="G607" t="s">
        <v>13</v>
      </c>
    </row>
    <row r="608" spans="1:7" x14ac:dyDescent="0.25">
      <c r="A608">
        <v>51</v>
      </c>
      <c r="B608" t="s">
        <v>195</v>
      </c>
      <c r="C608">
        <v>70</v>
      </c>
      <c r="D608" t="s">
        <v>225</v>
      </c>
      <c r="E608" t="s">
        <v>12</v>
      </c>
      <c r="F608">
        <v>8.8999999999999996E-2</v>
      </c>
      <c r="G608" t="s">
        <v>13</v>
      </c>
    </row>
    <row r="609" spans="1:7" x14ac:dyDescent="0.25">
      <c r="A609">
        <v>51</v>
      </c>
      <c r="B609" t="s">
        <v>195</v>
      </c>
      <c r="C609">
        <v>80</v>
      </c>
      <c r="D609" t="s">
        <v>226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195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195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195</v>
      </c>
      <c r="C612">
        <v>110</v>
      </c>
      <c r="D612" t="s">
        <v>103</v>
      </c>
      <c r="E612" t="s">
        <v>12</v>
      </c>
      <c r="F612">
        <v>0.622</v>
      </c>
      <c r="G612" t="s">
        <v>13</v>
      </c>
    </row>
    <row r="613" spans="1:7" x14ac:dyDescent="0.25">
      <c r="A613">
        <v>51</v>
      </c>
      <c r="B613" t="s">
        <v>195</v>
      </c>
      <c r="C613">
        <v>120</v>
      </c>
      <c r="D613" t="s">
        <v>140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196</v>
      </c>
      <c r="C614">
        <v>10</v>
      </c>
      <c r="D614" t="s">
        <v>180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196</v>
      </c>
      <c r="C615">
        <v>20</v>
      </c>
      <c r="D615" t="s">
        <v>223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196</v>
      </c>
      <c r="C616">
        <v>30</v>
      </c>
      <c r="D616" t="s">
        <v>100</v>
      </c>
      <c r="E616" t="s">
        <v>101</v>
      </c>
      <c r="F616">
        <v>0.33200000000000002</v>
      </c>
      <c r="G616" t="s">
        <v>13</v>
      </c>
    </row>
    <row r="617" spans="1:7" x14ac:dyDescent="0.25">
      <c r="A617">
        <v>52</v>
      </c>
      <c r="B617" t="s">
        <v>196</v>
      </c>
      <c r="C617">
        <v>40</v>
      </c>
      <c r="D617" t="s">
        <v>224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196</v>
      </c>
      <c r="C618">
        <v>50</v>
      </c>
      <c r="D618" t="s">
        <v>102</v>
      </c>
      <c r="E618" t="s">
        <v>14</v>
      </c>
      <c r="F618">
        <v>12.294</v>
      </c>
      <c r="G618" t="s">
        <v>13</v>
      </c>
    </row>
    <row r="619" spans="1:7" x14ac:dyDescent="0.25">
      <c r="A619">
        <v>52</v>
      </c>
      <c r="B619" t="s">
        <v>196</v>
      </c>
      <c r="C619">
        <v>60</v>
      </c>
      <c r="D619" t="s">
        <v>16</v>
      </c>
      <c r="E619" t="s">
        <v>14</v>
      </c>
      <c r="F619">
        <v>76.23</v>
      </c>
      <c r="G619" t="s">
        <v>13</v>
      </c>
    </row>
    <row r="620" spans="1:7" x14ac:dyDescent="0.25">
      <c r="A620">
        <v>52</v>
      </c>
      <c r="B620" t="s">
        <v>196</v>
      </c>
      <c r="C620">
        <v>70</v>
      </c>
      <c r="D620" t="s">
        <v>225</v>
      </c>
      <c r="E620" t="s">
        <v>12</v>
      </c>
      <c r="F620">
        <v>0.1</v>
      </c>
      <c r="G620" t="s">
        <v>13</v>
      </c>
    </row>
    <row r="621" spans="1:7" x14ac:dyDescent="0.25">
      <c r="A621">
        <v>52</v>
      </c>
      <c r="B621" t="s">
        <v>196</v>
      </c>
      <c r="C621">
        <v>80</v>
      </c>
      <c r="D621" t="s">
        <v>226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196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196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196</v>
      </c>
      <c r="C624">
        <v>110</v>
      </c>
      <c r="D624" t="s">
        <v>103</v>
      </c>
      <c r="E624" t="s">
        <v>12</v>
      </c>
      <c r="F624">
        <v>0.70299999999999996</v>
      </c>
      <c r="G624" t="s">
        <v>13</v>
      </c>
    </row>
    <row r="625" spans="1:7" x14ac:dyDescent="0.25">
      <c r="A625">
        <v>52</v>
      </c>
      <c r="B625" t="s">
        <v>196</v>
      </c>
      <c r="C625">
        <v>120</v>
      </c>
      <c r="D625" t="s">
        <v>142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197</v>
      </c>
      <c r="C626">
        <v>10</v>
      </c>
      <c r="D626" t="s">
        <v>180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197</v>
      </c>
      <c r="C627">
        <v>20</v>
      </c>
      <c r="D627" t="s">
        <v>223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197</v>
      </c>
      <c r="C628">
        <v>30</v>
      </c>
      <c r="D628" t="s">
        <v>100</v>
      </c>
      <c r="E628" t="s">
        <v>101</v>
      </c>
      <c r="F628">
        <v>0.379</v>
      </c>
      <c r="G628" t="s">
        <v>13</v>
      </c>
    </row>
    <row r="629" spans="1:7" x14ac:dyDescent="0.25">
      <c r="A629">
        <v>53</v>
      </c>
      <c r="B629" t="s">
        <v>197</v>
      </c>
      <c r="C629">
        <v>40</v>
      </c>
      <c r="D629" t="s">
        <v>224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197</v>
      </c>
      <c r="C630">
        <v>50</v>
      </c>
      <c r="D630" t="s">
        <v>102</v>
      </c>
      <c r="E630" t="s">
        <v>14</v>
      </c>
      <c r="F630">
        <v>12.903</v>
      </c>
      <c r="G630" t="s">
        <v>13</v>
      </c>
    </row>
    <row r="631" spans="1:7" x14ac:dyDescent="0.25">
      <c r="A631">
        <v>53</v>
      </c>
      <c r="B631" t="s">
        <v>197</v>
      </c>
      <c r="C631">
        <v>60</v>
      </c>
      <c r="D631" t="s">
        <v>16</v>
      </c>
      <c r="E631" t="s">
        <v>14</v>
      </c>
      <c r="F631">
        <v>79.98</v>
      </c>
      <c r="G631" t="s">
        <v>13</v>
      </c>
    </row>
    <row r="632" spans="1:7" x14ac:dyDescent="0.25">
      <c r="A632">
        <v>53</v>
      </c>
      <c r="B632" t="s">
        <v>197</v>
      </c>
      <c r="C632">
        <v>70</v>
      </c>
      <c r="D632" t="s">
        <v>225</v>
      </c>
      <c r="E632" t="s">
        <v>12</v>
      </c>
      <c r="F632">
        <v>0.11</v>
      </c>
      <c r="G632" t="s">
        <v>13</v>
      </c>
    </row>
    <row r="633" spans="1:7" x14ac:dyDescent="0.25">
      <c r="A633">
        <v>53</v>
      </c>
      <c r="B633" t="s">
        <v>197</v>
      </c>
      <c r="C633">
        <v>80</v>
      </c>
      <c r="D633" t="s">
        <v>226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197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197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197</v>
      </c>
      <c r="C636">
        <v>110</v>
      </c>
      <c r="D636" t="s">
        <v>103</v>
      </c>
      <c r="E636" t="s">
        <v>12</v>
      </c>
      <c r="F636">
        <v>0.78400000000000003</v>
      </c>
      <c r="G636" t="s">
        <v>13</v>
      </c>
    </row>
    <row r="637" spans="1:7" x14ac:dyDescent="0.25">
      <c r="A637">
        <v>53</v>
      </c>
      <c r="B637" t="s">
        <v>197</v>
      </c>
      <c r="C637">
        <v>120</v>
      </c>
      <c r="D637" t="s">
        <v>144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198</v>
      </c>
      <c r="C638">
        <v>10</v>
      </c>
      <c r="D638" t="s">
        <v>180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198</v>
      </c>
      <c r="C639">
        <v>20</v>
      </c>
      <c r="D639" t="s">
        <v>223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198</v>
      </c>
      <c r="C640">
        <v>30</v>
      </c>
      <c r="D640" t="s">
        <v>100</v>
      </c>
      <c r="E640" t="s">
        <v>101</v>
      </c>
      <c r="F640">
        <v>0.47399999999999998</v>
      </c>
      <c r="G640" t="s">
        <v>13</v>
      </c>
    </row>
    <row r="641" spans="1:7" x14ac:dyDescent="0.25">
      <c r="A641">
        <v>54</v>
      </c>
      <c r="B641" t="s">
        <v>198</v>
      </c>
      <c r="C641">
        <v>40</v>
      </c>
      <c r="D641" t="s">
        <v>224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198</v>
      </c>
      <c r="C642">
        <v>50</v>
      </c>
      <c r="D642" t="s">
        <v>102</v>
      </c>
      <c r="E642" t="s">
        <v>14</v>
      </c>
      <c r="F642">
        <v>14.122</v>
      </c>
      <c r="G642" t="s">
        <v>13</v>
      </c>
    </row>
    <row r="643" spans="1:7" x14ac:dyDescent="0.25">
      <c r="A643">
        <v>54</v>
      </c>
      <c r="B643" t="s">
        <v>198</v>
      </c>
      <c r="C643">
        <v>60</v>
      </c>
      <c r="D643" t="s">
        <v>16</v>
      </c>
      <c r="E643" t="s">
        <v>14</v>
      </c>
      <c r="F643">
        <v>87.477999999999994</v>
      </c>
      <c r="G643" t="s">
        <v>13</v>
      </c>
    </row>
    <row r="644" spans="1:7" x14ac:dyDescent="0.25">
      <c r="A644">
        <v>54</v>
      </c>
      <c r="B644" t="s">
        <v>198</v>
      </c>
      <c r="C644">
        <v>70</v>
      </c>
      <c r="D644" t="s">
        <v>225</v>
      </c>
      <c r="E644" t="s">
        <v>12</v>
      </c>
      <c r="F644">
        <v>0.13200000000000001</v>
      </c>
      <c r="G644" t="s">
        <v>13</v>
      </c>
    </row>
    <row r="645" spans="1:7" x14ac:dyDescent="0.25">
      <c r="A645">
        <v>54</v>
      </c>
      <c r="B645" t="s">
        <v>198</v>
      </c>
      <c r="C645">
        <v>80</v>
      </c>
      <c r="D645" t="s">
        <v>226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198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198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198</v>
      </c>
      <c r="C648">
        <v>110</v>
      </c>
      <c r="D648" t="s">
        <v>103</v>
      </c>
      <c r="E648" t="s">
        <v>12</v>
      </c>
      <c r="F648">
        <v>0.94599999999999995</v>
      </c>
      <c r="G648" t="s">
        <v>13</v>
      </c>
    </row>
    <row r="649" spans="1:7" x14ac:dyDescent="0.25">
      <c r="A649">
        <v>54</v>
      </c>
      <c r="B649" t="s">
        <v>198</v>
      </c>
      <c r="C649">
        <v>120</v>
      </c>
      <c r="D649" t="s">
        <v>146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199</v>
      </c>
      <c r="C650">
        <v>10</v>
      </c>
      <c r="D650" t="s">
        <v>180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199</v>
      </c>
      <c r="C651">
        <v>20</v>
      </c>
      <c r="D651" t="s">
        <v>223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199</v>
      </c>
      <c r="C652">
        <v>30</v>
      </c>
      <c r="D652" t="s">
        <v>100</v>
      </c>
      <c r="E652" t="s">
        <v>101</v>
      </c>
      <c r="F652">
        <v>0.52100000000000002</v>
      </c>
      <c r="G652" t="s">
        <v>13</v>
      </c>
    </row>
    <row r="653" spans="1:7" x14ac:dyDescent="0.25">
      <c r="A653">
        <v>55</v>
      </c>
      <c r="B653" t="s">
        <v>199</v>
      </c>
      <c r="C653">
        <v>40</v>
      </c>
      <c r="D653" t="s">
        <v>224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199</v>
      </c>
      <c r="C654">
        <v>50</v>
      </c>
      <c r="D654" t="s">
        <v>102</v>
      </c>
      <c r="E654" t="s">
        <v>14</v>
      </c>
      <c r="F654">
        <v>14.731999999999999</v>
      </c>
      <c r="G654" t="s">
        <v>13</v>
      </c>
    </row>
    <row r="655" spans="1:7" x14ac:dyDescent="0.25">
      <c r="A655">
        <v>55</v>
      </c>
      <c r="B655" t="s">
        <v>199</v>
      </c>
      <c r="C655">
        <v>60</v>
      </c>
      <c r="D655" t="s">
        <v>16</v>
      </c>
      <c r="E655" t="s">
        <v>14</v>
      </c>
      <c r="F655">
        <v>91.227000000000004</v>
      </c>
      <c r="G655" t="s">
        <v>13</v>
      </c>
    </row>
    <row r="656" spans="1:7" x14ac:dyDescent="0.25">
      <c r="A656">
        <v>55</v>
      </c>
      <c r="B656" t="s">
        <v>199</v>
      </c>
      <c r="C656">
        <v>70</v>
      </c>
      <c r="D656" t="s">
        <v>225</v>
      </c>
      <c r="E656" t="s">
        <v>12</v>
      </c>
      <c r="F656">
        <v>0.14199999999999999</v>
      </c>
      <c r="G656" t="s">
        <v>13</v>
      </c>
    </row>
    <row r="657" spans="1:7" x14ac:dyDescent="0.25">
      <c r="A657">
        <v>55</v>
      </c>
      <c r="B657" t="s">
        <v>199</v>
      </c>
      <c r="C657">
        <v>80</v>
      </c>
      <c r="D657" t="s">
        <v>226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199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199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199</v>
      </c>
      <c r="C660">
        <v>110</v>
      </c>
      <c r="D660" t="s">
        <v>103</v>
      </c>
      <c r="E660" t="s">
        <v>12</v>
      </c>
      <c r="F660">
        <v>1.0269999999999999</v>
      </c>
      <c r="G660" t="s">
        <v>13</v>
      </c>
    </row>
    <row r="661" spans="1:7" x14ac:dyDescent="0.25">
      <c r="A661">
        <v>55</v>
      </c>
      <c r="B661" t="s">
        <v>199</v>
      </c>
      <c r="C661">
        <v>120</v>
      </c>
      <c r="D661" t="s">
        <v>148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200</v>
      </c>
      <c r="C662">
        <v>10</v>
      </c>
      <c r="D662" t="s">
        <v>180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200</v>
      </c>
      <c r="C663">
        <v>20</v>
      </c>
      <c r="D663" t="s">
        <v>223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200</v>
      </c>
      <c r="C664">
        <v>30</v>
      </c>
      <c r="D664" t="s">
        <v>100</v>
      </c>
      <c r="E664" t="s">
        <v>101</v>
      </c>
      <c r="F664">
        <v>0.56899999999999995</v>
      </c>
      <c r="G664" t="s">
        <v>13</v>
      </c>
    </row>
    <row r="665" spans="1:7" x14ac:dyDescent="0.25">
      <c r="A665">
        <v>56</v>
      </c>
      <c r="B665" t="s">
        <v>200</v>
      </c>
      <c r="C665">
        <v>40</v>
      </c>
      <c r="D665" t="s">
        <v>224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200</v>
      </c>
      <c r="C666">
        <v>50</v>
      </c>
      <c r="D666" t="s">
        <v>102</v>
      </c>
      <c r="E666" t="s">
        <v>14</v>
      </c>
      <c r="F666">
        <v>15.342000000000001</v>
      </c>
      <c r="G666" t="s">
        <v>13</v>
      </c>
    </row>
    <row r="667" spans="1:7" x14ac:dyDescent="0.25">
      <c r="A667">
        <v>56</v>
      </c>
      <c r="B667" t="s">
        <v>200</v>
      </c>
      <c r="C667">
        <v>60</v>
      </c>
      <c r="D667" t="s">
        <v>16</v>
      </c>
      <c r="E667" t="s">
        <v>14</v>
      </c>
      <c r="F667">
        <v>94.975999999999999</v>
      </c>
      <c r="G667" t="s">
        <v>13</v>
      </c>
    </row>
    <row r="668" spans="1:7" x14ac:dyDescent="0.25">
      <c r="A668">
        <v>56</v>
      </c>
      <c r="B668" t="s">
        <v>200</v>
      </c>
      <c r="C668">
        <v>70</v>
      </c>
      <c r="D668" t="s">
        <v>225</v>
      </c>
      <c r="E668" t="s">
        <v>12</v>
      </c>
      <c r="F668">
        <v>0.153</v>
      </c>
      <c r="G668" t="s">
        <v>13</v>
      </c>
    </row>
    <row r="669" spans="1:7" x14ac:dyDescent="0.25">
      <c r="A669">
        <v>56</v>
      </c>
      <c r="B669" t="s">
        <v>200</v>
      </c>
      <c r="C669">
        <v>80</v>
      </c>
      <c r="D669" t="s">
        <v>226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200</v>
      </c>
      <c r="C672">
        <v>110</v>
      </c>
      <c r="D672" t="s">
        <v>103</v>
      </c>
      <c r="E672" t="s">
        <v>12</v>
      </c>
      <c r="F672">
        <v>1.1080000000000001</v>
      </c>
      <c r="G672" t="s">
        <v>13</v>
      </c>
    </row>
    <row r="673" spans="1:7" x14ac:dyDescent="0.25">
      <c r="A673">
        <v>56</v>
      </c>
      <c r="B673" t="s">
        <v>200</v>
      </c>
      <c r="C673">
        <v>120</v>
      </c>
      <c r="D673" t="s">
        <v>150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201</v>
      </c>
      <c r="C674">
        <v>10</v>
      </c>
      <c r="D674" t="s">
        <v>180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201</v>
      </c>
      <c r="C675">
        <v>20</v>
      </c>
      <c r="D675" t="s">
        <v>223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201</v>
      </c>
      <c r="C676">
        <v>30</v>
      </c>
      <c r="D676" t="s">
        <v>100</v>
      </c>
      <c r="E676" t="s">
        <v>101</v>
      </c>
      <c r="F676">
        <v>0.24299999999999999</v>
      </c>
      <c r="G676" t="s">
        <v>13</v>
      </c>
    </row>
    <row r="677" spans="1:7" x14ac:dyDescent="0.25">
      <c r="A677">
        <v>57</v>
      </c>
      <c r="B677" t="s">
        <v>201</v>
      </c>
      <c r="C677">
        <v>40</v>
      </c>
      <c r="D677" t="s">
        <v>224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201</v>
      </c>
      <c r="C678">
        <v>50</v>
      </c>
      <c r="D678" t="s">
        <v>102</v>
      </c>
      <c r="E678" t="s">
        <v>14</v>
      </c>
      <c r="F678">
        <v>11.278</v>
      </c>
      <c r="G678" t="s">
        <v>13</v>
      </c>
    </row>
    <row r="679" spans="1:7" x14ac:dyDescent="0.25">
      <c r="A679">
        <v>57</v>
      </c>
      <c r="B679" t="s">
        <v>201</v>
      </c>
      <c r="C679">
        <v>60</v>
      </c>
      <c r="D679" t="s">
        <v>16</v>
      </c>
      <c r="E679" t="s">
        <v>14</v>
      </c>
      <c r="F679">
        <v>69.981999999999999</v>
      </c>
      <c r="G679" t="s">
        <v>13</v>
      </c>
    </row>
    <row r="680" spans="1:7" x14ac:dyDescent="0.25">
      <c r="A680">
        <v>57</v>
      </c>
      <c r="B680" t="s">
        <v>201</v>
      </c>
      <c r="C680">
        <v>70</v>
      </c>
      <c r="D680" t="s">
        <v>225</v>
      </c>
      <c r="E680" t="s">
        <v>12</v>
      </c>
      <c r="F680">
        <v>7.8E-2</v>
      </c>
      <c r="G680" t="s">
        <v>13</v>
      </c>
    </row>
    <row r="681" spans="1:7" x14ac:dyDescent="0.25">
      <c r="A681">
        <v>57</v>
      </c>
      <c r="B681" t="s">
        <v>201</v>
      </c>
      <c r="C681">
        <v>80</v>
      </c>
      <c r="D681" t="s">
        <v>226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201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201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201</v>
      </c>
      <c r="C684">
        <v>110</v>
      </c>
      <c r="D684" t="s">
        <v>103</v>
      </c>
      <c r="E684" t="s">
        <v>12</v>
      </c>
      <c r="F684">
        <v>1.216</v>
      </c>
      <c r="G684" t="s">
        <v>13</v>
      </c>
    </row>
    <row r="685" spans="1:7" x14ac:dyDescent="0.25">
      <c r="A685">
        <v>57</v>
      </c>
      <c r="B685" t="s">
        <v>201</v>
      </c>
      <c r="C685">
        <v>120</v>
      </c>
      <c r="D685" t="s">
        <v>152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202</v>
      </c>
      <c r="C686">
        <v>10</v>
      </c>
      <c r="D686" t="s">
        <v>180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202</v>
      </c>
      <c r="C687">
        <v>20</v>
      </c>
      <c r="D687" t="s">
        <v>223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202</v>
      </c>
      <c r="C688">
        <v>30</v>
      </c>
      <c r="D688" t="s">
        <v>100</v>
      </c>
      <c r="E688" t="s">
        <v>101</v>
      </c>
      <c r="F688">
        <v>0.29199999999999998</v>
      </c>
      <c r="G688" t="s">
        <v>13</v>
      </c>
    </row>
    <row r="689" spans="1:7" x14ac:dyDescent="0.25">
      <c r="A689">
        <v>58</v>
      </c>
      <c r="B689" t="s">
        <v>202</v>
      </c>
      <c r="C689">
        <v>40</v>
      </c>
      <c r="D689" t="s">
        <v>224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202</v>
      </c>
      <c r="C690">
        <v>50</v>
      </c>
      <c r="D690" t="s">
        <v>102</v>
      </c>
      <c r="E690" t="s">
        <v>14</v>
      </c>
      <c r="F690">
        <v>11.887</v>
      </c>
      <c r="G690" t="s">
        <v>13</v>
      </c>
    </row>
    <row r="691" spans="1:7" x14ac:dyDescent="0.25">
      <c r="A691">
        <v>58</v>
      </c>
      <c r="B691" t="s">
        <v>202</v>
      </c>
      <c r="C691">
        <v>60</v>
      </c>
      <c r="D691" t="s">
        <v>16</v>
      </c>
      <c r="E691" t="s">
        <v>14</v>
      </c>
      <c r="F691">
        <v>73.730999999999995</v>
      </c>
      <c r="G691" t="s">
        <v>13</v>
      </c>
    </row>
    <row r="692" spans="1:7" x14ac:dyDescent="0.25">
      <c r="A692">
        <v>58</v>
      </c>
      <c r="B692" t="s">
        <v>202</v>
      </c>
      <c r="C692">
        <v>70</v>
      </c>
      <c r="D692" t="s">
        <v>225</v>
      </c>
      <c r="E692" t="s">
        <v>12</v>
      </c>
      <c r="F692">
        <v>8.8999999999999996E-2</v>
      </c>
      <c r="G692" t="s">
        <v>13</v>
      </c>
    </row>
    <row r="693" spans="1:7" x14ac:dyDescent="0.25">
      <c r="A693">
        <v>58</v>
      </c>
      <c r="B693" t="s">
        <v>202</v>
      </c>
      <c r="C693">
        <v>80</v>
      </c>
      <c r="D693" t="s">
        <v>226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202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202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202</v>
      </c>
      <c r="C696">
        <v>110</v>
      </c>
      <c r="D696" t="s">
        <v>103</v>
      </c>
      <c r="E696" t="s">
        <v>12</v>
      </c>
      <c r="F696">
        <v>1.216</v>
      </c>
      <c r="G696" t="s">
        <v>13</v>
      </c>
    </row>
    <row r="697" spans="1:7" x14ac:dyDescent="0.25">
      <c r="A697">
        <v>58</v>
      </c>
      <c r="B697" t="s">
        <v>202</v>
      </c>
      <c r="C697">
        <v>120</v>
      </c>
      <c r="D697" t="s">
        <v>154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203</v>
      </c>
      <c r="C698">
        <v>10</v>
      </c>
      <c r="D698" t="s">
        <v>180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203</v>
      </c>
      <c r="C699">
        <v>20</v>
      </c>
      <c r="D699" t="s">
        <v>223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203</v>
      </c>
      <c r="C700">
        <v>30</v>
      </c>
      <c r="D700" t="s">
        <v>100</v>
      </c>
      <c r="E700" t="s">
        <v>101</v>
      </c>
      <c r="F700">
        <v>0.34</v>
      </c>
      <c r="G700" t="s">
        <v>13</v>
      </c>
    </row>
    <row r="701" spans="1:7" x14ac:dyDescent="0.25">
      <c r="A701">
        <v>59</v>
      </c>
      <c r="B701" t="s">
        <v>203</v>
      </c>
      <c r="C701">
        <v>40</v>
      </c>
      <c r="D701" t="s">
        <v>224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203</v>
      </c>
      <c r="C702">
        <v>50</v>
      </c>
      <c r="D702" t="s">
        <v>102</v>
      </c>
      <c r="E702" t="s">
        <v>14</v>
      </c>
      <c r="F702">
        <v>12.497</v>
      </c>
      <c r="G702" t="s">
        <v>13</v>
      </c>
    </row>
    <row r="703" spans="1:7" x14ac:dyDescent="0.25">
      <c r="A703">
        <v>59</v>
      </c>
      <c r="B703" t="s">
        <v>203</v>
      </c>
      <c r="C703">
        <v>60</v>
      </c>
      <c r="D703" t="s">
        <v>16</v>
      </c>
      <c r="E703" t="s">
        <v>14</v>
      </c>
      <c r="F703">
        <v>77.48</v>
      </c>
      <c r="G703" t="s">
        <v>13</v>
      </c>
    </row>
    <row r="704" spans="1:7" x14ac:dyDescent="0.25">
      <c r="A704">
        <v>59</v>
      </c>
      <c r="B704" t="s">
        <v>203</v>
      </c>
      <c r="C704">
        <v>70</v>
      </c>
      <c r="D704" t="s">
        <v>225</v>
      </c>
      <c r="E704" t="s">
        <v>12</v>
      </c>
      <c r="F704">
        <v>0.1</v>
      </c>
      <c r="G704" t="s">
        <v>13</v>
      </c>
    </row>
    <row r="705" spans="1:7" x14ac:dyDescent="0.25">
      <c r="A705">
        <v>59</v>
      </c>
      <c r="B705" t="s">
        <v>203</v>
      </c>
      <c r="C705">
        <v>80</v>
      </c>
      <c r="D705" t="s">
        <v>226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203</v>
      </c>
      <c r="C708">
        <v>110</v>
      </c>
      <c r="D708" t="s">
        <v>103</v>
      </c>
      <c r="E708" t="s">
        <v>12</v>
      </c>
      <c r="F708">
        <v>1.216</v>
      </c>
      <c r="G708" t="s">
        <v>13</v>
      </c>
    </row>
    <row r="709" spans="1:7" x14ac:dyDescent="0.25">
      <c r="A709">
        <v>59</v>
      </c>
      <c r="B709" t="s">
        <v>203</v>
      </c>
      <c r="C709">
        <v>120</v>
      </c>
      <c r="D709" t="s">
        <v>156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204</v>
      </c>
      <c r="C710">
        <v>10</v>
      </c>
      <c r="D710" t="s">
        <v>180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204</v>
      </c>
      <c r="C711">
        <v>20</v>
      </c>
      <c r="D711" t="s">
        <v>223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204</v>
      </c>
      <c r="C712">
        <v>30</v>
      </c>
      <c r="D712" t="s">
        <v>100</v>
      </c>
      <c r="E712" t="s">
        <v>101</v>
      </c>
      <c r="F712">
        <v>0.38900000000000001</v>
      </c>
      <c r="G712" t="s">
        <v>13</v>
      </c>
    </row>
    <row r="713" spans="1:7" x14ac:dyDescent="0.25">
      <c r="A713">
        <v>60</v>
      </c>
      <c r="B713" t="s">
        <v>204</v>
      </c>
      <c r="C713">
        <v>40</v>
      </c>
      <c r="D713" t="s">
        <v>224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204</v>
      </c>
      <c r="C714">
        <v>50</v>
      </c>
      <c r="D714" t="s">
        <v>102</v>
      </c>
      <c r="E714" t="s">
        <v>14</v>
      </c>
      <c r="F714">
        <v>13.106</v>
      </c>
      <c r="G714" t="s">
        <v>13</v>
      </c>
    </row>
    <row r="715" spans="1:7" x14ac:dyDescent="0.25">
      <c r="A715">
        <v>60</v>
      </c>
      <c r="B715" t="s">
        <v>204</v>
      </c>
      <c r="C715">
        <v>60</v>
      </c>
      <c r="D715" t="s">
        <v>16</v>
      </c>
      <c r="E715" t="s">
        <v>14</v>
      </c>
      <c r="F715">
        <v>81.228999999999999</v>
      </c>
      <c r="G715" t="s">
        <v>13</v>
      </c>
    </row>
    <row r="716" spans="1:7" x14ac:dyDescent="0.25">
      <c r="A716">
        <v>60</v>
      </c>
      <c r="B716" t="s">
        <v>204</v>
      </c>
      <c r="C716">
        <v>70</v>
      </c>
      <c r="D716" t="s">
        <v>225</v>
      </c>
      <c r="E716" t="s">
        <v>12</v>
      </c>
      <c r="F716">
        <v>0.11</v>
      </c>
      <c r="G716" t="s">
        <v>13</v>
      </c>
    </row>
    <row r="717" spans="1:7" x14ac:dyDescent="0.25">
      <c r="A717">
        <v>60</v>
      </c>
      <c r="B717" t="s">
        <v>204</v>
      </c>
      <c r="C717">
        <v>80</v>
      </c>
      <c r="D717" t="s">
        <v>226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204</v>
      </c>
      <c r="C720">
        <v>110</v>
      </c>
      <c r="D720" t="s">
        <v>103</v>
      </c>
      <c r="E720" t="s">
        <v>12</v>
      </c>
      <c r="F720">
        <v>1.216</v>
      </c>
      <c r="G720" t="s">
        <v>13</v>
      </c>
    </row>
    <row r="721" spans="1:7" x14ac:dyDescent="0.25">
      <c r="A721">
        <v>60</v>
      </c>
      <c r="B721" t="s">
        <v>204</v>
      </c>
      <c r="C721">
        <v>120</v>
      </c>
      <c r="D721" t="s">
        <v>158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205</v>
      </c>
      <c r="C722">
        <v>10</v>
      </c>
      <c r="D722" t="s">
        <v>180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205</v>
      </c>
      <c r="C723">
        <v>20</v>
      </c>
      <c r="D723" t="s">
        <v>223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205</v>
      </c>
      <c r="C724">
        <v>30</v>
      </c>
      <c r="D724" t="s">
        <v>100</v>
      </c>
      <c r="E724" t="s">
        <v>101</v>
      </c>
      <c r="F724">
        <v>0.48599999999999999</v>
      </c>
      <c r="G724" t="s">
        <v>13</v>
      </c>
    </row>
    <row r="725" spans="1:7" x14ac:dyDescent="0.25">
      <c r="A725">
        <v>61</v>
      </c>
      <c r="B725" t="s">
        <v>205</v>
      </c>
      <c r="C725">
        <v>40</v>
      </c>
      <c r="D725" t="s">
        <v>224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205</v>
      </c>
      <c r="C726">
        <v>50</v>
      </c>
      <c r="D726" t="s">
        <v>102</v>
      </c>
      <c r="E726" t="s">
        <v>14</v>
      </c>
      <c r="F726">
        <v>14.326000000000001</v>
      </c>
      <c r="G726" t="s">
        <v>13</v>
      </c>
    </row>
    <row r="727" spans="1:7" x14ac:dyDescent="0.25">
      <c r="A727">
        <v>61</v>
      </c>
      <c r="B727" t="s">
        <v>205</v>
      </c>
      <c r="C727">
        <v>60</v>
      </c>
      <c r="D727" t="s">
        <v>16</v>
      </c>
      <c r="E727" t="s">
        <v>14</v>
      </c>
      <c r="F727">
        <v>88.727000000000004</v>
      </c>
      <c r="G727" t="s">
        <v>13</v>
      </c>
    </row>
    <row r="728" spans="1:7" x14ac:dyDescent="0.25">
      <c r="A728">
        <v>61</v>
      </c>
      <c r="B728" t="s">
        <v>205</v>
      </c>
      <c r="C728">
        <v>70</v>
      </c>
      <c r="D728" t="s">
        <v>225</v>
      </c>
      <c r="E728" t="s">
        <v>12</v>
      </c>
      <c r="F728">
        <v>0.13200000000000001</v>
      </c>
      <c r="G728" t="s">
        <v>13</v>
      </c>
    </row>
    <row r="729" spans="1:7" x14ac:dyDescent="0.25">
      <c r="A729">
        <v>61</v>
      </c>
      <c r="B729" t="s">
        <v>205</v>
      </c>
      <c r="C729">
        <v>80</v>
      </c>
      <c r="D729" t="s">
        <v>226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205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205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205</v>
      </c>
      <c r="C732">
        <v>110</v>
      </c>
      <c r="D732" t="s">
        <v>103</v>
      </c>
      <c r="E732" t="s">
        <v>12</v>
      </c>
      <c r="F732">
        <v>1.216</v>
      </c>
      <c r="G732" t="s">
        <v>13</v>
      </c>
    </row>
    <row r="733" spans="1:7" x14ac:dyDescent="0.25">
      <c r="A733">
        <v>61</v>
      </c>
      <c r="B733" t="s">
        <v>205</v>
      </c>
      <c r="C733">
        <v>120</v>
      </c>
      <c r="D733" t="s">
        <v>160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206</v>
      </c>
      <c r="C734">
        <v>10</v>
      </c>
      <c r="D734" t="s">
        <v>180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206</v>
      </c>
      <c r="C735">
        <v>20</v>
      </c>
      <c r="D735" t="s">
        <v>223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206</v>
      </c>
      <c r="C736">
        <v>30</v>
      </c>
      <c r="D736" t="s">
        <v>100</v>
      </c>
      <c r="E736" t="s">
        <v>101</v>
      </c>
      <c r="F736">
        <v>0.53500000000000003</v>
      </c>
      <c r="G736" t="s">
        <v>13</v>
      </c>
    </row>
    <row r="737" spans="1:7" x14ac:dyDescent="0.25">
      <c r="A737">
        <v>62</v>
      </c>
      <c r="B737" t="s">
        <v>206</v>
      </c>
      <c r="C737">
        <v>40</v>
      </c>
      <c r="D737" t="s">
        <v>224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206</v>
      </c>
      <c r="C738">
        <v>50</v>
      </c>
      <c r="D738" t="s">
        <v>102</v>
      </c>
      <c r="E738" t="s">
        <v>14</v>
      </c>
      <c r="F738">
        <v>14.935</v>
      </c>
      <c r="G738" t="s">
        <v>13</v>
      </c>
    </row>
    <row r="739" spans="1:7" x14ac:dyDescent="0.25">
      <c r="A739">
        <v>62</v>
      </c>
      <c r="B739" t="s">
        <v>206</v>
      </c>
      <c r="C739">
        <v>60</v>
      </c>
      <c r="D739" t="s">
        <v>16</v>
      </c>
      <c r="E739" t="s">
        <v>14</v>
      </c>
      <c r="F739">
        <v>92.475999999999999</v>
      </c>
      <c r="G739" t="s">
        <v>13</v>
      </c>
    </row>
    <row r="740" spans="1:7" x14ac:dyDescent="0.25">
      <c r="A740">
        <v>62</v>
      </c>
      <c r="B740" t="s">
        <v>206</v>
      </c>
      <c r="C740">
        <v>70</v>
      </c>
      <c r="D740" t="s">
        <v>225</v>
      </c>
      <c r="E740" t="s">
        <v>12</v>
      </c>
      <c r="F740">
        <v>0.14199999999999999</v>
      </c>
      <c r="G740" t="s">
        <v>13</v>
      </c>
    </row>
    <row r="741" spans="1:7" x14ac:dyDescent="0.25">
      <c r="A741">
        <v>62</v>
      </c>
      <c r="B741" t="s">
        <v>206</v>
      </c>
      <c r="C741">
        <v>80</v>
      </c>
      <c r="D741" t="s">
        <v>226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206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206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206</v>
      </c>
      <c r="C744">
        <v>110</v>
      </c>
      <c r="D744" t="s">
        <v>103</v>
      </c>
      <c r="E744" t="s">
        <v>12</v>
      </c>
      <c r="F744">
        <v>1.216</v>
      </c>
      <c r="G744" t="s">
        <v>13</v>
      </c>
    </row>
    <row r="745" spans="1:7" x14ac:dyDescent="0.25">
      <c r="A745">
        <v>62</v>
      </c>
      <c r="B745" t="s">
        <v>206</v>
      </c>
      <c r="C745">
        <v>120</v>
      </c>
      <c r="D745" t="s">
        <v>162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207</v>
      </c>
      <c r="C746">
        <v>10</v>
      </c>
      <c r="D746" t="s">
        <v>180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207</v>
      </c>
      <c r="C747">
        <v>20</v>
      </c>
      <c r="D747" t="s">
        <v>223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207</v>
      </c>
      <c r="C748">
        <v>30</v>
      </c>
      <c r="D748" t="s">
        <v>100</v>
      </c>
      <c r="E748" t="s">
        <v>101</v>
      </c>
      <c r="F748">
        <v>0.58299999999999996</v>
      </c>
      <c r="G748" t="s">
        <v>13</v>
      </c>
    </row>
    <row r="749" spans="1:7" x14ac:dyDescent="0.25">
      <c r="A749">
        <v>63</v>
      </c>
      <c r="B749" t="s">
        <v>207</v>
      </c>
      <c r="C749">
        <v>40</v>
      </c>
      <c r="D749" t="s">
        <v>224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207</v>
      </c>
      <c r="C750">
        <v>50</v>
      </c>
      <c r="D750" t="s">
        <v>102</v>
      </c>
      <c r="E750" t="s">
        <v>14</v>
      </c>
      <c r="F750">
        <v>15.545</v>
      </c>
      <c r="G750" t="s">
        <v>13</v>
      </c>
    </row>
    <row r="751" spans="1:7" x14ac:dyDescent="0.25">
      <c r="A751">
        <v>63</v>
      </c>
      <c r="B751" t="s">
        <v>207</v>
      </c>
      <c r="C751">
        <v>60</v>
      </c>
      <c r="D751" t="s">
        <v>16</v>
      </c>
      <c r="E751" t="s">
        <v>14</v>
      </c>
      <c r="F751">
        <v>96.224999999999994</v>
      </c>
      <c r="G751" t="s">
        <v>13</v>
      </c>
    </row>
    <row r="752" spans="1:7" x14ac:dyDescent="0.25">
      <c r="A752">
        <v>63</v>
      </c>
      <c r="B752" t="s">
        <v>207</v>
      </c>
      <c r="C752">
        <v>70</v>
      </c>
      <c r="D752" t="s">
        <v>225</v>
      </c>
      <c r="E752" t="s">
        <v>12</v>
      </c>
      <c r="F752">
        <v>0.153</v>
      </c>
      <c r="G752" t="s">
        <v>13</v>
      </c>
    </row>
    <row r="753" spans="1:7" x14ac:dyDescent="0.25">
      <c r="A753">
        <v>63</v>
      </c>
      <c r="B753" t="s">
        <v>207</v>
      </c>
      <c r="C753">
        <v>80</v>
      </c>
      <c r="D753" t="s">
        <v>226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207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207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207</v>
      </c>
      <c r="C756">
        <v>110</v>
      </c>
      <c r="D756" t="s">
        <v>103</v>
      </c>
      <c r="E756" t="s">
        <v>12</v>
      </c>
      <c r="F756">
        <v>1.216</v>
      </c>
      <c r="G756" t="s">
        <v>13</v>
      </c>
    </row>
    <row r="757" spans="1:7" x14ac:dyDescent="0.25">
      <c r="A757">
        <v>63</v>
      </c>
      <c r="B757" t="s">
        <v>207</v>
      </c>
      <c r="C757">
        <v>120</v>
      </c>
      <c r="D757" t="s">
        <v>164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208</v>
      </c>
      <c r="C758">
        <v>10</v>
      </c>
      <c r="D758" t="s">
        <v>180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208</v>
      </c>
      <c r="C759">
        <v>20</v>
      </c>
      <c r="D759" t="s">
        <v>223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208</v>
      </c>
      <c r="C760">
        <v>30</v>
      </c>
      <c r="D760" t="s">
        <v>100</v>
      </c>
      <c r="E760" t="s">
        <v>101</v>
      </c>
      <c r="F760">
        <v>0.255</v>
      </c>
      <c r="G760" t="s">
        <v>13</v>
      </c>
    </row>
    <row r="761" spans="1:7" x14ac:dyDescent="0.25">
      <c r="A761">
        <v>64</v>
      </c>
      <c r="B761" t="s">
        <v>208</v>
      </c>
      <c r="C761">
        <v>40</v>
      </c>
      <c r="D761" t="s">
        <v>224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208</v>
      </c>
      <c r="C762">
        <v>50</v>
      </c>
      <c r="D762" t="s">
        <v>102</v>
      </c>
      <c r="E762" t="s">
        <v>14</v>
      </c>
      <c r="F762">
        <v>11.683999999999999</v>
      </c>
      <c r="G762" t="s">
        <v>13</v>
      </c>
    </row>
    <row r="763" spans="1:7" x14ac:dyDescent="0.25">
      <c r="A763">
        <v>64</v>
      </c>
      <c r="B763" t="s">
        <v>208</v>
      </c>
      <c r="C763">
        <v>60</v>
      </c>
      <c r="D763" t="s">
        <v>16</v>
      </c>
      <c r="E763" t="s">
        <v>14</v>
      </c>
      <c r="F763">
        <v>72.480999999999995</v>
      </c>
      <c r="G763" t="s">
        <v>13</v>
      </c>
    </row>
    <row r="764" spans="1:7" x14ac:dyDescent="0.25">
      <c r="A764">
        <v>64</v>
      </c>
      <c r="B764" t="s">
        <v>208</v>
      </c>
      <c r="C764">
        <v>70</v>
      </c>
      <c r="D764" t="s">
        <v>225</v>
      </c>
      <c r="E764" t="s">
        <v>12</v>
      </c>
      <c r="F764">
        <v>7.8E-2</v>
      </c>
      <c r="G764" t="s">
        <v>13</v>
      </c>
    </row>
    <row r="765" spans="1:7" x14ac:dyDescent="0.25">
      <c r="A765">
        <v>64</v>
      </c>
      <c r="B765" t="s">
        <v>208</v>
      </c>
      <c r="C765">
        <v>80</v>
      </c>
      <c r="D765" t="s">
        <v>226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208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208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208</v>
      </c>
      <c r="C768">
        <v>110</v>
      </c>
      <c r="D768" t="s">
        <v>103</v>
      </c>
      <c r="E768" t="s">
        <v>12</v>
      </c>
      <c r="F768">
        <v>1.27</v>
      </c>
      <c r="G768" t="s">
        <v>13</v>
      </c>
    </row>
    <row r="769" spans="1:7" x14ac:dyDescent="0.25">
      <c r="A769">
        <v>64</v>
      </c>
      <c r="B769" t="s">
        <v>208</v>
      </c>
      <c r="C769">
        <v>120</v>
      </c>
      <c r="D769" t="s">
        <v>166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209</v>
      </c>
      <c r="C770">
        <v>10</v>
      </c>
      <c r="D770" t="s">
        <v>180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209</v>
      </c>
      <c r="C771">
        <v>20</v>
      </c>
      <c r="D771" t="s">
        <v>223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209</v>
      </c>
      <c r="C772">
        <v>30</v>
      </c>
      <c r="D772" t="s">
        <v>100</v>
      </c>
      <c r="E772" t="s">
        <v>101</v>
      </c>
      <c r="F772">
        <v>0.30599999999999999</v>
      </c>
      <c r="G772" t="s">
        <v>13</v>
      </c>
    </row>
    <row r="773" spans="1:7" x14ac:dyDescent="0.25">
      <c r="A773">
        <v>65</v>
      </c>
      <c r="B773" t="s">
        <v>209</v>
      </c>
      <c r="C773">
        <v>40</v>
      </c>
      <c r="D773" t="s">
        <v>224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209</v>
      </c>
      <c r="C774">
        <v>50</v>
      </c>
      <c r="D774" t="s">
        <v>102</v>
      </c>
      <c r="E774" t="s">
        <v>14</v>
      </c>
      <c r="F774">
        <v>12.294</v>
      </c>
      <c r="G774" t="s">
        <v>13</v>
      </c>
    </row>
    <row r="775" spans="1:7" x14ac:dyDescent="0.25">
      <c r="A775">
        <v>65</v>
      </c>
      <c r="B775" t="s">
        <v>209</v>
      </c>
      <c r="C775">
        <v>60</v>
      </c>
      <c r="D775" t="s">
        <v>16</v>
      </c>
      <c r="E775" t="s">
        <v>14</v>
      </c>
      <c r="F775">
        <v>76.23</v>
      </c>
      <c r="G775" t="s">
        <v>13</v>
      </c>
    </row>
    <row r="776" spans="1:7" x14ac:dyDescent="0.25">
      <c r="A776">
        <v>65</v>
      </c>
      <c r="B776" t="s">
        <v>209</v>
      </c>
      <c r="C776">
        <v>70</v>
      </c>
      <c r="D776" t="s">
        <v>225</v>
      </c>
      <c r="E776" t="s">
        <v>12</v>
      </c>
      <c r="F776">
        <v>8.8999999999999996E-2</v>
      </c>
      <c r="G776" t="s">
        <v>13</v>
      </c>
    </row>
    <row r="777" spans="1:7" x14ac:dyDescent="0.25">
      <c r="A777">
        <v>65</v>
      </c>
      <c r="B777" t="s">
        <v>209</v>
      </c>
      <c r="C777">
        <v>80</v>
      </c>
      <c r="D777" t="s">
        <v>226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209</v>
      </c>
      <c r="C780">
        <v>110</v>
      </c>
      <c r="D780" t="s">
        <v>103</v>
      </c>
      <c r="E780" t="s">
        <v>12</v>
      </c>
      <c r="F780">
        <v>1.27</v>
      </c>
      <c r="G780" t="s">
        <v>13</v>
      </c>
    </row>
    <row r="781" spans="1:7" x14ac:dyDescent="0.25">
      <c r="A781">
        <v>65</v>
      </c>
      <c r="B781" t="s">
        <v>209</v>
      </c>
      <c r="C781">
        <v>120</v>
      </c>
      <c r="D781" t="s">
        <v>168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210</v>
      </c>
      <c r="C782">
        <v>10</v>
      </c>
      <c r="D782" t="s">
        <v>180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210</v>
      </c>
      <c r="C783">
        <v>20</v>
      </c>
      <c r="D783" t="s">
        <v>223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210</v>
      </c>
      <c r="C784">
        <v>30</v>
      </c>
      <c r="D784" t="s">
        <v>100</v>
      </c>
      <c r="E784" t="s">
        <v>101</v>
      </c>
      <c r="F784">
        <v>0.35699999999999998</v>
      </c>
      <c r="G784" t="s">
        <v>13</v>
      </c>
    </row>
    <row r="785" spans="1:7" x14ac:dyDescent="0.25">
      <c r="A785">
        <v>66</v>
      </c>
      <c r="B785" t="s">
        <v>210</v>
      </c>
      <c r="C785">
        <v>40</v>
      </c>
      <c r="D785" t="s">
        <v>224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210</v>
      </c>
      <c r="C786">
        <v>50</v>
      </c>
      <c r="D786" t="s">
        <v>102</v>
      </c>
      <c r="E786" t="s">
        <v>14</v>
      </c>
      <c r="F786">
        <v>12.903</v>
      </c>
      <c r="G786" t="s">
        <v>13</v>
      </c>
    </row>
    <row r="787" spans="1:7" x14ac:dyDescent="0.25">
      <c r="A787">
        <v>66</v>
      </c>
      <c r="B787" t="s">
        <v>210</v>
      </c>
      <c r="C787">
        <v>60</v>
      </c>
      <c r="D787" t="s">
        <v>16</v>
      </c>
      <c r="E787" t="s">
        <v>14</v>
      </c>
      <c r="F787">
        <v>79.98</v>
      </c>
      <c r="G787" t="s">
        <v>13</v>
      </c>
    </row>
    <row r="788" spans="1:7" x14ac:dyDescent="0.25">
      <c r="A788">
        <v>66</v>
      </c>
      <c r="B788" t="s">
        <v>210</v>
      </c>
      <c r="C788">
        <v>70</v>
      </c>
      <c r="D788" t="s">
        <v>225</v>
      </c>
      <c r="E788" t="s">
        <v>12</v>
      </c>
      <c r="F788">
        <v>0.1</v>
      </c>
      <c r="G788" t="s">
        <v>13</v>
      </c>
    </row>
    <row r="789" spans="1:7" x14ac:dyDescent="0.25">
      <c r="A789">
        <v>66</v>
      </c>
      <c r="B789" t="s">
        <v>210</v>
      </c>
      <c r="C789">
        <v>80</v>
      </c>
      <c r="D789" t="s">
        <v>226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210</v>
      </c>
      <c r="C792">
        <v>110</v>
      </c>
      <c r="D792" t="s">
        <v>103</v>
      </c>
      <c r="E792" t="s">
        <v>12</v>
      </c>
      <c r="F792">
        <v>1.27</v>
      </c>
      <c r="G792" t="s">
        <v>13</v>
      </c>
    </row>
    <row r="793" spans="1:7" x14ac:dyDescent="0.25">
      <c r="A793">
        <v>66</v>
      </c>
      <c r="B793" t="s">
        <v>210</v>
      </c>
      <c r="C793">
        <v>120</v>
      </c>
      <c r="D793" t="s">
        <v>170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211</v>
      </c>
      <c r="C794">
        <v>10</v>
      </c>
      <c r="D794" t="s">
        <v>180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211</v>
      </c>
      <c r="C795">
        <v>20</v>
      </c>
      <c r="D795" t="s">
        <v>223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211</v>
      </c>
      <c r="C796">
        <v>30</v>
      </c>
      <c r="D796" t="s">
        <v>100</v>
      </c>
      <c r="E796" t="s">
        <v>101</v>
      </c>
      <c r="F796">
        <v>0.40799999999999997</v>
      </c>
      <c r="G796" t="s">
        <v>13</v>
      </c>
    </row>
    <row r="797" spans="1:7" x14ac:dyDescent="0.25">
      <c r="A797">
        <v>67</v>
      </c>
      <c r="B797" t="s">
        <v>211</v>
      </c>
      <c r="C797">
        <v>40</v>
      </c>
      <c r="D797" t="s">
        <v>224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211</v>
      </c>
      <c r="C798">
        <v>50</v>
      </c>
      <c r="D798" t="s">
        <v>102</v>
      </c>
      <c r="E798" t="s">
        <v>14</v>
      </c>
      <c r="F798">
        <v>13.513</v>
      </c>
      <c r="G798" t="s">
        <v>13</v>
      </c>
    </row>
    <row r="799" spans="1:7" x14ac:dyDescent="0.25">
      <c r="A799">
        <v>67</v>
      </c>
      <c r="B799" t="s">
        <v>211</v>
      </c>
      <c r="C799">
        <v>60</v>
      </c>
      <c r="D799" t="s">
        <v>16</v>
      </c>
      <c r="E799" t="s">
        <v>14</v>
      </c>
      <c r="F799">
        <v>83.728999999999999</v>
      </c>
      <c r="G799" t="s">
        <v>13</v>
      </c>
    </row>
    <row r="800" spans="1:7" x14ac:dyDescent="0.25">
      <c r="A800">
        <v>67</v>
      </c>
      <c r="B800" t="s">
        <v>211</v>
      </c>
      <c r="C800">
        <v>70</v>
      </c>
      <c r="D800" t="s">
        <v>225</v>
      </c>
      <c r="E800" t="s">
        <v>12</v>
      </c>
      <c r="F800">
        <v>0.11</v>
      </c>
      <c r="G800" t="s">
        <v>13</v>
      </c>
    </row>
    <row r="801" spans="1:7" x14ac:dyDescent="0.25">
      <c r="A801">
        <v>67</v>
      </c>
      <c r="B801" t="s">
        <v>211</v>
      </c>
      <c r="C801">
        <v>80</v>
      </c>
      <c r="D801" t="s">
        <v>226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211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211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211</v>
      </c>
      <c r="C804">
        <v>110</v>
      </c>
      <c r="D804" t="s">
        <v>103</v>
      </c>
      <c r="E804" t="s">
        <v>12</v>
      </c>
      <c r="F804">
        <v>1.27</v>
      </c>
      <c r="G804" t="s">
        <v>13</v>
      </c>
    </row>
    <row r="805" spans="1:7" x14ac:dyDescent="0.25">
      <c r="A805">
        <v>67</v>
      </c>
      <c r="B805" t="s">
        <v>211</v>
      </c>
      <c r="C805">
        <v>120</v>
      </c>
      <c r="D805" t="s">
        <v>172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212</v>
      </c>
      <c r="C806">
        <v>10</v>
      </c>
      <c r="D806" t="s">
        <v>180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212</v>
      </c>
      <c r="C807">
        <v>20</v>
      </c>
      <c r="D807" t="s">
        <v>223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212</v>
      </c>
      <c r="C808">
        <v>30</v>
      </c>
      <c r="D808" t="s">
        <v>100</v>
      </c>
      <c r="E808" t="s">
        <v>101</v>
      </c>
      <c r="F808">
        <v>0.51</v>
      </c>
      <c r="G808" t="s">
        <v>13</v>
      </c>
    </row>
    <row r="809" spans="1:7" x14ac:dyDescent="0.25">
      <c r="A809">
        <v>68</v>
      </c>
      <c r="B809" t="s">
        <v>212</v>
      </c>
      <c r="C809">
        <v>40</v>
      </c>
      <c r="D809" t="s">
        <v>224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212</v>
      </c>
      <c r="C810">
        <v>50</v>
      </c>
      <c r="D810" t="s">
        <v>102</v>
      </c>
      <c r="E810" t="s">
        <v>14</v>
      </c>
      <c r="F810">
        <v>14.731999999999999</v>
      </c>
      <c r="G810" t="s">
        <v>13</v>
      </c>
    </row>
    <row r="811" spans="1:7" x14ac:dyDescent="0.25">
      <c r="A811">
        <v>68</v>
      </c>
      <c r="B811" t="s">
        <v>212</v>
      </c>
      <c r="C811">
        <v>60</v>
      </c>
      <c r="D811" t="s">
        <v>16</v>
      </c>
      <c r="E811" t="s">
        <v>14</v>
      </c>
      <c r="F811">
        <v>91.227000000000004</v>
      </c>
      <c r="G811" t="s">
        <v>13</v>
      </c>
    </row>
    <row r="812" spans="1:7" x14ac:dyDescent="0.25">
      <c r="A812">
        <v>68</v>
      </c>
      <c r="B812" t="s">
        <v>212</v>
      </c>
      <c r="C812">
        <v>70</v>
      </c>
      <c r="D812" t="s">
        <v>225</v>
      </c>
      <c r="E812" t="s">
        <v>12</v>
      </c>
      <c r="F812">
        <v>0.13200000000000001</v>
      </c>
      <c r="G812" t="s">
        <v>13</v>
      </c>
    </row>
    <row r="813" spans="1:7" x14ac:dyDescent="0.25">
      <c r="A813">
        <v>68</v>
      </c>
      <c r="B813" t="s">
        <v>212</v>
      </c>
      <c r="C813">
        <v>80</v>
      </c>
      <c r="D813" t="s">
        <v>226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212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212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212</v>
      </c>
      <c r="C816">
        <v>110</v>
      </c>
      <c r="D816" t="s">
        <v>103</v>
      </c>
      <c r="E816" t="s">
        <v>12</v>
      </c>
      <c r="F816">
        <v>1.27</v>
      </c>
      <c r="G816" t="s">
        <v>13</v>
      </c>
    </row>
    <row r="817" spans="1:7" x14ac:dyDescent="0.25">
      <c r="A817">
        <v>68</v>
      </c>
      <c r="B817" t="s">
        <v>212</v>
      </c>
      <c r="C817">
        <v>120</v>
      </c>
      <c r="D817" t="s">
        <v>174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213</v>
      </c>
      <c r="C818">
        <v>10</v>
      </c>
      <c r="D818" t="s">
        <v>180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213</v>
      </c>
      <c r="C819">
        <v>20</v>
      </c>
      <c r="D819" t="s">
        <v>223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213</v>
      </c>
      <c r="C820">
        <v>30</v>
      </c>
      <c r="D820" t="s">
        <v>100</v>
      </c>
      <c r="E820" t="s">
        <v>101</v>
      </c>
      <c r="F820">
        <v>0.56100000000000005</v>
      </c>
      <c r="G820" t="s">
        <v>13</v>
      </c>
    </row>
    <row r="821" spans="1:7" x14ac:dyDescent="0.25">
      <c r="A821">
        <v>69</v>
      </c>
      <c r="B821" t="s">
        <v>213</v>
      </c>
      <c r="C821">
        <v>40</v>
      </c>
      <c r="D821" t="s">
        <v>224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213</v>
      </c>
      <c r="C822">
        <v>50</v>
      </c>
      <c r="D822" t="s">
        <v>102</v>
      </c>
      <c r="E822" t="s">
        <v>14</v>
      </c>
      <c r="F822">
        <v>15.342000000000001</v>
      </c>
      <c r="G822" t="s">
        <v>13</v>
      </c>
    </row>
    <row r="823" spans="1:7" x14ac:dyDescent="0.25">
      <c r="A823">
        <v>69</v>
      </c>
      <c r="B823" t="s">
        <v>213</v>
      </c>
      <c r="C823">
        <v>60</v>
      </c>
      <c r="D823" t="s">
        <v>16</v>
      </c>
      <c r="E823" t="s">
        <v>14</v>
      </c>
      <c r="F823">
        <v>94.975999999999999</v>
      </c>
      <c r="G823" t="s">
        <v>13</v>
      </c>
    </row>
    <row r="824" spans="1:7" x14ac:dyDescent="0.25">
      <c r="A824">
        <v>69</v>
      </c>
      <c r="B824" t="s">
        <v>213</v>
      </c>
      <c r="C824">
        <v>70</v>
      </c>
      <c r="D824" t="s">
        <v>225</v>
      </c>
      <c r="E824" t="s">
        <v>12</v>
      </c>
      <c r="F824">
        <v>0.14199999999999999</v>
      </c>
      <c r="G824" t="s">
        <v>13</v>
      </c>
    </row>
    <row r="825" spans="1:7" x14ac:dyDescent="0.25">
      <c r="A825">
        <v>69</v>
      </c>
      <c r="B825" t="s">
        <v>213</v>
      </c>
      <c r="C825">
        <v>80</v>
      </c>
      <c r="D825" t="s">
        <v>226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213</v>
      </c>
      <c r="C828">
        <v>110</v>
      </c>
      <c r="D828" t="s">
        <v>103</v>
      </c>
      <c r="E828" t="s">
        <v>12</v>
      </c>
      <c r="F828">
        <v>1.27</v>
      </c>
      <c r="G828" t="s">
        <v>13</v>
      </c>
    </row>
    <row r="829" spans="1:7" x14ac:dyDescent="0.25">
      <c r="A829">
        <v>69</v>
      </c>
      <c r="B829" t="s">
        <v>213</v>
      </c>
      <c r="C829">
        <v>120</v>
      </c>
      <c r="D829" t="s">
        <v>176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214</v>
      </c>
      <c r="C830">
        <v>10</v>
      </c>
      <c r="D830" t="s">
        <v>180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214</v>
      </c>
      <c r="C831">
        <v>20</v>
      </c>
      <c r="D831" t="s">
        <v>223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214</v>
      </c>
      <c r="C832">
        <v>30</v>
      </c>
      <c r="D832" t="s">
        <v>100</v>
      </c>
      <c r="E832" t="s">
        <v>101</v>
      </c>
      <c r="F832">
        <v>0.61199999999999999</v>
      </c>
      <c r="G832" t="s">
        <v>13</v>
      </c>
    </row>
    <row r="833" spans="1:7" x14ac:dyDescent="0.25">
      <c r="A833">
        <v>70</v>
      </c>
      <c r="B833" t="s">
        <v>214</v>
      </c>
      <c r="C833">
        <v>40</v>
      </c>
      <c r="D833" t="s">
        <v>224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214</v>
      </c>
      <c r="C834">
        <v>50</v>
      </c>
      <c r="D834" t="s">
        <v>102</v>
      </c>
      <c r="E834" t="s">
        <v>14</v>
      </c>
      <c r="F834">
        <v>15.951000000000001</v>
      </c>
      <c r="G834" t="s">
        <v>13</v>
      </c>
    </row>
    <row r="835" spans="1:7" x14ac:dyDescent="0.25">
      <c r="A835">
        <v>70</v>
      </c>
      <c r="B835" t="s">
        <v>214</v>
      </c>
      <c r="C835">
        <v>60</v>
      </c>
      <c r="D835" t="s">
        <v>16</v>
      </c>
      <c r="E835" t="s">
        <v>14</v>
      </c>
      <c r="F835">
        <v>98.724999999999994</v>
      </c>
      <c r="G835" t="s">
        <v>13</v>
      </c>
    </row>
    <row r="836" spans="1:7" x14ac:dyDescent="0.25">
      <c r="A836">
        <v>70</v>
      </c>
      <c r="B836" t="s">
        <v>214</v>
      </c>
      <c r="C836">
        <v>70</v>
      </c>
      <c r="D836" t="s">
        <v>225</v>
      </c>
      <c r="E836" t="s">
        <v>12</v>
      </c>
      <c r="F836">
        <v>0.153</v>
      </c>
      <c r="G836" t="s">
        <v>13</v>
      </c>
    </row>
    <row r="837" spans="1:7" x14ac:dyDescent="0.25">
      <c r="A837">
        <v>70</v>
      </c>
      <c r="B837" t="s">
        <v>214</v>
      </c>
      <c r="C837">
        <v>80</v>
      </c>
      <c r="D837" t="s">
        <v>226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214</v>
      </c>
      <c r="C840">
        <v>110</v>
      </c>
      <c r="D840" t="s">
        <v>103</v>
      </c>
      <c r="E840" t="s">
        <v>12</v>
      </c>
      <c r="F840">
        <v>1.27</v>
      </c>
      <c r="G840" t="s">
        <v>13</v>
      </c>
    </row>
    <row r="841" spans="1:7" x14ac:dyDescent="0.25">
      <c r="A841">
        <v>70</v>
      </c>
      <c r="B841" t="s">
        <v>214</v>
      </c>
      <c r="C841">
        <v>120</v>
      </c>
      <c r="D841" t="s">
        <v>178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223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0.24099999999999999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224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10.77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66.858000000000004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225</v>
      </c>
      <c r="E848" t="s">
        <v>12</v>
      </c>
      <c r="F848">
        <v>8.4000000000000005E-2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226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0.58099999999999996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223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0.28399999999999997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224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11.379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70.606999999999999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225</v>
      </c>
      <c r="E860" t="s">
        <v>12</v>
      </c>
      <c r="F860">
        <v>9.4E-2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226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0.66200000000000003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223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0.32800000000000001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224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11.989000000000001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74.355999999999995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225</v>
      </c>
      <c r="E872" t="s">
        <v>12</v>
      </c>
      <c r="F872">
        <v>0.105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226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0.74299999999999999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223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0.372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224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12.598000000000001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78.105000000000004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225</v>
      </c>
      <c r="E884" t="s">
        <v>12</v>
      </c>
      <c r="F884">
        <v>0.11600000000000001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226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0.82399999999999995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223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0.39400000000000002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224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12.903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79.98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225</v>
      </c>
      <c r="E896" t="s">
        <v>12</v>
      </c>
      <c r="F896">
        <v>0.121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226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0.86499999999999999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223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0.41599999999999998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224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13.208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81.853999999999999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225</v>
      </c>
      <c r="E908" t="s">
        <v>12</v>
      </c>
      <c r="F908">
        <v>0.126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226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0.90500000000000003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223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224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13.818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85.602999999999994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225</v>
      </c>
      <c r="E920" t="s">
        <v>12</v>
      </c>
      <c r="F920">
        <v>0.13700000000000001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226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0.98599999999999999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223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0.503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224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14.427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89.352000000000004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225</v>
      </c>
      <c r="E932" t="s">
        <v>12</v>
      </c>
      <c r="F932">
        <v>0.14799999999999999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226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1.0669999999999999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223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0.251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224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11.074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68.731999999999999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225</v>
      </c>
      <c r="E944" t="s">
        <v>12</v>
      </c>
      <c r="F944">
        <v>8.4000000000000005E-2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226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0.58099999999999996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223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0.29599999999999999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224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11.683999999999999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72.480999999999995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225</v>
      </c>
      <c r="E956" t="s">
        <v>12</v>
      </c>
      <c r="F956">
        <v>9.4E-2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226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0.66200000000000003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223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0.34200000000000003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224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12.294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76.23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225</v>
      </c>
      <c r="E968" t="s">
        <v>12</v>
      </c>
      <c r="F968">
        <v>0.105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226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0.74299999999999999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223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0.38700000000000001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224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12.903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79.98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225</v>
      </c>
      <c r="E980" t="s">
        <v>12</v>
      </c>
      <c r="F980">
        <v>0.11600000000000001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226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0.82399999999999995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223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0.41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224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13.208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81.853999999999999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225</v>
      </c>
      <c r="E992" t="s">
        <v>12</v>
      </c>
      <c r="F992">
        <v>0.121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226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0.86499999999999999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223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0.433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224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13.513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83.728999999999999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225</v>
      </c>
      <c r="E1004" t="s">
        <v>12</v>
      </c>
      <c r="F1004">
        <v>0.126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226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0.90500000000000003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223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0.47799999999999998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224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14.122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87.477999999999994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225</v>
      </c>
      <c r="E1016" t="s">
        <v>12</v>
      </c>
      <c r="F1016">
        <v>0.13700000000000001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226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0.98599999999999999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223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0.52400000000000002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224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14.731999999999999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91.227000000000004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225</v>
      </c>
      <c r="E1028" t="s">
        <v>12</v>
      </c>
      <c r="F1028">
        <v>0.14799999999999999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226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1.0669999999999999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223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0.26100000000000001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224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11.379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70.606999999999999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225</v>
      </c>
      <c r="E1040" t="s">
        <v>12</v>
      </c>
      <c r="F1040">
        <v>8.4000000000000005E-2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226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0.58099999999999996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223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0.308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224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11.989000000000001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74.355999999999995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225</v>
      </c>
      <c r="E1052" t="s">
        <v>12</v>
      </c>
      <c r="F1052">
        <v>9.4E-2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226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0.66200000000000003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223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0.35499999999999998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224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12.598000000000001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78.105000000000004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225</v>
      </c>
      <c r="E1064" t="s">
        <v>12</v>
      </c>
      <c r="F1064">
        <v>0.105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226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0.74299999999999999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223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0.40300000000000002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224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13.208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81.853999999999999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225</v>
      </c>
      <c r="E1076" t="s">
        <v>12</v>
      </c>
      <c r="F1076">
        <v>0.11600000000000001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226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0.82399999999999995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223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0.42599999999999999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224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13.513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83.728999999999999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225</v>
      </c>
      <c r="E1088" t="s">
        <v>12</v>
      </c>
      <c r="F1088">
        <v>0.121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226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0.86499999999999999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223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0.45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224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13.818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85.602999999999994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225</v>
      </c>
      <c r="E1100" t="s">
        <v>12</v>
      </c>
      <c r="F1100">
        <v>0.126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226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223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0.498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224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89.352000000000004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225</v>
      </c>
      <c r="E1112" t="s">
        <v>12</v>
      </c>
      <c r="F1112">
        <v>0.13700000000000001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226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0.98599999999999999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223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0.54500000000000004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224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15.037000000000001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93.100999999999999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225</v>
      </c>
      <c r="E1124" t="s">
        <v>12</v>
      </c>
      <c r="F1124">
        <v>0.14799999999999999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226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1.0669999999999999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223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0.26700000000000002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224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11.582000000000001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71.856999999999999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225</v>
      </c>
      <c r="E1136" t="s">
        <v>12</v>
      </c>
      <c r="F1136">
        <v>8.4000000000000005E-2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226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1.216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223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0.316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224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12.192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75.605999999999995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225</v>
      </c>
      <c r="E1148" t="s">
        <v>12</v>
      </c>
      <c r="F1148">
        <v>9.4E-2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226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1.216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223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0.36499999999999999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224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12.802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79.355000000000004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225</v>
      </c>
      <c r="E1160" t="s">
        <v>12</v>
      </c>
      <c r="F1160">
        <v>0.105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226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1.216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223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0.41299999999999998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224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13.411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83.103999999999999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225</v>
      </c>
      <c r="E1172" t="s">
        <v>12</v>
      </c>
      <c r="F1172">
        <v>0.11600000000000001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226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1.216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223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0.437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224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84.977999999999994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225</v>
      </c>
      <c r="E1184" t="s">
        <v>12</v>
      </c>
      <c r="F1184">
        <v>0.121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226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1.216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223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0.46200000000000002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224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14.021000000000001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86.852999999999994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225</v>
      </c>
      <c r="E1196" t="s">
        <v>12</v>
      </c>
      <c r="F1196">
        <v>0.126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226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1.216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223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0.51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224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14.63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90.602000000000004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225</v>
      </c>
      <c r="E1208" t="s">
        <v>12</v>
      </c>
      <c r="F1208">
        <v>0.13700000000000001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226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1.216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223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0.55900000000000005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224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15.24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94.350999999999999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225</v>
      </c>
      <c r="E1220" t="s">
        <v>12</v>
      </c>
      <c r="F1220">
        <v>0.14799999999999999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226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1.216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223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0.28100000000000003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224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11.989000000000001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74.355999999999995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225</v>
      </c>
      <c r="E1232" t="s">
        <v>12</v>
      </c>
      <c r="F1232">
        <v>8.4000000000000005E-2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226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1.27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223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0.33200000000000002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224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12.598000000000001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78.105000000000004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225</v>
      </c>
      <c r="E1244" t="s">
        <v>12</v>
      </c>
      <c r="F1244">
        <v>9.4E-2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226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1.27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223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0.38300000000000001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224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13.208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81.853999999999999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225</v>
      </c>
      <c r="E1256" t="s">
        <v>12</v>
      </c>
      <c r="F1256">
        <v>0.105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226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1.27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223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0.434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224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13.818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85.602999999999994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225</v>
      </c>
      <c r="E1268" t="s">
        <v>12</v>
      </c>
      <c r="F1268">
        <v>0.11600000000000001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226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1.27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223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0.45900000000000002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224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14.122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87.477999999999994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225</v>
      </c>
      <c r="E1280" t="s">
        <v>12</v>
      </c>
      <c r="F1280">
        <v>0.121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226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1.27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223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0.48499999999999999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224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14.427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89.352000000000004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225</v>
      </c>
      <c r="E1292" t="s">
        <v>12</v>
      </c>
      <c r="F1292">
        <v>0.126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226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1.27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223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0.53600000000000003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224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15.037000000000001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93.100999999999999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225</v>
      </c>
      <c r="E1304" t="s">
        <v>12</v>
      </c>
      <c r="F1304">
        <v>0.13700000000000001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226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1.27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223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0.58699999999999997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224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15.646000000000001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96.85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225</v>
      </c>
      <c r="E1316" t="s">
        <v>12</v>
      </c>
      <c r="F1316">
        <v>0.14799999999999999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226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1.27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180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223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0.24099999999999999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224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10.77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66.858000000000004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225</v>
      </c>
      <c r="E1328" t="s">
        <v>12</v>
      </c>
      <c r="F1328">
        <v>8.4000000000000005E-2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226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0.58099999999999996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180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223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0.28399999999999997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224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11.379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70.606999999999999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225</v>
      </c>
      <c r="E1340" t="s">
        <v>12</v>
      </c>
      <c r="F1340">
        <v>9.4E-2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226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0.66200000000000003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180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223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0.32800000000000001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224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11.989000000000001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74.355999999999995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225</v>
      </c>
      <c r="E1352" t="s">
        <v>12</v>
      </c>
      <c r="F1352">
        <v>0.105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226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0.74299999999999999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180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223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0.372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224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12.598000000000001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78.105000000000004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225</v>
      </c>
      <c r="E1364" t="s">
        <v>12</v>
      </c>
      <c r="F1364">
        <v>0.11600000000000001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226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0.82399999999999995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180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223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0.39400000000000002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224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12.903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79.98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225</v>
      </c>
      <c r="E1376" t="s">
        <v>12</v>
      </c>
      <c r="F1376">
        <v>0.121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226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0.86499999999999999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180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223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0.41599999999999998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224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13.208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81.853999999999999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225</v>
      </c>
      <c r="E1388" t="s">
        <v>12</v>
      </c>
      <c r="F1388">
        <v>0.126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226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0.90500000000000003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180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223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224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13.818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85.602999999999994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225</v>
      </c>
      <c r="E1400" t="s">
        <v>12</v>
      </c>
      <c r="F1400">
        <v>0.13700000000000001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226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0.98599999999999999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180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223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0.503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224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14.427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89.352000000000004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225</v>
      </c>
      <c r="E1412" t="s">
        <v>12</v>
      </c>
      <c r="F1412">
        <v>0.14799999999999999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226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1.0669999999999999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180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223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0.251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224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11.074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68.731999999999999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225</v>
      </c>
      <c r="E1424" t="s">
        <v>12</v>
      </c>
      <c r="F1424">
        <v>8.4000000000000005E-2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226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0.58099999999999996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180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223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0.29599999999999999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224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11.683999999999999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72.480999999999995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225</v>
      </c>
      <c r="E1436" t="s">
        <v>12</v>
      </c>
      <c r="F1436">
        <v>9.4E-2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226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0.66200000000000003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180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223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0.34200000000000003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224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12.294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76.23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225</v>
      </c>
      <c r="E1448" t="s">
        <v>12</v>
      </c>
      <c r="F1448">
        <v>0.105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226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0.74299999999999999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180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223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0.38700000000000001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224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12.903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79.98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225</v>
      </c>
      <c r="E1460" t="s">
        <v>12</v>
      </c>
      <c r="F1460">
        <v>0.11600000000000001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226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0.82399999999999995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180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223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0.41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224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13.208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81.853999999999999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225</v>
      </c>
      <c r="E1472" t="s">
        <v>12</v>
      </c>
      <c r="F1472">
        <v>0.121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226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0.86499999999999999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180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223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0.433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224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13.513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83.728999999999999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225</v>
      </c>
      <c r="E1484" t="s">
        <v>12</v>
      </c>
      <c r="F1484">
        <v>0.126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226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0.90500000000000003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180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223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0.47799999999999998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224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14.122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87.477999999999994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225</v>
      </c>
      <c r="E1496" t="s">
        <v>12</v>
      </c>
      <c r="F1496">
        <v>0.13700000000000001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226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0.98599999999999999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180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223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0.52400000000000002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224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14.731999999999999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91.227000000000004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225</v>
      </c>
      <c r="E1508" t="s">
        <v>12</v>
      </c>
      <c r="F1508">
        <v>0.14799999999999999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226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1.0669999999999999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180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223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0.26100000000000001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224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11.379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70.606999999999999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225</v>
      </c>
      <c r="E1520" t="s">
        <v>12</v>
      </c>
      <c r="F1520">
        <v>8.4000000000000005E-2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226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0.58099999999999996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180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223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0.308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224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11.989000000000001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74.355999999999995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225</v>
      </c>
      <c r="E1532" t="s">
        <v>12</v>
      </c>
      <c r="F1532">
        <v>9.4E-2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226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0.66200000000000003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180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223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0.35499999999999998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224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12.598000000000001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78.105000000000004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225</v>
      </c>
      <c r="E1544" t="s">
        <v>12</v>
      </c>
      <c r="F1544">
        <v>0.105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226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0.74299999999999999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180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223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0.40300000000000002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224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13.208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81.853999999999999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225</v>
      </c>
      <c r="E1556" t="s">
        <v>12</v>
      </c>
      <c r="F1556">
        <v>0.11600000000000001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226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0.82399999999999995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180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223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0.42599999999999999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224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13.513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83.728999999999999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225</v>
      </c>
      <c r="E1568" t="s">
        <v>12</v>
      </c>
      <c r="F1568">
        <v>0.121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226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0.86499999999999999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180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223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0.45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224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13.818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85.602999999999994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225</v>
      </c>
      <c r="E1580" t="s">
        <v>12</v>
      </c>
      <c r="F1580">
        <v>0.126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226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0.90500000000000003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180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223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0.498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224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14.427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89.352000000000004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225</v>
      </c>
      <c r="E1592" t="s">
        <v>12</v>
      </c>
      <c r="F1592">
        <v>0.13700000000000001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226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0.98599999999999999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180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223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0.54500000000000004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224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15.037000000000001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93.100999999999999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225</v>
      </c>
      <c r="E1604" t="s">
        <v>12</v>
      </c>
      <c r="F1604">
        <v>0.14799999999999999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226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1.0669999999999999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180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223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0.26700000000000002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224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11.582000000000001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71.856999999999999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225</v>
      </c>
      <c r="E1616" t="s">
        <v>12</v>
      </c>
      <c r="F1616">
        <v>8.4000000000000005E-2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226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1.216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180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223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0.316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224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12.192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75.605999999999995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225</v>
      </c>
      <c r="E1628" t="s">
        <v>12</v>
      </c>
      <c r="F1628">
        <v>9.4E-2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226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1.216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180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223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0.36499999999999999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224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12.802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79.355000000000004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225</v>
      </c>
      <c r="E1640" t="s">
        <v>12</v>
      </c>
      <c r="F1640">
        <v>0.105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226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1.216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180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223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0.41299999999999998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224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13.411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83.103999999999999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225</v>
      </c>
      <c r="E1652" t="s">
        <v>12</v>
      </c>
      <c r="F1652">
        <v>0.11600000000000001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226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1.216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180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223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0.437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224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13.715999999999999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84.977999999999994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225</v>
      </c>
      <c r="E1664" t="s">
        <v>12</v>
      </c>
      <c r="F1664">
        <v>0.121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226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1.216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180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223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0.46200000000000002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224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14.021000000000001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86.852999999999994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225</v>
      </c>
      <c r="E1676" t="s">
        <v>12</v>
      </c>
      <c r="F1676">
        <v>0.126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226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1.216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180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223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0.51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224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14.63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90.602000000000004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225</v>
      </c>
      <c r="E1688" t="s">
        <v>12</v>
      </c>
      <c r="F1688">
        <v>0.13700000000000001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226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1.216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180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223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0.55900000000000005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224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15.24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94.350999999999999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225</v>
      </c>
      <c r="E1700" t="s">
        <v>12</v>
      </c>
      <c r="F1700">
        <v>0.14799999999999999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226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1.216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180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223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0.28100000000000003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224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11.989000000000001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74.355999999999995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225</v>
      </c>
      <c r="E1712" t="s">
        <v>12</v>
      </c>
      <c r="F1712">
        <v>8.4000000000000005E-2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226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1.27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180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223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0.33200000000000002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224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12.598000000000001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78.105000000000004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225</v>
      </c>
      <c r="E1724" t="s">
        <v>12</v>
      </c>
      <c r="F1724">
        <v>9.4E-2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226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1.27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180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223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0.38300000000000001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224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13.208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81.853999999999999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225</v>
      </c>
      <c r="E1736" t="s">
        <v>12</v>
      </c>
      <c r="F1736">
        <v>0.105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226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1.27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180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223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0.434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224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13.818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85.602999999999994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225</v>
      </c>
      <c r="E1748" t="s">
        <v>12</v>
      </c>
      <c r="F1748">
        <v>0.11600000000000001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226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1.27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180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223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0.45900000000000002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224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14.122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87.477999999999994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225</v>
      </c>
      <c r="E1760" t="s">
        <v>12</v>
      </c>
      <c r="F1760">
        <v>0.121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226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1.27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180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223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0.48499999999999999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224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14.427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89.352000000000004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225</v>
      </c>
      <c r="E1772" t="s">
        <v>12</v>
      </c>
      <c r="F1772">
        <v>0.126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226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1.27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180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223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0.53600000000000003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224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15.037000000000001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93.100999999999999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225</v>
      </c>
      <c r="E1784" t="s">
        <v>12</v>
      </c>
      <c r="F1784">
        <v>0.13700000000000001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226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1.27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180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223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0.58699999999999997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224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15.646000000000001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96.85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225</v>
      </c>
      <c r="E1796" t="s">
        <v>12</v>
      </c>
      <c r="F1796">
        <v>0.14799999999999999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226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1.27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topLeftCell="A1771" zoomScale="85" zoomScaleNormal="85" workbookViewId="0">
      <selection activeCell="AO1778" sqref="AO177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8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8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223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0.219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224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225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226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223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0.26200000000000001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224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225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226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223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0.30599999999999999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224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225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226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223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0.35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224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225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226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223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0.437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224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225</v>
      </c>
      <c r="O59" s="3"/>
      <c r="P59" s="3"/>
      <c r="Q59" s="3">
        <v>0.13200000000000001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226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0.94599999999999995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223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0.48099999999999998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224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225</v>
      </c>
      <c r="O71" s="3"/>
      <c r="P71" s="3"/>
      <c r="Q71" s="3">
        <v>0.14199999999999999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226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1.0269999999999999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223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0.52500000000000002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224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225</v>
      </c>
      <c r="O83" s="3"/>
      <c r="P83" s="3"/>
      <c r="Q83" s="3">
        <v>0.153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226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1.1080000000000001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223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0.22800000000000001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224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225</v>
      </c>
      <c r="O95" s="3"/>
      <c r="P95" s="3"/>
      <c r="Q95" s="3">
        <v>7.8E-2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226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223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0.27300000000000002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224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225</v>
      </c>
      <c r="O107" s="3"/>
      <c r="P107" s="3"/>
      <c r="Q107" s="3">
        <v>8.8999999999999996E-2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226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0.622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223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0.31900000000000001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224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225</v>
      </c>
      <c r="O119" s="3"/>
      <c r="P119" s="3"/>
      <c r="Q119" s="3">
        <v>0.1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226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0.70299999999999996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223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0.36499999999999999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224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225</v>
      </c>
      <c r="O131" s="3"/>
      <c r="P131" s="3"/>
      <c r="Q131" s="3">
        <v>0.11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226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0.78400000000000003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130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223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0.45600000000000002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224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225</v>
      </c>
      <c r="O143" s="3"/>
      <c r="P143" s="3"/>
      <c r="Q143" s="3">
        <v>0.13200000000000001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226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0.94599999999999995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223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0.501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224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225</v>
      </c>
      <c r="O155" s="3"/>
      <c r="P155" s="3"/>
      <c r="Q155" s="3">
        <v>0.14199999999999999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226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1.0269999999999999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223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0.54700000000000004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224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225</v>
      </c>
      <c r="O167" s="3"/>
      <c r="P167" s="3"/>
      <c r="Q167" s="3">
        <v>0.153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226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1.1080000000000001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223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0.23699999999999999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224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225</v>
      </c>
      <c r="O179" s="3"/>
      <c r="P179" s="3"/>
      <c r="Q179" s="3">
        <v>7.8E-2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226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223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0.28399999999999997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224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225</v>
      </c>
      <c r="O191" s="3"/>
      <c r="P191" s="3"/>
      <c r="Q191" s="3">
        <v>8.8999999999999996E-2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226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0.622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140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223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0.33200000000000002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224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225</v>
      </c>
      <c r="O203" s="3"/>
      <c r="P203" s="3"/>
      <c r="Q203" s="3">
        <v>0.1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226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0.70299999999999996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223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0.379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224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225</v>
      </c>
      <c r="O215" s="3"/>
      <c r="P215" s="3"/>
      <c r="Q215" s="3">
        <v>0.11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226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0.78400000000000003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223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0.47399999999999998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224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225</v>
      </c>
      <c r="O227" s="3"/>
      <c r="P227" s="3"/>
      <c r="Q227" s="3">
        <v>0.13200000000000001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226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0.94599999999999995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223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0.52100000000000002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224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225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226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223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0.56899999999999995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224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225</v>
      </c>
      <c r="O251" s="3"/>
      <c r="P251" s="3"/>
      <c r="Q251" s="3">
        <v>0.153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226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1.1080000000000001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223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0.24299999999999999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224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225</v>
      </c>
      <c r="O263" s="3"/>
      <c r="P263" s="3"/>
      <c r="Q263" s="3">
        <v>7.8E-2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226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1.216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223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0.29199999999999998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224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225</v>
      </c>
      <c r="O275" s="3"/>
      <c r="P275" s="3"/>
      <c r="Q275" s="3">
        <v>8.8999999999999996E-2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226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1.216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223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0.34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224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225</v>
      </c>
      <c r="O287" s="3"/>
      <c r="P287" s="3"/>
      <c r="Q287" s="3">
        <v>0.1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226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1.216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223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0.38900000000000001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224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225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226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223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0.48599999999999999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224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225</v>
      </c>
      <c r="O311" s="3"/>
      <c r="P311" s="3"/>
      <c r="Q311" s="3">
        <v>0.13200000000000001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226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223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0.53500000000000003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224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225</v>
      </c>
      <c r="O323" s="3"/>
      <c r="P323" s="3"/>
      <c r="Q323" s="3">
        <v>0.14199999999999999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226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163</v>
      </c>
      <c r="D329" s="3"/>
      <c r="E329" s="3" t="s">
        <v>163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223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0.58299999999999996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224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225</v>
      </c>
      <c r="O335" s="3"/>
      <c r="P335" s="3"/>
      <c r="Q335" s="3">
        <v>0.153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226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165</v>
      </c>
      <c r="D341" s="3"/>
      <c r="E341" s="3" t="s">
        <v>165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165</v>
      </c>
      <c r="D342" s="3"/>
      <c r="E342" s="3" t="s">
        <v>165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223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0.255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224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225</v>
      </c>
      <c r="O347" s="3"/>
      <c r="P347" s="3"/>
      <c r="Q347" s="3">
        <v>7.8E-2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226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1.27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223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0.30599999999999999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224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225</v>
      </c>
      <c r="O359" s="3"/>
      <c r="P359" s="3"/>
      <c r="Q359" s="3">
        <v>8.8999999999999996E-2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226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1.27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223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0.35699999999999998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224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225</v>
      </c>
      <c r="O371" s="3"/>
      <c r="P371" s="3"/>
      <c r="Q371" s="3">
        <v>0.1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226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1.27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170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223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0.40799999999999997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224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225</v>
      </c>
      <c r="O383" s="3"/>
      <c r="P383" s="3"/>
      <c r="Q383" s="3">
        <v>0.11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226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1.27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223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0.51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224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225</v>
      </c>
      <c r="O395" s="3"/>
      <c r="P395" s="3"/>
      <c r="Q395" s="3">
        <v>0.13200000000000001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226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223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0.56100000000000005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224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225</v>
      </c>
      <c r="O407" s="3"/>
      <c r="P407" s="3"/>
      <c r="Q407" s="3">
        <v>0.14199999999999999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226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223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0.61199999999999999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224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225</v>
      </c>
      <c r="O419" s="3"/>
      <c r="P419" s="3"/>
      <c r="Q419" s="3">
        <v>0.153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226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180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223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0.219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224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10.465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64.983000000000004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225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226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110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180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223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0.26200000000000001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224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11.074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68.731999999999999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225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226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112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180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223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0.30599999999999999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224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11.683999999999999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72.480999999999995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225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226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180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223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0.35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224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12.294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76.23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225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226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180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223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0.437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224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13.513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83.728999999999999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225</v>
      </c>
      <c r="O479" s="3"/>
      <c r="P479" s="3"/>
      <c r="Q479" s="3">
        <v>0.13200000000000001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226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0.94599999999999995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180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223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0.48099999999999998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224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14.122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87.477999999999994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225</v>
      </c>
      <c r="O491" s="3"/>
      <c r="P491" s="3"/>
      <c r="Q491" s="3">
        <v>0.14199999999999999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1.0269999999999999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180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223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0.52500000000000002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224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14.731999999999999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91.227000000000004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225</v>
      </c>
      <c r="O503" s="3"/>
      <c r="P503" s="3"/>
      <c r="Q503" s="3">
        <v>0.153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1.1080000000000001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180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223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0.22800000000000001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224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10.77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66.858000000000004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225</v>
      </c>
      <c r="O515" s="3"/>
      <c r="P515" s="3"/>
      <c r="Q515" s="3">
        <v>7.8E-2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180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223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0.27300000000000002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224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11.379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70.606999999999999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225</v>
      </c>
      <c r="O527" s="3"/>
      <c r="P527" s="3"/>
      <c r="Q527" s="3">
        <v>8.8999999999999996E-2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188</v>
      </c>
      <c r="D530" s="3"/>
      <c r="E530" s="3" t="s">
        <v>188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188</v>
      </c>
      <c r="D531" s="3"/>
      <c r="E531" s="3" t="s">
        <v>188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0.622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188</v>
      </c>
      <c r="D532" s="3"/>
      <c r="E532" s="3" t="s">
        <v>188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126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180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223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0.31900000000000001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224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11.989000000000001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74.355999999999995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225</v>
      </c>
      <c r="O539" s="3"/>
      <c r="P539" s="3"/>
      <c r="Q539" s="3">
        <v>0.1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0.70299999999999996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180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223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0.36499999999999999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224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12.598000000000001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78.105000000000004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225</v>
      </c>
      <c r="O551" s="3"/>
      <c r="P551" s="3"/>
      <c r="Q551" s="3">
        <v>0.11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0.78400000000000003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130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180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223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0.45600000000000002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224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13.818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85.602999999999994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225</v>
      </c>
      <c r="O563" s="3"/>
      <c r="P563" s="3"/>
      <c r="Q563" s="3">
        <v>0.13200000000000001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132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180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223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0.501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224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14.427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89.352000000000004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225</v>
      </c>
      <c r="O575" s="3"/>
      <c r="P575" s="3"/>
      <c r="Q575" s="3">
        <v>0.14199999999999999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192</v>
      </c>
      <c r="D577" s="3"/>
      <c r="E577" s="3" t="s">
        <v>192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192</v>
      </c>
      <c r="D578" s="3"/>
      <c r="E578" s="3" t="s">
        <v>192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192</v>
      </c>
      <c r="D579" s="3"/>
      <c r="E579" s="3" t="s">
        <v>192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192</v>
      </c>
      <c r="D580" s="3"/>
      <c r="E580" s="3" t="s">
        <v>192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180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223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0.54700000000000004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224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15.037000000000001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93.100999999999999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225</v>
      </c>
      <c r="O587" s="3"/>
      <c r="P587" s="3"/>
      <c r="Q587" s="3">
        <v>0.153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180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223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0.23699999999999999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224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11.074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68.731999999999999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225</v>
      </c>
      <c r="O599" s="3"/>
      <c r="P599" s="3"/>
      <c r="Q599" s="3">
        <v>7.8E-2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0.54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138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180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223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0.28399999999999997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224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11.683999999999999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72.480999999999995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225</v>
      </c>
      <c r="O611" s="3"/>
      <c r="P611" s="3"/>
      <c r="Q611" s="3">
        <v>8.8999999999999996E-2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0.622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140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180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223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0.33200000000000002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224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12.294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76.23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225</v>
      </c>
      <c r="O623" s="3"/>
      <c r="P623" s="3"/>
      <c r="Q623" s="3">
        <v>0.1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0.70299999999999996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180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223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0.379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224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12.903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79.98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225</v>
      </c>
      <c r="O635" s="3"/>
      <c r="P635" s="3"/>
      <c r="Q635" s="3">
        <v>0.11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0.78400000000000003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144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180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223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0.47399999999999998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224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14.122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87.477999999999994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225</v>
      </c>
      <c r="O647" s="3"/>
      <c r="P647" s="3"/>
      <c r="Q647" s="3">
        <v>0.13200000000000001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0.94599999999999995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180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223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0.52100000000000002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224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14.731999999999999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91.227000000000004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225</v>
      </c>
      <c r="O659" s="3"/>
      <c r="P659" s="3"/>
      <c r="Q659" s="3">
        <v>0.14199999999999999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1.0269999999999999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200</v>
      </c>
      <c r="D665" s="3"/>
      <c r="E665" s="3" t="s">
        <v>200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180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200</v>
      </c>
      <c r="D666" s="3"/>
      <c r="E666" s="3" t="s">
        <v>200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223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200</v>
      </c>
      <c r="D667" s="3"/>
      <c r="E667" s="3" t="s">
        <v>200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0.56899999999999995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224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15.342000000000001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94.975999999999999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225</v>
      </c>
      <c r="O671" s="3"/>
      <c r="P671" s="3"/>
      <c r="Q671" s="3">
        <v>0.153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1.1080000000000001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180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223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0.24299999999999999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201</v>
      </c>
      <c r="D680" s="3"/>
      <c r="E680" s="3" t="s">
        <v>201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224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11.278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69.981999999999999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225</v>
      </c>
      <c r="O683" s="3"/>
      <c r="P683" s="3"/>
      <c r="Q683" s="3">
        <v>7.8E-2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1.216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152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202</v>
      </c>
      <c r="D689" s="3"/>
      <c r="E689" s="3" t="s">
        <v>202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180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202</v>
      </c>
      <c r="D690" s="3"/>
      <c r="E690" s="3" t="s">
        <v>202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223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202</v>
      </c>
      <c r="D691" s="3"/>
      <c r="E691" s="3" t="s">
        <v>202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0.29199999999999998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202</v>
      </c>
      <c r="D692" s="3"/>
      <c r="E692" s="3" t="s">
        <v>202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224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202</v>
      </c>
      <c r="D693" s="3"/>
      <c r="E693" s="3" t="s">
        <v>202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11.887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73.730999999999995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225</v>
      </c>
      <c r="O695" s="3"/>
      <c r="P695" s="3"/>
      <c r="Q695" s="3">
        <v>8.8999999999999996E-2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1.216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154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203</v>
      </c>
      <c r="D701" s="3"/>
      <c r="E701" s="3" t="s">
        <v>203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180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203</v>
      </c>
      <c r="D702" s="3"/>
      <c r="E702" s="3" t="s">
        <v>203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223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203</v>
      </c>
      <c r="D703" s="3"/>
      <c r="E703" s="3" t="s">
        <v>203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0.34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203</v>
      </c>
      <c r="D704" s="3"/>
      <c r="E704" s="3" t="s">
        <v>203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224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203</v>
      </c>
      <c r="D705" s="3"/>
      <c r="E705" s="3" t="s">
        <v>203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12.497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203</v>
      </c>
      <c r="D706" s="3"/>
      <c r="E706" s="3" t="s">
        <v>203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77.48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225</v>
      </c>
      <c r="O707" s="3"/>
      <c r="P707" s="3"/>
      <c r="Q707" s="3">
        <v>0.1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1.216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156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204</v>
      </c>
      <c r="D713" s="3"/>
      <c r="E713" s="3" t="s">
        <v>204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180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204</v>
      </c>
      <c r="D714" s="3"/>
      <c r="E714" s="3" t="s">
        <v>204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223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204</v>
      </c>
      <c r="D715" s="3"/>
      <c r="E715" s="3" t="s">
        <v>204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0.38900000000000001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204</v>
      </c>
      <c r="D716" s="3"/>
      <c r="E716" s="3" t="s">
        <v>204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224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204</v>
      </c>
      <c r="D717" s="3"/>
      <c r="E717" s="3" t="s">
        <v>204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13.106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204</v>
      </c>
      <c r="D718" s="3"/>
      <c r="E718" s="3" t="s">
        <v>204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81.228999999999999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225</v>
      </c>
      <c r="O719" s="3"/>
      <c r="P719" s="3"/>
      <c r="Q719" s="3">
        <v>0.11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1.216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158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205</v>
      </c>
      <c r="D725" s="3"/>
      <c r="E725" s="3" t="s">
        <v>205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180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205</v>
      </c>
      <c r="D726" s="3"/>
      <c r="E726" s="3" t="s">
        <v>205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223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205</v>
      </c>
      <c r="D727" s="3"/>
      <c r="E727" s="3" t="s">
        <v>205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0.48599999999999999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205</v>
      </c>
      <c r="D728" s="3"/>
      <c r="E728" s="3" t="s">
        <v>205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224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205</v>
      </c>
      <c r="D729" s="3"/>
      <c r="E729" s="3" t="s">
        <v>205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14.326000000000001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205</v>
      </c>
      <c r="D730" s="3"/>
      <c r="E730" s="3" t="s">
        <v>205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88.727000000000004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205</v>
      </c>
      <c r="D731" s="3"/>
      <c r="E731" s="3" t="s">
        <v>205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225</v>
      </c>
      <c r="O731" s="3"/>
      <c r="P731" s="3"/>
      <c r="Q731" s="3">
        <v>0.13200000000000001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205</v>
      </c>
      <c r="D732" s="3"/>
      <c r="E732" s="3" t="s">
        <v>205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1.216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160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180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223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0.53500000000000003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224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14.935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92.475999999999999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225</v>
      </c>
      <c r="O743" s="3"/>
      <c r="P743" s="3"/>
      <c r="Q743" s="3">
        <v>0.14199999999999999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1.216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162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207</v>
      </c>
      <c r="D749" s="3"/>
      <c r="E749" s="3" t="s">
        <v>207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180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207</v>
      </c>
      <c r="D750" s="3"/>
      <c r="E750" s="3" t="s">
        <v>207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223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207</v>
      </c>
      <c r="D751" s="3"/>
      <c r="E751" s="3" t="s">
        <v>207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0.58299999999999996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207</v>
      </c>
      <c r="D752" s="3"/>
      <c r="E752" s="3" t="s">
        <v>207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224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207</v>
      </c>
      <c r="D753" s="3"/>
      <c r="E753" s="3" t="s">
        <v>207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15.545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207</v>
      </c>
      <c r="D754" s="3"/>
      <c r="E754" s="3" t="s">
        <v>207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96.224999999999994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207</v>
      </c>
      <c r="D755" s="3"/>
      <c r="E755" s="3" t="s">
        <v>207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225</v>
      </c>
      <c r="O755" s="3"/>
      <c r="P755" s="3"/>
      <c r="Q755" s="3">
        <v>0.153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207</v>
      </c>
      <c r="D756" s="3"/>
      <c r="E756" s="3" t="s">
        <v>207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207</v>
      </c>
      <c r="D757" s="3"/>
      <c r="E757" s="3" t="s">
        <v>207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207</v>
      </c>
      <c r="D758" s="3"/>
      <c r="E758" s="3" t="s">
        <v>207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1.216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164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180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223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0.255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224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11.683999999999999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72.480999999999995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225</v>
      </c>
      <c r="O767" s="3"/>
      <c r="P767" s="3"/>
      <c r="Q767" s="3">
        <v>7.8E-2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208</v>
      </c>
      <c r="D770" s="3"/>
      <c r="E770" s="3" t="s">
        <v>208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208</v>
      </c>
      <c r="D771" s="3"/>
      <c r="E771" s="3" t="s">
        <v>208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1.27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166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209</v>
      </c>
      <c r="D773" s="3"/>
      <c r="E773" s="3" t="s">
        <v>209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180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209</v>
      </c>
      <c r="D774" s="3"/>
      <c r="E774" s="3" t="s">
        <v>209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223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209</v>
      </c>
      <c r="D775" s="3"/>
      <c r="E775" s="3" t="s">
        <v>209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0.30599999999999999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209</v>
      </c>
      <c r="D776" s="3"/>
      <c r="E776" s="3" t="s">
        <v>209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224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209</v>
      </c>
      <c r="D777" s="3"/>
      <c r="E777" s="3" t="s">
        <v>209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12.294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209</v>
      </c>
      <c r="D778" s="3"/>
      <c r="E778" s="3" t="s">
        <v>209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76.23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209</v>
      </c>
      <c r="D779" s="3"/>
      <c r="E779" s="3" t="s">
        <v>209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225</v>
      </c>
      <c r="O779" s="3"/>
      <c r="P779" s="3"/>
      <c r="Q779" s="3">
        <v>8.8999999999999996E-2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209</v>
      </c>
      <c r="D780" s="3"/>
      <c r="E780" s="3" t="s">
        <v>209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209</v>
      </c>
      <c r="D781" s="3"/>
      <c r="E781" s="3" t="s">
        <v>209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209</v>
      </c>
      <c r="D782" s="3"/>
      <c r="E782" s="3" t="s">
        <v>209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209</v>
      </c>
      <c r="D783" s="3"/>
      <c r="E783" s="3" t="s">
        <v>209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1.27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209</v>
      </c>
      <c r="D784" s="3"/>
      <c r="E784" s="3" t="s">
        <v>209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168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180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223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210</v>
      </c>
      <c r="D787" s="3"/>
      <c r="E787" s="3" t="s">
        <v>210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0.35699999999999998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210</v>
      </c>
      <c r="D788" s="3"/>
      <c r="E788" s="3" t="s">
        <v>210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224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210</v>
      </c>
      <c r="D789" s="3"/>
      <c r="E789" s="3" t="s">
        <v>210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12.903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210</v>
      </c>
      <c r="D790" s="3"/>
      <c r="E790" s="3" t="s">
        <v>210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79.98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210</v>
      </c>
      <c r="D791" s="3"/>
      <c r="E791" s="3" t="s">
        <v>210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225</v>
      </c>
      <c r="O791" s="3"/>
      <c r="P791" s="3"/>
      <c r="Q791" s="3">
        <v>0.1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210</v>
      </c>
      <c r="D792" s="3"/>
      <c r="E792" s="3" t="s">
        <v>210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210</v>
      </c>
      <c r="D793" s="3"/>
      <c r="E793" s="3" t="s">
        <v>210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210</v>
      </c>
      <c r="D794" s="3"/>
      <c r="E794" s="3" t="s">
        <v>210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210</v>
      </c>
      <c r="D795" s="3"/>
      <c r="E795" s="3" t="s">
        <v>210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1.27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210</v>
      </c>
      <c r="D796" s="3"/>
      <c r="E796" s="3" t="s">
        <v>210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170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211</v>
      </c>
      <c r="D797" s="3"/>
      <c r="E797" s="3" t="s">
        <v>211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211</v>
      </c>
      <c r="D798" s="3"/>
      <c r="E798" s="3" t="s">
        <v>211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223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211</v>
      </c>
      <c r="D799" s="3"/>
      <c r="E799" s="3" t="s">
        <v>211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0.40799999999999997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211</v>
      </c>
      <c r="D800" s="3"/>
      <c r="E800" s="3" t="s">
        <v>211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224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211</v>
      </c>
      <c r="D801" s="3"/>
      <c r="E801" s="3" t="s">
        <v>211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13.513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211</v>
      </c>
      <c r="D802" s="3"/>
      <c r="E802" s="3" t="s">
        <v>211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83.728999999999999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211</v>
      </c>
      <c r="D803" s="3"/>
      <c r="E803" s="3" t="s">
        <v>211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225</v>
      </c>
      <c r="O803" s="3"/>
      <c r="P803" s="3"/>
      <c r="Q803" s="3">
        <v>0.11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211</v>
      </c>
      <c r="D804" s="3"/>
      <c r="E804" s="3" t="s">
        <v>211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211</v>
      </c>
      <c r="D805" s="3"/>
      <c r="E805" s="3" t="s">
        <v>211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211</v>
      </c>
      <c r="D806" s="3"/>
      <c r="E806" s="3" t="s">
        <v>211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211</v>
      </c>
      <c r="D807" s="3"/>
      <c r="E807" s="3" t="s">
        <v>211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1.27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211</v>
      </c>
      <c r="D808" s="3"/>
      <c r="E808" s="3" t="s">
        <v>211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172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212</v>
      </c>
      <c r="D809" s="3"/>
      <c r="E809" s="3" t="s">
        <v>212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180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212</v>
      </c>
      <c r="D810" s="3"/>
      <c r="E810" s="3" t="s">
        <v>212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223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212</v>
      </c>
      <c r="D811" s="3"/>
      <c r="E811" s="3" t="s">
        <v>212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0.51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212</v>
      </c>
      <c r="D812" s="3"/>
      <c r="E812" s="3" t="s">
        <v>212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224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212</v>
      </c>
      <c r="D813" s="3"/>
      <c r="E813" s="3" t="s">
        <v>212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14.731999999999999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212</v>
      </c>
      <c r="D814" s="3"/>
      <c r="E814" s="3" t="s">
        <v>212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91.227000000000004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212</v>
      </c>
      <c r="D815" s="3"/>
      <c r="E815" s="3" t="s">
        <v>212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225</v>
      </c>
      <c r="O815" s="3"/>
      <c r="P815" s="3"/>
      <c r="Q815" s="3">
        <v>0.13200000000000001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212</v>
      </c>
      <c r="D816" s="3"/>
      <c r="E816" s="3" t="s">
        <v>212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212</v>
      </c>
      <c r="D817" s="3"/>
      <c r="E817" s="3" t="s">
        <v>212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212</v>
      </c>
      <c r="D818" s="3"/>
      <c r="E818" s="3" t="s">
        <v>212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212</v>
      </c>
      <c r="D819" s="3"/>
      <c r="E819" s="3" t="s">
        <v>212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1.27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212</v>
      </c>
      <c r="D820" s="3"/>
      <c r="E820" s="3" t="s">
        <v>212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174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213</v>
      </c>
      <c r="D821" s="3"/>
      <c r="E821" s="3" t="s">
        <v>213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180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213</v>
      </c>
      <c r="D822" s="3"/>
      <c r="E822" s="3" t="s">
        <v>213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223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213</v>
      </c>
      <c r="D823" s="3"/>
      <c r="E823" s="3" t="s">
        <v>213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0.56100000000000005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213</v>
      </c>
      <c r="D824" s="3"/>
      <c r="E824" s="3" t="s">
        <v>213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224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213</v>
      </c>
      <c r="D825" s="3"/>
      <c r="E825" s="3" t="s">
        <v>213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15.342000000000001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213</v>
      </c>
      <c r="D826" s="3"/>
      <c r="E826" s="3" t="s">
        <v>213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94.975999999999999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213</v>
      </c>
      <c r="D827" s="3"/>
      <c r="E827" s="3" t="s">
        <v>213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225</v>
      </c>
      <c r="O827" s="3"/>
      <c r="P827" s="3"/>
      <c r="Q827" s="3">
        <v>0.14199999999999999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213</v>
      </c>
      <c r="D828" s="3"/>
      <c r="E828" s="3" t="s">
        <v>213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213</v>
      </c>
      <c r="D829" s="3"/>
      <c r="E829" s="3" t="s">
        <v>213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213</v>
      </c>
      <c r="D830" s="3"/>
      <c r="E830" s="3" t="s">
        <v>213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213</v>
      </c>
      <c r="D831" s="3"/>
      <c r="E831" s="3" t="s">
        <v>213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1.27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213</v>
      </c>
      <c r="D832" s="3"/>
      <c r="E832" s="3" t="s">
        <v>213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214</v>
      </c>
      <c r="D833" s="3"/>
      <c r="E833" s="3" t="s">
        <v>214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180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214</v>
      </c>
      <c r="D834" s="3"/>
      <c r="E834" s="3" t="s">
        <v>214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223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214</v>
      </c>
      <c r="D835" s="3"/>
      <c r="E835" s="3" t="s">
        <v>214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0.61199999999999999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214</v>
      </c>
      <c r="D836" s="3"/>
      <c r="E836" s="3" t="s">
        <v>214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224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214</v>
      </c>
      <c r="D837" s="3"/>
      <c r="E837" s="3" t="s">
        <v>214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15.951000000000001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214</v>
      </c>
      <c r="D838" s="3"/>
      <c r="E838" s="3" t="s">
        <v>214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98.724999999999994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214</v>
      </c>
      <c r="D839" s="3"/>
      <c r="E839" s="3" t="s">
        <v>214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225</v>
      </c>
      <c r="O839" s="3"/>
      <c r="P839" s="3"/>
      <c r="Q839" s="3">
        <v>0.153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214</v>
      </c>
      <c r="D840" s="3"/>
      <c r="E840" s="3" t="s">
        <v>214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214</v>
      </c>
      <c r="D841" s="3"/>
      <c r="E841" s="3" t="s">
        <v>214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214</v>
      </c>
      <c r="D842" s="3"/>
      <c r="E842" s="3" t="s">
        <v>214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214</v>
      </c>
      <c r="D843" s="3"/>
      <c r="E843" s="3" t="s">
        <v>214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1.27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214</v>
      </c>
      <c r="D844" s="3"/>
      <c r="E844" s="3" t="s">
        <v>214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178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223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0.24099999999999999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224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10.77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66.858000000000004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225</v>
      </c>
      <c r="O851" s="3"/>
      <c r="P851" s="3"/>
      <c r="Q851" s="3">
        <v>8.4000000000000005E-2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0.58099999999999996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223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0.28399999999999997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224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11.379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70.606999999999999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225</v>
      </c>
      <c r="O863" s="3"/>
      <c r="P863" s="3"/>
      <c r="Q863" s="3">
        <v>9.4E-2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0.66200000000000003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223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0.32800000000000001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224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11.989000000000001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74.355999999999995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225</v>
      </c>
      <c r="O875" s="3"/>
      <c r="P875" s="3"/>
      <c r="Q875" s="3">
        <v>0.105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0.74299999999999999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223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0.372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224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12.598000000000001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78.105000000000004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225</v>
      </c>
      <c r="O887" s="3"/>
      <c r="P887" s="3"/>
      <c r="Q887" s="3">
        <v>0.11600000000000001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0.82399999999999995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223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0.39400000000000002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224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12.903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79.98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225</v>
      </c>
      <c r="O899" s="3"/>
      <c r="P899" s="3"/>
      <c r="Q899" s="3">
        <v>0.121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0.86499999999999999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223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0.41599999999999998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224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13.208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81.853999999999999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225</v>
      </c>
      <c r="O911" s="3"/>
      <c r="P911" s="3"/>
      <c r="Q911" s="3">
        <v>0.126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0.90500000000000003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223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0.45900000000000002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224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13.818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85.602999999999994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225</v>
      </c>
      <c r="O923" s="3"/>
      <c r="P923" s="3"/>
      <c r="Q923" s="3">
        <v>0.13700000000000001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0.98599999999999999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223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0.503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224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14.427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89.352000000000004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225</v>
      </c>
      <c r="O935" s="3"/>
      <c r="P935" s="3"/>
      <c r="Q935" s="3">
        <v>0.14799999999999999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1.0669999999999999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223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0.251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224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11.074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68.731999999999999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225</v>
      </c>
      <c r="O947" s="3"/>
      <c r="P947" s="3"/>
      <c r="Q947" s="3">
        <v>8.4000000000000005E-2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0.58099999999999996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223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0.29599999999999999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224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11.683999999999999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72.480999999999995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225</v>
      </c>
      <c r="O959" s="3"/>
      <c r="P959" s="3"/>
      <c r="Q959" s="3">
        <v>9.4E-2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0.66200000000000003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223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0.34200000000000003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224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12.294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76.23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225</v>
      </c>
      <c r="O971" s="3"/>
      <c r="P971" s="3"/>
      <c r="Q971" s="3">
        <v>0.105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226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0.74299999999999999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223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0.38700000000000001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224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12.903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79.98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225</v>
      </c>
      <c r="O983" s="3"/>
      <c r="P983" s="3"/>
      <c r="Q983" s="3">
        <v>0.11600000000000001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226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0.82399999999999995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223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0.41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224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13.208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81.853999999999999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225</v>
      </c>
      <c r="O995" s="3"/>
      <c r="P995" s="3"/>
      <c r="Q995" s="3">
        <v>0.121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226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0.86499999999999999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223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0.433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224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13.513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83.728999999999999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225</v>
      </c>
      <c r="O1007" s="3"/>
      <c r="P1007" s="3"/>
      <c r="Q1007" s="3">
        <v>0.126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0.90500000000000003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223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0.47799999999999998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224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14.122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87.477999999999994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225</v>
      </c>
      <c r="O1019" s="3"/>
      <c r="P1019" s="3"/>
      <c r="Q1019" s="3">
        <v>0.13700000000000001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0.98599999999999999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223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0.52400000000000002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224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14.731999999999999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91.227000000000004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225</v>
      </c>
      <c r="O1031" s="3"/>
      <c r="P1031" s="3"/>
      <c r="Q1031" s="3">
        <v>0.14799999999999999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226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1.0669999999999999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223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0.26100000000000001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224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11.379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70.606999999999999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225</v>
      </c>
      <c r="O1043" s="3"/>
      <c r="P1043" s="3"/>
      <c r="Q1043" s="3">
        <v>8.4000000000000005E-2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226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0.58099999999999996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223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0.308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224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11.989000000000001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74.355999999999995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225</v>
      </c>
      <c r="O1055" s="3"/>
      <c r="P1055" s="3"/>
      <c r="Q1055" s="3">
        <v>9.4E-2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226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0.66200000000000003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223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0.35499999999999998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224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12.598000000000001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78.105000000000004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225</v>
      </c>
      <c r="O1067" s="3"/>
      <c r="P1067" s="3"/>
      <c r="Q1067" s="3">
        <v>0.105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226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0.74299999999999999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223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0.40300000000000002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224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13.208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81.853999999999999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225</v>
      </c>
      <c r="O1079" s="3"/>
      <c r="P1079" s="3"/>
      <c r="Q1079" s="3">
        <v>0.11600000000000001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0.82399999999999995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223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0.42599999999999999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224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13.513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83.728999999999999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225</v>
      </c>
      <c r="O1091" s="3"/>
      <c r="P1091" s="3"/>
      <c r="Q1091" s="3">
        <v>0.121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0.86499999999999999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223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0.45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224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13.818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85.602999999999994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225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226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223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0.498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224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89.352000000000004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225</v>
      </c>
      <c r="O1115" s="3"/>
      <c r="P1115" s="3"/>
      <c r="Q1115" s="3">
        <v>0.13700000000000001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226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0.98599999999999999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223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0.54500000000000004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224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15.037000000000001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93.100999999999999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225</v>
      </c>
      <c r="O1127" s="3"/>
      <c r="P1127" s="3"/>
      <c r="Q1127" s="3">
        <v>0.14799999999999999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226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1.0669999999999999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223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0.26700000000000002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224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11.582000000000001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71.856999999999999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225</v>
      </c>
      <c r="O1139" s="3"/>
      <c r="P1139" s="3"/>
      <c r="Q1139" s="3">
        <v>8.4000000000000005E-2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1.216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223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0.316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224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12.192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75.605999999999995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225</v>
      </c>
      <c r="O1151" s="3"/>
      <c r="P1151" s="3"/>
      <c r="Q1151" s="3">
        <v>9.4E-2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226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1.216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223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0.36499999999999999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224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12.802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79.355000000000004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225</v>
      </c>
      <c r="O1163" s="3"/>
      <c r="P1163" s="3"/>
      <c r="Q1163" s="3">
        <v>0.105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226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1.216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223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0.41299999999999998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224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13.411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83.103999999999999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225</v>
      </c>
      <c r="O1175" s="3"/>
      <c r="P1175" s="3"/>
      <c r="Q1175" s="3">
        <v>0.11600000000000001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1.216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223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0.437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224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84.977999999999994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225</v>
      </c>
      <c r="O1187" s="3"/>
      <c r="P1187" s="3"/>
      <c r="Q1187" s="3">
        <v>0.121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226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1.216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223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0.46200000000000002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224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14.021000000000001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86.852999999999994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225</v>
      </c>
      <c r="O1199" s="3"/>
      <c r="P1199" s="3"/>
      <c r="Q1199" s="3">
        <v>0.126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1.216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223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0.51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224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14.63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90.602000000000004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225</v>
      </c>
      <c r="O1211" s="3"/>
      <c r="P1211" s="3"/>
      <c r="Q1211" s="3">
        <v>0.13700000000000001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226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1.216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223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0.55900000000000005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224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15.24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94.350999999999999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225</v>
      </c>
      <c r="O1223" s="3"/>
      <c r="P1223" s="3"/>
      <c r="Q1223" s="3">
        <v>0.14799999999999999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226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1.216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223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0.28100000000000003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224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11.989000000000001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74.355999999999995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225</v>
      </c>
      <c r="O1235" s="3"/>
      <c r="P1235" s="3"/>
      <c r="Q1235" s="3">
        <v>8.4000000000000005E-2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226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1.27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223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0.33200000000000002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224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12.598000000000001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78.105000000000004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225</v>
      </c>
      <c r="O1247" s="3"/>
      <c r="P1247" s="3"/>
      <c r="Q1247" s="3">
        <v>9.4E-2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226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1.27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223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0.38300000000000001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224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13.208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81.853999999999999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225</v>
      </c>
      <c r="O1259" s="3"/>
      <c r="P1259" s="3"/>
      <c r="Q1259" s="3">
        <v>0.105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1.27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223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0.434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224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13.818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85.602999999999994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225</v>
      </c>
      <c r="O1271" s="3"/>
      <c r="P1271" s="3"/>
      <c r="Q1271" s="3">
        <v>0.11600000000000001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226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1.27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223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0.45900000000000002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224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14.122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87.477999999999994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225</v>
      </c>
      <c r="O1283" s="3"/>
      <c r="P1283" s="3"/>
      <c r="Q1283" s="3">
        <v>0.121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226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1.27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223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0.48499999999999999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224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14.427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89.352000000000004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225</v>
      </c>
      <c r="O1295" s="3"/>
      <c r="P1295" s="3"/>
      <c r="Q1295" s="3">
        <v>0.126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226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1.27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223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0.53600000000000003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224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15.037000000000001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93.100999999999999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225</v>
      </c>
      <c r="O1307" s="3"/>
      <c r="P1307" s="3"/>
      <c r="Q1307" s="3">
        <v>0.13700000000000001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226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1.27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223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0.58699999999999997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224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15.646000000000001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96.85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225</v>
      </c>
      <c r="O1319" s="3"/>
      <c r="P1319" s="3"/>
      <c r="Q1319" s="3">
        <v>0.14799999999999999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226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1.27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180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223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0.24099999999999999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224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10.77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66.858000000000004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225</v>
      </c>
      <c r="O1331" s="3"/>
      <c r="P1331" s="3"/>
      <c r="Q1331" s="3">
        <v>8.4000000000000005E-2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226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0.58099999999999996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180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223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0.28399999999999997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224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11.379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70.606999999999999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225</v>
      </c>
      <c r="O1343" s="3"/>
      <c r="P1343" s="3"/>
      <c r="Q1343" s="3">
        <v>9.4E-2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0.66200000000000003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180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223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0.32800000000000001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224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11.989000000000001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74.355999999999995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225</v>
      </c>
      <c r="O1355" s="3"/>
      <c r="P1355" s="3"/>
      <c r="Q1355" s="3">
        <v>0.105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226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0.74299999999999999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180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223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0.372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224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12.598000000000001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78.105000000000004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225</v>
      </c>
      <c r="O1367" s="3"/>
      <c r="P1367" s="3"/>
      <c r="Q1367" s="3">
        <v>0.11600000000000001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226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0.82399999999999995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180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223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0.39400000000000002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224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12.903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79.98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225</v>
      </c>
      <c r="O1379" s="3"/>
      <c r="P1379" s="3"/>
      <c r="Q1379" s="3">
        <v>0.121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226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0.86499999999999999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180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223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0.41599999999999998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224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13.208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81.853999999999999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225</v>
      </c>
      <c r="O1391" s="3"/>
      <c r="P1391" s="3"/>
      <c r="Q1391" s="3">
        <v>0.126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226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0.90500000000000003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180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223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0.45900000000000002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224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13.818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85.602999999999994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225</v>
      </c>
      <c r="O1403" s="3"/>
      <c r="P1403" s="3"/>
      <c r="Q1403" s="3">
        <v>0.13700000000000001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0.98599999999999999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180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223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0.503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224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14.427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89.352000000000004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225</v>
      </c>
      <c r="O1415" s="3"/>
      <c r="P1415" s="3"/>
      <c r="Q1415" s="3">
        <v>0.14799999999999999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226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1.0669999999999999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180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223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0.251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224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11.074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68.731999999999999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225</v>
      </c>
      <c r="O1427" s="3"/>
      <c r="P1427" s="3"/>
      <c r="Q1427" s="3">
        <v>8.4000000000000005E-2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0.58099999999999996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180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223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0.29599999999999999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224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11.683999999999999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72.480999999999995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225</v>
      </c>
      <c r="O1439" s="3"/>
      <c r="P1439" s="3"/>
      <c r="Q1439" s="3">
        <v>9.4E-2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226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0.66200000000000003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180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223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0.34200000000000003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224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12.294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76.23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225</v>
      </c>
      <c r="O1451" s="3"/>
      <c r="P1451" s="3"/>
      <c r="Q1451" s="3">
        <v>0.105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226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0.74299999999999999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180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223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0.38700000000000001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224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12.903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79.98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225</v>
      </c>
      <c r="O1463" s="3"/>
      <c r="P1463" s="3"/>
      <c r="Q1463" s="3">
        <v>0.11600000000000001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226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0.82399999999999995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180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223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0.41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224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13.208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81.853999999999999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225</v>
      </c>
      <c r="O1475" s="3"/>
      <c r="P1475" s="3"/>
      <c r="Q1475" s="3">
        <v>0.121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226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0.86499999999999999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180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223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0.433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224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13.513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83.728999999999999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225</v>
      </c>
      <c r="O1487" s="3"/>
      <c r="P1487" s="3"/>
      <c r="Q1487" s="3">
        <v>0.126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226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0.90500000000000003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180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223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0.47799999999999998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224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14.122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87.477999999999994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225</v>
      </c>
      <c r="O1499" s="3"/>
      <c r="P1499" s="3"/>
      <c r="Q1499" s="3">
        <v>0.13700000000000001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226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0.98599999999999999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180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223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0.52400000000000002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224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14.731999999999999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91.227000000000004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225</v>
      </c>
      <c r="O1511" s="3"/>
      <c r="P1511" s="3"/>
      <c r="Q1511" s="3">
        <v>0.14799999999999999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226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1.0669999999999999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180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223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0.26100000000000001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11.379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70.606999999999999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225</v>
      </c>
      <c r="O1523" s="3"/>
      <c r="P1523" s="3"/>
      <c r="Q1523" s="3">
        <v>8.4000000000000005E-2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226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0.58099999999999996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180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223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0.308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224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11.989000000000001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74.355999999999995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225</v>
      </c>
      <c r="O1535" s="3"/>
      <c r="P1535" s="3"/>
      <c r="Q1535" s="3">
        <v>9.4E-2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226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0.66200000000000003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180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223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0.35499999999999998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224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12.598000000000001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78.105000000000004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225</v>
      </c>
      <c r="O1547" s="3"/>
      <c r="P1547" s="3"/>
      <c r="Q1547" s="3">
        <v>0.105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226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0.74299999999999999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180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223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0.40300000000000002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224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13.208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81.853999999999999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225</v>
      </c>
      <c r="O1559" s="3"/>
      <c r="P1559" s="3"/>
      <c r="Q1559" s="3">
        <v>0.11600000000000001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226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0.82399999999999995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180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223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0.42599999999999999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224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13.513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83.728999999999999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225</v>
      </c>
      <c r="O1571" s="3"/>
      <c r="P1571" s="3"/>
      <c r="Q1571" s="3">
        <v>0.121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226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0.86499999999999999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180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223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0.45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224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13.818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85.602999999999994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225</v>
      </c>
      <c r="O1583" s="3"/>
      <c r="P1583" s="3"/>
      <c r="Q1583" s="3">
        <v>0.126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226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0.90500000000000003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180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223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0.498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224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14.427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89.352000000000004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225</v>
      </c>
      <c r="O1595" s="3"/>
      <c r="P1595" s="3"/>
      <c r="Q1595" s="3">
        <v>0.13700000000000001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226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0.98599999999999999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180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223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0.54500000000000004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224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15.037000000000001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93.100999999999999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225</v>
      </c>
      <c r="O1607" s="3"/>
      <c r="P1607" s="3"/>
      <c r="Q1607" s="3">
        <v>0.14799999999999999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226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1.0669999999999999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180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223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0.26700000000000002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224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11.582000000000001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71.856999999999999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225</v>
      </c>
      <c r="O1619" s="3"/>
      <c r="P1619" s="3"/>
      <c r="Q1619" s="3">
        <v>8.4000000000000005E-2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226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1.216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180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223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0.316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224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12.192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75.605999999999995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225</v>
      </c>
      <c r="O1631" s="3"/>
      <c r="P1631" s="3"/>
      <c r="Q1631" s="3">
        <v>9.4E-2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226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1.216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180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223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0.36499999999999999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224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12.802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79.355000000000004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225</v>
      </c>
      <c r="O1643" s="3"/>
      <c r="P1643" s="3"/>
      <c r="Q1643" s="3">
        <v>0.105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226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1.216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180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223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0.41299999999999998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224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13.411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83.103999999999999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225</v>
      </c>
      <c r="O1655" s="3"/>
      <c r="P1655" s="3"/>
      <c r="Q1655" s="3">
        <v>0.11600000000000001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226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1.216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180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223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0.437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224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13.715999999999999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84.977999999999994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225</v>
      </c>
      <c r="O1667" s="3"/>
      <c r="P1667" s="3"/>
      <c r="Q1667" s="3">
        <v>0.121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226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1.216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180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223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0.46200000000000002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224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14.021000000000001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86.852999999999994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225</v>
      </c>
      <c r="O1679" s="3"/>
      <c r="P1679" s="3"/>
      <c r="Q1679" s="3">
        <v>0.126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226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1.216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180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223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0.51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224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14.63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90.602000000000004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225</v>
      </c>
      <c r="O1691" s="3"/>
      <c r="P1691" s="3"/>
      <c r="Q1691" s="3">
        <v>0.13700000000000001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226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1.216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180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223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0.55900000000000005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224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15.24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94.350999999999999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225</v>
      </c>
      <c r="O1703" s="3"/>
      <c r="P1703" s="3"/>
      <c r="Q1703" s="3">
        <v>0.14799999999999999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226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1.216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180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223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0.28100000000000003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224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11.989000000000001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74.355999999999995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225</v>
      </c>
      <c r="O1715" s="3"/>
      <c r="P1715" s="3"/>
      <c r="Q1715" s="3">
        <v>8.4000000000000005E-2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226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1.27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180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223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0.33200000000000002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224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12.598000000000001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78.105000000000004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225</v>
      </c>
      <c r="O1727" s="3"/>
      <c r="P1727" s="3"/>
      <c r="Q1727" s="3">
        <v>9.4E-2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226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1.27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180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223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0.38300000000000001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224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13.208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81.853999999999999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225</v>
      </c>
      <c r="O1739" s="3"/>
      <c r="P1739" s="3"/>
      <c r="Q1739" s="3">
        <v>0.105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226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1.27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180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223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0.434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224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13.818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85.602999999999994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225</v>
      </c>
      <c r="O1751" s="3"/>
      <c r="P1751" s="3"/>
      <c r="Q1751" s="3">
        <v>0.11600000000000001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226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1.27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180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223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0.45900000000000002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224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14.122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87.477999999999994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225</v>
      </c>
      <c r="O1763" s="3"/>
      <c r="P1763" s="3"/>
      <c r="Q1763" s="3">
        <v>0.121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226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1.27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180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223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0.48499999999999999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224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14.427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89.352000000000004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225</v>
      </c>
      <c r="O1775" s="3"/>
      <c r="P1775" s="3"/>
      <c r="Q1775" s="3">
        <v>0.126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226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1.27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180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223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0.53600000000000003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224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15.037000000000001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93.100999999999999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225</v>
      </c>
      <c r="O1787" s="3"/>
      <c r="P1787" s="3"/>
      <c r="Q1787" s="3">
        <v>0.13700000000000001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226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1.27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180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223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0.58699999999999997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224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15.646000000000001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96.85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225</v>
      </c>
      <c r="O1799" s="3"/>
      <c r="P1799" s="3"/>
      <c r="Q1799" s="3">
        <v>0.14799999999999999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226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1.27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2026-06-02T06:03:29Z</dcterms:modified>
</cp:coreProperties>
</file>